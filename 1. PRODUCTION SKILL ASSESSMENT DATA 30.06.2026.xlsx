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" windowHeight="0" tabRatio="575" firstSheet="0" activeTab="1" autoFilterDateGrouping="1"/>
  </bookViews>
  <sheets>
    <sheet xmlns:r="http://schemas.openxmlformats.org/officeDocument/2006/relationships" name="Plant Head 17.08" sheetId="1" state="visible" r:id="rId1"/>
    <sheet xmlns:r="http://schemas.openxmlformats.org/officeDocument/2006/relationships" name="2025-2026 comp" sheetId="2" state="visible" r:id="rId2"/>
    <sheet xmlns:r="http://schemas.openxmlformats.org/officeDocument/2006/relationships" name="Abstract" sheetId="3" state="visible" r:id="rId3"/>
    <sheet xmlns:r="http://schemas.openxmlformats.org/officeDocument/2006/relationships" name="Name list" sheetId="4" state="visible" r:id="rId4"/>
    <sheet xmlns:r="http://schemas.openxmlformats.org/officeDocument/2006/relationships" name="Left" sheetId="5" state="visible" r:id="rId5"/>
    <sheet xmlns:r="http://schemas.openxmlformats.org/officeDocument/2006/relationships" name="Entry sheet" sheetId="6" state="visible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_xlnm._FilterDatabase" localSheetId="3" hidden="1">'Name list'!$A$2:$Z$1181</definedName>
    <definedName name="_xlnm._FilterDatabase" localSheetId="4" hidden="1">'Left'!$A$2:$Q$205</definedName>
  </definedNames>
  <calcPr calcId="152511" fullCalcOnLoad="1"/>
</workbook>
</file>

<file path=xl/styles.xml><?xml version="1.0" encoding="utf-8"?>
<styleSheet xmlns="http://schemas.openxmlformats.org/spreadsheetml/2006/main">
  <numFmts count="4">
    <numFmt numFmtId="164" formatCode="dd/mmm/yyyy"/>
    <numFmt numFmtId="165" formatCode="yy\-mm"/>
    <numFmt numFmtId="166" formatCode="[$-14009]dd/mm/yyyy;@"/>
    <numFmt numFmtId="167" formatCode="yyyy-mm-dd h:mm:ss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color theme="1"/>
      <sz val="10"/>
      <scheme val="minor"/>
    </font>
    <font>
      <name val="Cambria"/>
      <family val="1"/>
      <sz val="10"/>
    </font>
    <font>
      <name val="Calibri"/>
      <family val="2"/>
      <b val="1"/>
      <sz val="9"/>
      <scheme val="minor"/>
    </font>
    <font>
      <name val="Calibri"/>
      <family val="2"/>
      <b val="1"/>
      <color theme="1"/>
      <sz val="10"/>
      <scheme val="minor"/>
    </font>
    <font>
      <name val="Cambria"/>
      <family val="1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10"/>
    </font>
    <font>
      <name val="Times New Roman"/>
      <family val="1"/>
      <color rgb="FF000000"/>
      <sz val="14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192">
    <xf numFmtId="0" fontId="0" fillId="0" borderId="0" pivotButton="0" quotePrefix="0" xfId="0"/>
    <xf numFmtId="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wrapText="1"/>
    </xf>
    <xf numFmtId="9" fontId="0" fillId="0" borderId="1" applyAlignment="1" pivotButton="0" quotePrefix="0" xfId="1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7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4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6" fontId="9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 wrapText="1"/>
    </xf>
    <xf numFmtId="15" fontId="9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3" borderId="1" applyAlignment="1" applyProtection="1" pivotButton="0" quotePrefix="0" xfId="0">
      <alignment horizontal="center" vertical="center"/>
      <protection locked="0" hidden="0"/>
    </xf>
    <xf numFmtId="165" fontId="10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9" fillId="7" borderId="1" pivotButton="0" quotePrefix="0" xfId="0"/>
    <xf numFmtId="9" fontId="7" fillId="0" borderId="0" applyAlignment="1" pivotButton="0" quotePrefix="0" xfId="1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 wrapText="1"/>
    </xf>
    <xf numFmtId="0" fontId="14" fillId="3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5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9" fontId="4" fillId="0" borderId="1" applyAlignment="1" pivotButton="0" quotePrefix="0" xfId="1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9" fontId="7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14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9" fontId="9" fillId="0" borderId="1" applyAlignment="1" pivotButton="0" quotePrefix="0" xfId="1">
      <alignment horizontal="center" vertical="center" wrapText="1"/>
    </xf>
    <xf numFmtId="9" fontId="9" fillId="0" borderId="1" applyAlignment="1" pivotButton="0" quotePrefix="0" xfId="0">
      <alignment horizontal="center" vertical="center" wrapText="1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14" fillId="0" borderId="0" applyAlignment="1" pivotButton="0" quotePrefix="0" xfId="1">
      <alignment vertical="center"/>
    </xf>
    <xf numFmtId="0" fontId="4" fillId="9" borderId="1" applyAlignment="1" pivotButton="0" quotePrefix="0" xfId="0">
      <alignment horizontal="left" vertical="center" wrapText="1"/>
    </xf>
    <xf numFmtId="9" fontId="0" fillId="0" borderId="0" applyAlignment="1" pivotButton="0" quotePrefix="0" xfId="1">
      <alignment horizontal="center"/>
    </xf>
    <xf numFmtId="9" fontId="0" fillId="8" borderId="0" applyAlignment="1" pivotButton="0" quotePrefix="0" xfId="1">
      <alignment horizontal="center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applyProtection="1" pivotButton="0" quotePrefix="0" xfId="0">
      <alignment horizontal="left" vertical="center"/>
      <protection locked="0" hidden="0"/>
    </xf>
    <xf numFmtId="0" fontId="9" fillId="0" borderId="0" pivotButton="0" quotePrefix="0" xfId="0"/>
    <xf numFmtId="0" fontId="16" fillId="0" borderId="1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horizontal="center" readingOrder="1"/>
    </xf>
    <xf numFmtId="9" fontId="0" fillId="0" borderId="1" applyAlignment="1" pivotButton="0" quotePrefix="0" xfId="1">
      <alignment horizontal="center" vertical="center"/>
    </xf>
    <xf numFmtId="9" fontId="0" fillId="0" borderId="1" applyAlignment="1" pivotButton="0" quotePrefix="0" xfId="0">
      <alignment horizontal="center" vertical="center"/>
    </xf>
    <xf numFmtId="9" fontId="14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9" fontId="0" fillId="0" borderId="0" pivotButton="0" quotePrefix="0" xfId="1"/>
    <xf numFmtId="0" fontId="16" fillId="0" borderId="0" applyAlignment="1" pivotButton="0" quotePrefix="0" xfId="0">
      <alignment horizontal="center" vertical="center" wrapText="1" readingOrder="1"/>
    </xf>
    <xf numFmtId="9" fontId="0" fillId="0" borderId="0" applyAlignment="1" pivotButton="0" quotePrefix="0" xfId="1">
      <alignment horizontal="center" vertical="center"/>
    </xf>
    <xf numFmtId="9" fontId="0" fillId="0" borderId="0" applyAlignment="1" pivotButton="0" quotePrefix="0" xfId="0">
      <alignment horizontal="center" vertical="center"/>
    </xf>
    <xf numFmtId="9" fontId="9" fillId="0" borderId="0" pivotButton="0" quotePrefix="0" xfId="1"/>
    <xf numFmtId="9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left" vertical="center"/>
    </xf>
    <xf numFmtId="14" fontId="9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0" borderId="0" pivotButton="0" quotePrefix="0" xfId="0"/>
    <xf numFmtId="0" fontId="10" fillId="0" borderId="5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9" fontId="4" fillId="6" borderId="1" applyAlignment="1" pivotButton="0" quotePrefix="0" xfId="1">
      <alignment horizontal="center" vertical="center"/>
    </xf>
    <xf numFmtId="9" fontId="4" fillId="6" borderId="1" applyAlignment="1" pivotButton="0" quotePrefix="0" xfId="0">
      <alignment horizontal="center" vertical="center"/>
    </xf>
    <xf numFmtId="9" fontId="4" fillId="6" borderId="3" applyAlignment="1" pivotButton="0" quotePrefix="0" xfId="1">
      <alignment horizontal="center" vertical="center"/>
    </xf>
    <xf numFmtId="9" fontId="4" fillId="6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/>
    </xf>
    <xf numFmtId="14" fontId="9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13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164" fontId="1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applyProtection="1" pivotButton="0" quotePrefix="0" xfId="0">
      <alignment horizontal="left" vertical="center"/>
      <protection locked="0" hidden="0"/>
    </xf>
    <xf numFmtId="164" fontId="13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13" fillId="3" borderId="1" applyAlignment="1" applyProtection="1" pivotButton="0" quotePrefix="0" xfId="0">
      <alignment horizontal="left" vertical="center"/>
      <protection locked="0" hidden="0"/>
    </xf>
    <xf numFmtId="165" fontId="1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13" fillId="3" borderId="1" applyAlignment="1" applyProtection="1" pivotButton="0" quotePrefix="0" xfId="0">
      <alignment vertical="center"/>
      <protection locked="0" hidden="0"/>
    </xf>
    <xf numFmtId="165" fontId="1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9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9" fontId="7" fillId="0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/>
    </xf>
    <xf numFmtId="0" fontId="7" fillId="0" borderId="1" applyAlignment="1" pivotButton="1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3" pivotButton="0" quotePrefix="0" xfId="0"/>
    <xf numFmtId="0" fontId="4" fillId="0" borderId="1" applyAlignment="1" pivotButton="0" quotePrefix="0" xfId="1">
      <alignment horizontal="center" vertical="center" wrapText="1"/>
    </xf>
    <xf numFmtId="9" fontId="1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1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9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</cellXfs>
  <cellStyles count="2">
    <cellStyle name="Normal" xfId="0" builtinId="0"/>
    <cellStyle name="Percent" xfId="1" builtinId="5"/>
  </cellStyles>
  <dxfs count="7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externalLink" Target="/xl/externalLinks/externalLink3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'Plant Head 17.08'!$C$4</f>
              <strCache>
                <ptCount val="1"/>
                <pt idx="0">
                  <v>I Level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'Plant Head 17.08'!$B$5:$B$7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'Plant Head 17.08'!$C$5:$C$7</f>
              <numCache>
                <formatCode>0%</formatCode>
                <ptCount val="3"/>
                <pt idx="0">
                  <v>0.1915215745647237</v>
                </pt>
                <pt idx="1">
                  <v>0.2</v>
                </pt>
                <pt idx="2">
                  <v>0.09319899244332494</v>
                </pt>
              </numCache>
            </numRef>
          </val>
        </ser>
        <ser>
          <idx val="1"/>
          <order val="1"/>
          <tx>
            <strRef>
              <f>'Plant Head 17.08'!$D$4</f>
              <strCache>
                <ptCount val="1"/>
                <pt idx="0">
                  <v>L Level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'Plant Head 17.08'!$B$5:$B$7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'Plant Head 17.08'!$D$5:$D$7</f>
              <numCache>
                <formatCode>0%</formatCode>
                <ptCount val="3"/>
                <pt idx="0">
                  <v>0.41</v>
                </pt>
                <pt idx="1">
                  <v>0.25</v>
                </pt>
                <pt idx="2">
                  <v>0.054575986565911</v>
                </pt>
              </numCache>
            </numRef>
          </val>
        </ser>
        <ser>
          <idx val="2"/>
          <order val="2"/>
          <tx>
            <strRef>
              <f>'Plant Head 17.08'!$E$4</f>
              <strCache>
                <ptCount val="1"/>
                <pt idx="0">
                  <v>U Level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'Plant Head 17.08'!$B$5:$B$7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'Plant Head 17.08'!$E$5:$E$7</f>
              <numCache>
                <formatCode>0%</formatCode>
                <ptCount val="3"/>
                <pt idx="0">
                  <v>0.25</v>
                </pt>
                <pt idx="1">
                  <v>0.35</v>
                </pt>
                <pt idx="2">
                  <v>0.4659949622166247</v>
                </pt>
              </numCache>
            </numRef>
          </val>
        </ser>
        <ser>
          <idx val="3"/>
          <order val="3"/>
          <tx>
            <strRef>
              <f>'Plant Head 17.08'!$F$4</f>
              <strCache>
                <ptCount val="1"/>
                <pt idx="0">
                  <v>O Level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'Plant Head 17.08'!$B$5:$B$7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'Plant Head 17.08'!$F$5:$F$7</f>
              <numCache>
                <formatCode>0%</formatCode>
                <ptCount val="3"/>
                <pt idx="0">
                  <v>0.1453444360333081</v>
                </pt>
                <pt idx="1">
                  <v>0.2</v>
                </pt>
                <pt idx="2">
                  <v>0.3862300587741394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-1388499600"/>
        <axId val="-1388499056"/>
      </barChart>
      <catAx>
        <axId val="-13884996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-1388499056"/>
        <crosses val="autoZero"/>
        <auto val="1"/>
        <lblAlgn val="ctr"/>
        <lblOffset val="100"/>
        <noMultiLvlLbl val="0"/>
      </catAx>
      <valAx>
        <axId val="-13884990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-1388499600"/>
        <crosses val="autoZero"/>
        <crossBetween val="between"/>
      </valAx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7</col>
      <colOff>285750</colOff>
      <row>3</row>
      <rowOff>319087</rowOff>
    </from>
    <to>
      <col>11</col>
      <colOff>552450</colOff>
      <row>17</row>
      <rowOff>128587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sjoseph/AppData/Local/Microsoft/Windows/INetCache/Content.Outlook/26KHAY5M/Copy%20of%20Book1%20(002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sjoseph/Downloads/Left%20Employee%20Report%20(1)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Users/sjoseph/Downloads/Left%20Employee%20Report%20(2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NROLL"/>
      <sheetName val="Sheet1"/>
      <sheetName val="LEFT"/>
    </sheetNames>
    <sheetDataSet>
      <sheetData sheetId="0" refreshError="1"/>
      <sheetData sheetId="1">
        <row r="2">
          <cell r="B2" t="str">
            <v>EMP NO</v>
          </cell>
        </row>
        <row r="3">
          <cell r="B3" t="str">
            <v>KK1356</v>
          </cell>
        </row>
        <row r="4">
          <cell r="B4" t="str">
            <v>SR1220</v>
          </cell>
        </row>
        <row r="5">
          <cell r="B5" t="str">
            <v>AK1049</v>
          </cell>
        </row>
        <row r="6">
          <cell r="B6" t="str">
            <v>AK1109</v>
          </cell>
        </row>
        <row r="7">
          <cell r="B7" t="str">
            <v>SK3419</v>
          </cell>
        </row>
        <row r="8">
          <cell r="B8" t="str">
            <v>KK1240</v>
          </cell>
        </row>
        <row r="9">
          <cell r="B9" t="str">
            <v>SK3534</v>
          </cell>
        </row>
        <row r="10">
          <cell r="B10">
            <v>900344</v>
          </cell>
        </row>
        <row r="11">
          <cell r="B11" t="str">
            <v>KK1203</v>
          </cell>
        </row>
        <row r="12">
          <cell r="B12" t="str">
            <v>SR1235</v>
          </cell>
        </row>
        <row r="13">
          <cell r="B13" t="str">
            <v>SK3464</v>
          </cell>
        </row>
        <row r="14">
          <cell r="B14" t="str">
            <v>SK3535</v>
          </cell>
        </row>
        <row r="15">
          <cell r="B15" t="str">
            <v>SK3548</v>
          </cell>
        </row>
        <row r="16">
          <cell r="B16" t="str">
            <v>KK0966</v>
          </cell>
        </row>
        <row r="17">
          <cell r="B17">
            <v>900208</v>
          </cell>
        </row>
        <row r="18">
          <cell r="B18">
            <v>900419</v>
          </cell>
        </row>
        <row r="19">
          <cell r="B19" t="str">
            <v>PK0841</v>
          </cell>
        </row>
        <row r="20">
          <cell r="B20" t="str">
            <v>PK1143</v>
          </cell>
        </row>
        <row r="21">
          <cell r="B21">
            <v>901153</v>
          </cell>
        </row>
        <row r="22">
          <cell r="B22" t="str">
            <v>SK0695</v>
          </cell>
        </row>
        <row r="23">
          <cell r="B23" t="str">
            <v>SK3340</v>
          </cell>
        </row>
        <row r="24">
          <cell r="B24" t="str">
            <v>MG0939</v>
          </cell>
        </row>
        <row r="25">
          <cell r="B25" t="str">
            <v>SK3014</v>
          </cell>
        </row>
        <row r="26">
          <cell r="B26" t="str">
            <v>SK3015</v>
          </cell>
        </row>
        <row r="27">
          <cell r="B27">
            <v>900416</v>
          </cell>
        </row>
        <row r="28">
          <cell r="B28">
            <v>901155</v>
          </cell>
        </row>
        <row r="29">
          <cell r="B29" t="str">
            <v>KK0185</v>
          </cell>
        </row>
        <row r="30">
          <cell r="B30" t="str">
            <v>PK0816</v>
          </cell>
        </row>
        <row r="31">
          <cell r="B31" t="str">
            <v>PK0918</v>
          </cell>
        </row>
        <row r="32">
          <cell r="B32" t="str">
            <v>SK1646</v>
          </cell>
        </row>
        <row r="33">
          <cell r="B33" t="str">
            <v>SK2292</v>
          </cell>
        </row>
        <row r="34">
          <cell r="B34" t="str">
            <v>AK0298</v>
          </cell>
        </row>
        <row r="35">
          <cell r="B35" t="str">
            <v>AK0714</v>
          </cell>
        </row>
        <row r="36">
          <cell r="B36" t="str">
            <v>KK1385</v>
          </cell>
        </row>
        <row r="37">
          <cell r="B37" t="str">
            <v>SR0711</v>
          </cell>
        </row>
        <row r="38">
          <cell r="B38" t="str">
            <v>SK2274</v>
          </cell>
        </row>
        <row r="39">
          <cell r="B39" t="str">
            <v>AK0885</v>
          </cell>
        </row>
        <row r="40">
          <cell r="B40">
            <v>900213</v>
          </cell>
        </row>
        <row r="41">
          <cell r="B41">
            <v>905553</v>
          </cell>
        </row>
        <row r="42">
          <cell r="B42" t="str">
            <v>KK0562</v>
          </cell>
        </row>
        <row r="43">
          <cell r="B43" t="str">
            <v>PK0670</v>
          </cell>
        </row>
        <row r="44">
          <cell r="B44" t="str">
            <v>KK0450</v>
          </cell>
        </row>
        <row r="45">
          <cell r="B45" t="str">
            <v>PK0710</v>
          </cell>
        </row>
        <row r="46">
          <cell r="B46">
            <v>900539</v>
          </cell>
        </row>
        <row r="47">
          <cell r="B47">
            <v>900764</v>
          </cell>
        </row>
        <row r="48">
          <cell r="B48" t="str">
            <v>PK0664</v>
          </cell>
        </row>
        <row r="49">
          <cell r="B49" t="str">
            <v>PK1179</v>
          </cell>
        </row>
        <row r="50">
          <cell r="B50" t="str">
            <v>PK0662</v>
          </cell>
        </row>
        <row r="51">
          <cell r="B51" t="str">
            <v>PK0932</v>
          </cell>
        </row>
        <row r="52">
          <cell r="B52" t="str">
            <v>PK1183</v>
          </cell>
        </row>
        <row r="53">
          <cell r="B53">
            <v>900154</v>
          </cell>
        </row>
        <row r="54">
          <cell r="B54" t="str">
            <v>AK0215</v>
          </cell>
        </row>
        <row r="55">
          <cell r="B55" t="str">
            <v>AK0598</v>
          </cell>
        </row>
        <row r="56">
          <cell r="B56" t="str">
            <v>SK2347</v>
          </cell>
        </row>
        <row r="57">
          <cell r="B57">
            <v>905514</v>
          </cell>
        </row>
        <row r="58">
          <cell r="B58" t="str">
            <v>AK0634</v>
          </cell>
        </row>
        <row r="59">
          <cell r="B59" t="str">
            <v>AK1073</v>
          </cell>
        </row>
        <row r="60">
          <cell r="B60" t="str">
            <v>SK1705</v>
          </cell>
        </row>
        <row r="61">
          <cell r="B61" t="str">
            <v>SK2243</v>
          </cell>
        </row>
        <row r="62">
          <cell r="B62" t="str">
            <v>SR0258</v>
          </cell>
        </row>
        <row r="63">
          <cell r="B63" t="str">
            <v>SR0291</v>
          </cell>
        </row>
        <row r="64">
          <cell r="B64">
            <v>900413</v>
          </cell>
        </row>
        <row r="65">
          <cell r="B65" t="str">
            <v>KK0100</v>
          </cell>
        </row>
        <row r="66">
          <cell r="B66" t="str">
            <v>PK0830</v>
          </cell>
        </row>
        <row r="67">
          <cell r="B67" t="str">
            <v>SK1282</v>
          </cell>
        </row>
        <row r="68">
          <cell r="B68" t="str">
            <v>SK2502</v>
          </cell>
        </row>
        <row r="69">
          <cell r="B69" t="str">
            <v>SK3033</v>
          </cell>
        </row>
        <row r="70">
          <cell r="B70" t="str">
            <v>SK3392</v>
          </cell>
        </row>
        <row r="71">
          <cell r="B71" t="str">
            <v>SR0364</v>
          </cell>
        </row>
        <row r="72">
          <cell r="B72" t="str">
            <v>AK1011</v>
          </cell>
        </row>
        <row r="73">
          <cell r="B73" t="str">
            <v>KK0019</v>
          </cell>
        </row>
        <row r="74">
          <cell r="B74" t="str">
            <v>KK0475</v>
          </cell>
        </row>
        <row r="75">
          <cell r="B75" t="str">
            <v>SR1351</v>
          </cell>
        </row>
        <row r="76">
          <cell r="B76">
            <v>900128</v>
          </cell>
        </row>
        <row r="77">
          <cell r="B77" t="str">
            <v>AK0930</v>
          </cell>
        </row>
        <row r="78">
          <cell r="B78" t="str">
            <v>KK1103</v>
          </cell>
        </row>
        <row r="79">
          <cell r="B79">
            <v>900529</v>
          </cell>
        </row>
        <row r="80">
          <cell r="B80" t="str">
            <v>KK0214</v>
          </cell>
        </row>
        <row r="81">
          <cell r="B81" t="str">
            <v>MG0178</v>
          </cell>
        </row>
        <row r="82">
          <cell r="B82" t="str">
            <v>LN0116</v>
          </cell>
        </row>
        <row r="83">
          <cell r="B83" t="str">
            <v>LN0285</v>
          </cell>
        </row>
        <row r="84">
          <cell r="B84" t="str">
            <v>SK2142</v>
          </cell>
        </row>
        <row r="85">
          <cell r="B85" t="str">
            <v>SK2354</v>
          </cell>
        </row>
        <row r="86">
          <cell r="B86">
            <v>900458</v>
          </cell>
        </row>
        <row r="87">
          <cell r="B87">
            <v>900771</v>
          </cell>
        </row>
        <row r="88">
          <cell r="B88" t="str">
            <v>KK0405</v>
          </cell>
        </row>
        <row r="89">
          <cell r="B89" t="str">
            <v>KK1290</v>
          </cell>
        </row>
        <row r="90">
          <cell r="B90" t="str">
            <v>SR0701</v>
          </cell>
        </row>
        <row r="91">
          <cell r="B91" t="str">
            <v>SK2842</v>
          </cell>
        </row>
        <row r="92">
          <cell r="B92" t="str">
            <v>SK3016</v>
          </cell>
        </row>
        <row r="93">
          <cell r="B93">
            <v>900770</v>
          </cell>
        </row>
        <row r="94">
          <cell r="B94" t="str">
            <v>SR0519</v>
          </cell>
        </row>
        <row r="95">
          <cell r="B95" t="str">
            <v>SK2173</v>
          </cell>
        </row>
        <row r="96">
          <cell r="B96" t="str">
            <v>SK3174</v>
          </cell>
        </row>
        <row r="97">
          <cell r="B97" t="str">
            <v>SK3469</v>
          </cell>
        </row>
        <row r="98">
          <cell r="B98" t="str">
            <v>SK3486</v>
          </cell>
        </row>
        <row r="99">
          <cell r="B99">
            <v>900156</v>
          </cell>
        </row>
        <row r="100">
          <cell r="B100">
            <v>900348</v>
          </cell>
        </row>
        <row r="101">
          <cell r="B101">
            <v>900353</v>
          </cell>
        </row>
        <row r="102">
          <cell r="B102">
            <v>900826</v>
          </cell>
        </row>
        <row r="103">
          <cell r="B103" t="str">
            <v>LN1101</v>
          </cell>
        </row>
        <row r="104">
          <cell r="B104" t="str">
            <v>LN0904</v>
          </cell>
        </row>
        <row r="105">
          <cell r="B105" t="str">
            <v>MG1218</v>
          </cell>
        </row>
        <row r="106">
          <cell r="B106">
            <v>900523</v>
          </cell>
        </row>
        <row r="107">
          <cell r="B107" t="str">
            <v>SK2827</v>
          </cell>
        </row>
        <row r="108">
          <cell r="B108">
            <v>905545</v>
          </cell>
        </row>
        <row r="109">
          <cell r="B109">
            <v>900320</v>
          </cell>
        </row>
        <row r="110">
          <cell r="B110" t="str">
            <v>KK0285</v>
          </cell>
        </row>
        <row r="111">
          <cell r="B111" t="str">
            <v>PK0363</v>
          </cell>
        </row>
        <row r="112">
          <cell r="B112" t="str">
            <v>PK0250</v>
          </cell>
        </row>
        <row r="113">
          <cell r="B113" t="str">
            <v>PK1309</v>
          </cell>
        </row>
        <row r="114">
          <cell r="B114" t="str">
            <v>SK2868</v>
          </cell>
        </row>
        <row r="115">
          <cell r="B115">
            <v>900766</v>
          </cell>
        </row>
        <row r="116">
          <cell r="B116">
            <v>900145</v>
          </cell>
        </row>
        <row r="117">
          <cell r="B117">
            <v>900146</v>
          </cell>
        </row>
        <row r="118">
          <cell r="B118">
            <v>900152</v>
          </cell>
        </row>
        <row r="119">
          <cell r="B119">
            <v>900160</v>
          </cell>
        </row>
        <row r="120">
          <cell r="B120">
            <v>900349</v>
          </cell>
        </row>
        <row r="121">
          <cell r="B121" t="str">
            <v>KK0046</v>
          </cell>
        </row>
        <row r="122">
          <cell r="B122" t="str">
            <v>KK0186</v>
          </cell>
        </row>
        <row r="123">
          <cell r="B123" t="str">
            <v>SR0999</v>
          </cell>
        </row>
        <row r="124">
          <cell r="B124">
            <v>900402</v>
          </cell>
        </row>
        <row r="125">
          <cell r="B125">
            <v>900411</v>
          </cell>
        </row>
        <row r="126">
          <cell r="B126">
            <v>900827</v>
          </cell>
        </row>
        <row r="127">
          <cell r="B127" t="str">
            <v>SK1674</v>
          </cell>
        </row>
        <row r="128">
          <cell r="B128">
            <v>900205</v>
          </cell>
        </row>
        <row r="129">
          <cell r="B129">
            <v>900838</v>
          </cell>
        </row>
        <row r="130">
          <cell r="B130" t="str">
            <v>KK0123</v>
          </cell>
        </row>
        <row r="131">
          <cell r="B131" t="str">
            <v>LN0469</v>
          </cell>
        </row>
        <row r="132">
          <cell r="B132" t="str">
            <v>KK1456</v>
          </cell>
        </row>
        <row r="133">
          <cell r="B133" t="str">
            <v>SK1678</v>
          </cell>
        </row>
        <row r="134">
          <cell r="B134" t="str">
            <v>KK1401</v>
          </cell>
        </row>
        <row r="135">
          <cell r="B135">
            <v>900313</v>
          </cell>
        </row>
        <row r="136">
          <cell r="B136" t="str">
            <v>PK0216</v>
          </cell>
        </row>
        <row r="137">
          <cell r="B137" t="str">
            <v>PK0814</v>
          </cell>
        </row>
        <row r="138">
          <cell r="B138">
            <v>900828</v>
          </cell>
        </row>
        <row r="139">
          <cell r="B139">
            <v>900165</v>
          </cell>
        </row>
        <row r="140">
          <cell r="B140" t="str">
            <v>SR0853</v>
          </cell>
        </row>
        <row r="141">
          <cell r="B141">
            <v>900334</v>
          </cell>
        </row>
        <row r="142">
          <cell r="B142">
            <v>900763</v>
          </cell>
        </row>
        <row r="143">
          <cell r="B143" t="str">
            <v>KK0343</v>
          </cell>
        </row>
        <row r="144">
          <cell r="B144" t="str">
            <v>SK2293</v>
          </cell>
        </row>
        <row r="145">
          <cell r="B145" t="str">
            <v>SR0166</v>
          </cell>
        </row>
        <row r="146">
          <cell r="B146">
            <v>900347</v>
          </cell>
        </row>
        <row r="147">
          <cell r="B147" t="str">
            <v>SK2858</v>
          </cell>
        </row>
        <row r="148">
          <cell r="B148">
            <v>900193</v>
          </cell>
        </row>
        <row r="149">
          <cell r="B149">
            <v>900196</v>
          </cell>
        </row>
        <row r="150">
          <cell r="B150">
            <v>900405</v>
          </cell>
        </row>
        <row r="151">
          <cell r="B151">
            <v>901157</v>
          </cell>
        </row>
        <row r="152">
          <cell r="B152" t="str">
            <v>AK0444</v>
          </cell>
        </row>
        <row r="153">
          <cell r="B153" t="str">
            <v>MG0243</v>
          </cell>
        </row>
        <row r="154">
          <cell r="B154" t="str">
            <v>PK0190</v>
          </cell>
        </row>
        <row r="155">
          <cell r="B155" t="str">
            <v>SK2596</v>
          </cell>
        </row>
        <row r="156">
          <cell r="B156" t="str">
            <v>SK3034</v>
          </cell>
        </row>
        <row r="157">
          <cell r="B157" t="str">
            <v>SR0581</v>
          </cell>
        </row>
        <row r="158">
          <cell r="B158" t="str">
            <v>SR1031</v>
          </cell>
        </row>
        <row r="159">
          <cell r="B159">
            <v>900586</v>
          </cell>
        </row>
        <row r="160">
          <cell r="B160">
            <v>900593</v>
          </cell>
        </row>
        <row r="161">
          <cell r="B161">
            <v>900594</v>
          </cell>
        </row>
        <row r="162">
          <cell r="B162">
            <v>901160</v>
          </cell>
        </row>
        <row r="163">
          <cell r="B163" t="str">
            <v>AK0849</v>
          </cell>
        </row>
        <row r="164">
          <cell r="B164" t="str">
            <v>AK0850</v>
          </cell>
        </row>
        <row r="165">
          <cell r="B165" t="str">
            <v>SR0401</v>
          </cell>
        </row>
        <row r="166">
          <cell r="B166" t="str">
            <v>SR0735</v>
          </cell>
        </row>
        <row r="167">
          <cell r="B167" t="str">
            <v>SK3722</v>
          </cell>
        </row>
        <row r="168">
          <cell r="B168" t="str">
            <v>SK3721</v>
          </cell>
        </row>
        <row r="169">
          <cell r="B169" t="str">
            <v>SK3729</v>
          </cell>
        </row>
        <row r="170">
          <cell r="B170" t="str">
            <v>LN0969</v>
          </cell>
        </row>
        <row r="171">
          <cell r="B171" t="str">
            <v>PK0860</v>
          </cell>
        </row>
        <row r="172">
          <cell r="B172">
            <v>900588</v>
          </cell>
        </row>
        <row r="173">
          <cell r="B173">
            <v>900540</v>
          </cell>
        </row>
        <row r="174">
          <cell r="B174">
            <v>900192</v>
          </cell>
        </row>
        <row r="175">
          <cell r="B175">
            <v>900194</v>
          </cell>
        </row>
        <row r="176">
          <cell r="B176">
            <v>900195</v>
          </cell>
        </row>
        <row r="177">
          <cell r="B177">
            <v>900367</v>
          </cell>
        </row>
        <row r="178">
          <cell r="B178">
            <v>900448</v>
          </cell>
        </row>
        <row r="179">
          <cell r="B179">
            <v>900462</v>
          </cell>
        </row>
        <row r="180">
          <cell r="B180">
            <v>900590</v>
          </cell>
        </row>
        <row r="181">
          <cell r="B181">
            <v>900825</v>
          </cell>
        </row>
        <row r="182">
          <cell r="B182" t="str">
            <v>AK0358</v>
          </cell>
        </row>
        <row r="183">
          <cell r="B183" t="str">
            <v>AK0823</v>
          </cell>
        </row>
        <row r="184">
          <cell r="B184" t="str">
            <v>PK0708</v>
          </cell>
        </row>
        <row r="185">
          <cell r="B185" t="str">
            <v>SK2362</v>
          </cell>
        </row>
        <row r="186">
          <cell r="B186" t="str">
            <v>SR0882</v>
          </cell>
        </row>
        <row r="187">
          <cell r="B187">
            <v>900409</v>
          </cell>
        </row>
        <row r="188">
          <cell r="B188">
            <v>900592</v>
          </cell>
        </row>
        <row r="189">
          <cell r="B189" t="str">
            <v>SR0391</v>
          </cell>
        </row>
        <row r="190">
          <cell r="B190" t="str">
            <v>SR0818</v>
          </cell>
        </row>
        <row r="191">
          <cell r="B191" t="str">
            <v>MG1467</v>
          </cell>
        </row>
        <row r="192">
          <cell r="B192">
            <v>905533</v>
          </cell>
        </row>
        <row r="193">
          <cell r="B193" t="str">
            <v>PK0665</v>
          </cell>
        </row>
        <row r="194">
          <cell r="B194" t="str">
            <v>SK2035</v>
          </cell>
        </row>
        <row r="195">
          <cell r="B195">
            <v>900139</v>
          </cell>
        </row>
        <row r="196">
          <cell r="B196" t="str">
            <v>MG1546</v>
          </cell>
        </row>
        <row r="197">
          <cell r="B197" t="str">
            <v>SR1488</v>
          </cell>
        </row>
        <row r="198">
          <cell r="B198">
            <v>900140</v>
          </cell>
        </row>
        <row r="199">
          <cell r="B199">
            <v>900189</v>
          </cell>
        </row>
        <row r="200">
          <cell r="B200">
            <v>900403</v>
          </cell>
        </row>
        <row r="201">
          <cell r="B201" t="str">
            <v>AK0931</v>
          </cell>
        </row>
        <row r="202">
          <cell r="B202">
            <v>905516</v>
          </cell>
        </row>
        <row r="203">
          <cell r="B203" t="str">
            <v>SK0945</v>
          </cell>
        </row>
        <row r="204">
          <cell r="B204">
            <v>900264</v>
          </cell>
        </row>
        <row r="205">
          <cell r="B205">
            <v>900412</v>
          </cell>
        </row>
        <row r="206">
          <cell r="B206">
            <v>900583</v>
          </cell>
        </row>
        <row r="207">
          <cell r="B207">
            <v>900587</v>
          </cell>
        </row>
        <row r="208">
          <cell r="B208" t="str">
            <v>AK0437</v>
          </cell>
        </row>
        <row r="209">
          <cell r="B209" t="str">
            <v>KK1236</v>
          </cell>
        </row>
        <row r="210">
          <cell r="B210" t="str">
            <v>MG0940</v>
          </cell>
        </row>
        <row r="211">
          <cell r="B211" t="str">
            <v>SK1258</v>
          </cell>
        </row>
        <row r="212">
          <cell r="B212" t="str">
            <v>SK1762</v>
          </cell>
        </row>
        <row r="213">
          <cell r="B213" t="str">
            <v>SK1972</v>
          </cell>
        </row>
        <row r="214">
          <cell r="B214" t="str">
            <v>SK2238</v>
          </cell>
        </row>
        <row r="215">
          <cell r="B215" t="str">
            <v>SK2383</v>
          </cell>
        </row>
        <row r="216">
          <cell r="B216" t="str">
            <v>SR1010</v>
          </cell>
        </row>
        <row r="217">
          <cell r="B217">
            <v>905521</v>
          </cell>
        </row>
        <row r="218">
          <cell r="B218">
            <v>900202</v>
          </cell>
        </row>
        <row r="219">
          <cell r="B219">
            <v>900366</v>
          </cell>
        </row>
        <row r="220">
          <cell r="B220">
            <v>900407</v>
          </cell>
        </row>
        <row r="221">
          <cell r="B221">
            <v>900833</v>
          </cell>
        </row>
        <row r="222">
          <cell r="B222">
            <v>901156</v>
          </cell>
        </row>
        <row r="223">
          <cell r="B223" t="str">
            <v>AK0283</v>
          </cell>
        </row>
        <row r="224">
          <cell r="B224" t="str">
            <v>AK0445</v>
          </cell>
        </row>
        <row r="225">
          <cell r="B225" t="str">
            <v>KK1100</v>
          </cell>
        </row>
        <row r="226">
          <cell r="B226" t="str">
            <v>MG0881</v>
          </cell>
        </row>
        <row r="227">
          <cell r="B227" t="str">
            <v>MG0915</v>
          </cell>
        </row>
        <row r="228">
          <cell r="B228" t="str">
            <v>SK1190</v>
          </cell>
        </row>
        <row r="229">
          <cell r="B229" t="str">
            <v>SK2298</v>
          </cell>
        </row>
        <row r="230">
          <cell r="B230" t="str">
            <v>SK2330</v>
          </cell>
        </row>
        <row r="231">
          <cell r="B231" t="str">
            <v>SR0703</v>
          </cell>
        </row>
        <row r="232">
          <cell r="B232">
            <v>901158</v>
          </cell>
        </row>
        <row r="233">
          <cell r="B233">
            <v>900121</v>
          </cell>
        </row>
        <row r="234">
          <cell r="B234" t="str">
            <v>AK0216</v>
          </cell>
        </row>
        <row r="235">
          <cell r="B235" t="str">
            <v>KK0910</v>
          </cell>
        </row>
        <row r="236">
          <cell r="B236">
            <v>900314</v>
          </cell>
        </row>
        <row r="237">
          <cell r="B237" t="str">
            <v>AK0812</v>
          </cell>
        </row>
        <row r="238">
          <cell r="B238" t="str">
            <v>SK2833</v>
          </cell>
        </row>
        <row r="239">
          <cell r="B239">
            <v>900823</v>
          </cell>
        </row>
        <row r="240">
          <cell r="B240">
            <v>900591</v>
          </cell>
        </row>
        <row r="241">
          <cell r="B241">
            <v>900401</v>
          </cell>
        </row>
        <row r="242">
          <cell r="B242">
            <v>900404</v>
          </cell>
        </row>
        <row r="243">
          <cell r="B243">
            <v>900414</v>
          </cell>
        </row>
        <row r="244">
          <cell r="B244">
            <v>900738</v>
          </cell>
        </row>
        <row r="245">
          <cell r="B245" t="str">
            <v>SK1524</v>
          </cell>
        </row>
        <row r="246">
          <cell r="B246" t="str">
            <v>SK2333</v>
          </cell>
        </row>
        <row r="247">
          <cell r="B247" t="str">
            <v>SR0179</v>
          </cell>
        </row>
        <row r="248">
          <cell r="B248">
            <v>900765</v>
          </cell>
        </row>
        <row r="249">
          <cell r="B249" t="str">
            <v>AK0799</v>
          </cell>
        </row>
        <row r="250">
          <cell r="B250">
            <v>900582</v>
          </cell>
        </row>
        <row r="251">
          <cell r="B251">
            <v>900585</v>
          </cell>
        </row>
        <row r="252">
          <cell r="B252">
            <v>900836</v>
          </cell>
        </row>
        <row r="253">
          <cell r="B253" t="str">
            <v>PK0800</v>
          </cell>
        </row>
        <row r="254">
          <cell r="B254" t="str">
            <v>PK1042</v>
          </cell>
        </row>
        <row r="255">
          <cell r="B255" t="str">
            <v>SK1703</v>
          </cell>
        </row>
        <row r="256">
          <cell r="B256" t="str">
            <v>SR0377</v>
          </cell>
        </row>
        <row r="257">
          <cell r="B257" t="str">
            <v>SR0564</v>
          </cell>
        </row>
        <row r="258">
          <cell r="B258">
            <v>905506</v>
          </cell>
        </row>
        <row r="259">
          <cell r="B259" t="str">
            <v>MG0924</v>
          </cell>
        </row>
        <row r="260">
          <cell r="B260" t="str">
            <v>SK2692</v>
          </cell>
        </row>
        <row r="261">
          <cell r="B261" t="str">
            <v>AK0225</v>
          </cell>
        </row>
        <row r="262">
          <cell r="B262" t="str">
            <v>AK0693</v>
          </cell>
        </row>
        <row r="263">
          <cell r="B263" t="str">
            <v>SR1300</v>
          </cell>
        </row>
        <row r="264">
          <cell r="B264" t="str">
            <v>SR0117</v>
          </cell>
        </row>
        <row r="265">
          <cell r="B265">
            <v>900337</v>
          </cell>
        </row>
        <row r="266">
          <cell r="B266" t="str">
            <v>PK0151</v>
          </cell>
        </row>
        <row r="267">
          <cell r="B267" t="str">
            <v>SK1512</v>
          </cell>
        </row>
        <row r="268">
          <cell r="B268" t="str">
            <v>PK0689</v>
          </cell>
        </row>
        <row r="269">
          <cell r="B269">
            <v>900831</v>
          </cell>
        </row>
        <row r="270">
          <cell r="B270">
            <v>900832</v>
          </cell>
        </row>
        <row r="271">
          <cell r="B271" t="str">
            <v>AK1018</v>
          </cell>
        </row>
        <row r="272">
          <cell r="B272" t="str">
            <v>SK1530</v>
          </cell>
        </row>
        <row r="273">
          <cell r="B273">
            <v>900214</v>
          </cell>
        </row>
        <row r="274">
          <cell r="B274">
            <v>900829</v>
          </cell>
        </row>
        <row r="275">
          <cell r="B275" t="str">
            <v>PK0692</v>
          </cell>
        </row>
        <row r="276">
          <cell r="B276" t="str">
            <v>PK0732</v>
          </cell>
        </row>
        <row r="277">
          <cell r="B277" t="str">
            <v>PK0895</v>
          </cell>
        </row>
        <row r="278">
          <cell r="B278" t="str">
            <v>SK2429</v>
          </cell>
        </row>
        <row r="279">
          <cell r="B279" t="str">
            <v>SR0871</v>
          </cell>
        </row>
        <row r="280">
          <cell r="B280" t="str">
            <v>SR1043</v>
          </cell>
        </row>
        <row r="281">
          <cell r="B281">
            <v>900840</v>
          </cell>
        </row>
        <row r="282">
          <cell r="B282" t="str">
            <v>SK3709</v>
          </cell>
        </row>
        <row r="283">
          <cell r="B283" t="str">
            <v>SK3727</v>
          </cell>
        </row>
        <row r="284">
          <cell r="B284" t="str">
            <v>LN0811</v>
          </cell>
        </row>
        <row r="285">
          <cell r="B285">
            <v>900834</v>
          </cell>
        </row>
        <row r="286">
          <cell r="B286" t="str">
            <v>KK0468</v>
          </cell>
        </row>
        <row r="287">
          <cell r="B287" t="str">
            <v>SR0645</v>
          </cell>
        </row>
        <row r="288">
          <cell r="B288" t="str">
            <v>MG1185</v>
          </cell>
        </row>
        <row r="289">
          <cell r="B289">
            <v>900538</v>
          </cell>
        </row>
        <row r="290">
          <cell r="B290" t="str">
            <v>SK2727</v>
          </cell>
        </row>
        <row r="291">
          <cell r="B291" t="str">
            <v>AK1151</v>
          </cell>
        </row>
        <row r="292">
          <cell r="B292" t="str">
            <v>SK3585</v>
          </cell>
        </row>
        <row r="293">
          <cell r="B293" t="str">
            <v>SK2435</v>
          </cell>
        </row>
        <row r="294">
          <cell r="B294">
            <v>900188</v>
          </cell>
        </row>
        <row r="295">
          <cell r="B295">
            <v>900406</v>
          </cell>
        </row>
        <row r="296">
          <cell r="B296" t="str">
            <v>KK0530</v>
          </cell>
        </row>
        <row r="297">
          <cell r="B297" t="str">
            <v>SK2357</v>
          </cell>
        </row>
        <row r="298">
          <cell r="B298" t="str">
            <v>PK0986</v>
          </cell>
        </row>
        <row r="299">
          <cell r="B299" t="str">
            <v>LN1099</v>
          </cell>
        </row>
        <row r="300">
          <cell r="B300" t="str">
            <v>LN1046</v>
          </cell>
        </row>
        <row r="301">
          <cell r="B301" t="str">
            <v>PK1443</v>
          </cell>
        </row>
        <row r="302">
          <cell r="B302" t="str">
            <v>AK1147</v>
          </cell>
        </row>
        <row r="303">
          <cell r="B303" t="str">
            <v>SK3416</v>
          </cell>
        </row>
        <row r="304">
          <cell r="B304" t="str">
            <v>KK0897</v>
          </cell>
        </row>
        <row r="305">
          <cell r="B305">
            <v>900589</v>
          </cell>
        </row>
        <row r="306">
          <cell r="B306">
            <v>901159</v>
          </cell>
        </row>
        <row r="307">
          <cell r="B307">
            <v>900835</v>
          </cell>
        </row>
        <row r="308">
          <cell r="B308" t="str">
            <v>SK2301</v>
          </cell>
        </row>
        <row r="309">
          <cell r="B309" t="str">
            <v>AK0871</v>
          </cell>
        </row>
        <row r="310">
          <cell r="B310" t="str">
            <v>SK3584</v>
          </cell>
        </row>
        <row r="311">
          <cell r="B311">
            <v>900762</v>
          </cell>
        </row>
        <row r="312">
          <cell r="B312">
            <v>900768</v>
          </cell>
        </row>
        <row r="313">
          <cell r="B313">
            <v>900126</v>
          </cell>
        </row>
        <row r="314">
          <cell r="B314">
            <v>900769</v>
          </cell>
        </row>
        <row r="315">
          <cell r="B315">
            <v>900211</v>
          </cell>
        </row>
        <row r="316">
          <cell r="B316">
            <v>900584</v>
          </cell>
        </row>
        <row r="317">
          <cell r="B317" t="str">
            <v>PK1084</v>
          </cell>
        </row>
        <row r="318">
          <cell r="B318" t="str">
            <v>SK2415</v>
          </cell>
        </row>
        <row r="319">
          <cell r="B319" t="str">
            <v>SK2381</v>
          </cell>
        </row>
        <row r="320">
          <cell r="B320" t="str">
            <v>LN0795</v>
          </cell>
        </row>
        <row r="321">
          <cell r="B321" t="str">
            <v>KK1463</v>
          </cell>
        </row>
        <row r="322">
          <cell r="B322" t="str">
            <v>PK0691</v>
          </cell>
        </row>
        <row r="323">
          <cell r="B323" t="str">
            <v>SK2401</v>
          </cell>
        </row>
        <row r="324">
          <cell r="B324" t="str">
            <v>AK0872</v>
          </cell>
        </row>
        <row r="325">
          <cell r="B325" t="str">
            <v>PK0684</v>
          </cell>
        </row>
        <row r="326">
          <cell r="B326">
            <v>900415</v>
          </cell>
        </row>
        <row r="327">
          <cell r="B327" t="str">
            <v>SR1420</v>
          </cell>
        </row>
        <row r="328">
          <cell r="B328" t="str">
            <v>SK3436</v>
          </cell>
        </row>
        <row r="329">
          <cell r="B329">
            <v>900761</v>
          </cell>
        </row>
        <row r="330">
          <cell r="B330">
            <v>900190</v>
          </cell>
        </row>
        <row r="331">
          <cell r="B331" t="str">
            <v>SK0954</v>
          </cell>
        </row>
        <row r="332">
          <cell r="B332">
            <v>900127</v>
          </cell>
        </row>
        <row r="333">
          <cell r="B333" t="str">
            <v>SK3012</v>
          </cell>
        </row>
        <row r="334">
          <cell r="B334" t="str">
            <v>SR1433</v>
          </cell>
        </row>
        <row r="335">
          <cell r="B335" t="str">
            <v>LN0842</v>
          </cell>
        </row>
        <row r="336">
          <cell r="B336" t="str">
            <v>UDS1649</v>
          </cell>
        </row>
        <row r="337">
          <cell r="B337" t="str">
            <v>UDS1648</v>
          </cell>
        </row>
        <row r="338">
          <cell r="B338" t="str">
            <v>LN0977</v>
          </cell>
        </row>
        <row r="339">
          <cell r="B339" t="str">
            <v>SK2803</v>
          </cell>
        </row>
        <row r="340">
          <cell r="B340" t="str">
            <v>SK2718</v>
          </cell>
        </row>
        <row r="341">
          <cell r="B341" t="str">
            <v>LN0030</v>
          </cell>
        </row>
        <row r="342">
          <cell r="B342" t="str">
            <v>PK1534</v>
          </cell>
        </row>
        <row r="343">
          <cell r="B343">
            <v>900531</v>
          </cell>
        </row>
        <row r="344">
          <cell r="B344" t="str">
            <v>KK1053</v>
          </cell>
        </row>
        <row r="345">
          <cell r="B345" t="str">
            <v>UDS1669</v>
          </cell>
        </row>
        <row r="346">
          <cell r="B346" t="str">
            <v>SK2338</v>
          </cell>
        </row>
        <row r="347">
          <cell r="B347" t="str">
            <v>SK3415</v>
          </cell>
        </row>
        <row r="348">
          <cell r="B348" t="str">
            <v>PK1476</v>
          </cell>
        </row>
        <row r="349">
          <cell r="B349" t="str">
            <v>LN0653</v>
          </cell>
        </row>
        <row r="350">
          <cell r="B350" t="str">
            <v>PK1458</v>
          </cell>
        </row>
        <row r="351">
          <cell r="B351" t="str">
            <v>SK2746</v>
          </cell>
        </row>
        <row r="352">
          <cell r="B352" t="str">
            <v>KK0582</v>
          </cell>
        </row>
        <row r="353">
          <cell r="B353" t="str">
            <v>KK0644</v>
          </cell>
        </row>
        <row r="354">
          <cell r="B354" t="str">
            <v>KK1336</v>
          </cell>
        </row>
        <row r="355">
          <cell r="B355" t="str">
            <v>PK1037</v>
          </cell>
        </row>
        <row r="356">
          <cell r="B356" t="str">
            <v>SK3056</v>
          </cell>
        </row>
        <row r="357">
          <cell r="B357">
            <v>900118</v>
          </cell>
        </row>
        <row r="358">
          <cell r="B358">
            <v>900119</v>
          </cell>
        </row>
        <row r="359">
          <cell r="B359">
            <v>900120</v>
          </cell>
        </row>
        <row r="360">
          <cell r="B360">
            <v>900122</v>
          </cell>
        </row>
        <row r="361">
          <cell r="B361">
            <v>900315</v>
          </cell>
        </row>
        <row r="362">
          <cell r="B362">
            <v>900316</v>
          </cell>
        </row>
        <row r="363">
          <cell r="B363">
            <v>900524</v>
          </cell>
        </row>
        <row r="364">
          <cell r="B364">
            <v>900525</v>
          </cell>
        </row>
        <row r="365">
          <cell r="B365">
            <v>900754</v>
          </cell>
        </row>
        <row r="366">
          <cell r="B366">
            <v>900755</v>
          </cell>
        </row>
        <row r="367">
          <cell r="B367">
            <v>900756</v>
          </cell>
        </row>
        <row r="368">
          <cell r="B368">
            <v>900757</v>
          </cell>
        </row>
        <row r="369">
          <cell r="B369">
            <v>900758</v>
          </cell>
        </row>
        <row r="370">
          <cell r="B370">
            <v>900759</v>
          </cell>
        </row>
        <row r="371">
          <cell r="B371">
            <v>900760</v>
          </cell>
        </row>
        <row r="372">
          <cell r="B372" t="str">
            <v>SK3466</v>
          </cell>
        </row>
        <row r="373">
          <cell r="B373">
            <v>900123</v>
          </cell>
        </row>
        <row r="374">
          <cell r="B374">
            <v>900527</v>
          </cell>
        </row>
        <row r="375">
          <cell r="B375">
            <v>900528</v>
          </cell>
        </row>
        <row r="376">
          <cell r="B376">
            <v>900782</v>
          </cell>
        </row>
        <row r="377">
          <cell r="B377">
            <v>905550</v>
          </cell>
        </row>
        <row r="378">
          <cell r="B378" t="str">
            <v>AK0554</v>
          </cell>
        </row>
        <row r="379">
          <cell r="B379" t="str">
            <v>AK0613</v>
          </cell>
        </row>
        <row r="380">
          <cell r="B380" t="str">
            <v>AK0802</v>
          </cell>
        </row>
        <row r="381">
          <cell r="B381" t="str">
            <v>AK1183</v>
          </cell>
        </row>
        <row r="382">
          <cell r="B382" t="str">
            <v>KK0532</v>
          </cell>
        </row>
        <row r="383">
          <cell r="B383" t="str">
            <v>KK1268</v>
          </cell>
        </row>
        <row r="384">
          <cell r="B384" t="str">
            <v>LN0803</v>
          </cell>
        </row>
        <row r="385">
          <cell r="B385" t="str">
            <v>MG0779</v>
          </cell>
        </row>
        <row r="386">
          <cell r="B386" t="str">
            <v>MG0927</v>
          </cell>
        </row>
        <row r="387">
          <cell r="B387" t="str">
            <v>PK0229</v>
          </cell>
        </row>
        <row r="388">
          <cell r="B388" t="str">
            <v>PK0680</v>
          </cell>
        </row>
        <row r="389">
          <cell r="B389" t="str">
            <v>PK0890</v>
          </cell>
        </row>
        <row r="390">
          <cell r="B390" t="str">
            <v>PK0941</v>
          </cell>
        </row>
        <row r="391">
          <cell r="B391" t="str">
            <v>SK1752</v>
          </cell>
        </row>
        <row r="392">
          <cell r="B392" t="str">
            <v>SK1895</v>
          </cell>
        </row>
        <row r="393">
          <cell r="B393" t="str">
            <v>SK2011</v>
          </cell>
        </row>
        <row r="394">
          <cell r="B394" t="str">
            <v>SK2307</v>
          </cell>
        </row>
        <row r="395">
          <cell r="B395" t="str">
            <v>SK2952</v>
          </cell>
        </row>
        <row r="396">
          <cell r="B396" t="str">
            <v>SK3599</v>
          </cell>
        </row>
        <row r="397">
          <cell r="B397" t="str">
            <v>SK3600</v>
          </cell>
        </row>
        <row r="398">
          <cell r="B398" t="str">
            <v>SK3638</v>
          </cell>
        </row>
        <row r="399">
          <cell r="B399" t="str">
            <v>SR0635</v>
          </cell>
        </row>
        <row r="400">
          <cell r="B400" t="str">
            <v>SR0639</v>
          </cell>
        </row>
        <row r="401">
          <cell r="B401" t="str">
            <v>SR0681</v>
          </cell>
        </row>
        <row r="402">
          <cell r="B402" t="str">
            <v>SR0968</v>
          </cell>
        </row>
        <row r="403">
          <cell r="B403" t="str">
            <v>SR1049</v>
          </cell>
        </row>
        <row r="404">
          <cell r="B404">
            <v>900318</v>
          </cell>
        </row>
        <row r="405">
          <cell r="B405">
            <v>900319</v>
          </cell>
        </row>
        <row r="406">
          <cell r="B406">
            <v>900457</v>
          </cell>
        </row>
        <row r="407">
          <cell r="B407">
            <v>900526</v>
          </cell>
        </row>
        <row r="408">
          <cell r="B408">
            <v>900854</v>
          </cell>
        </row>
        <row r="409">
          <cell r="B409">
            <v>901131</v>
          </cell>
        </row>
        <row r="410">
          <cell r="B410">
            <v>905525</v>
          </cell>
        </row>
        <row r="411">
          <cell r="B411">
            <v>905534</v>
          </cell>
        </row>
        <row r="412">
          <cell r="B412">
            <v>905547</v>
          </cell>
        </row>
        <row r="413">
          <cell r="B413">
            <v>905555</v>
          </cell>
        </row>
        <row r="414">
          <cell r="B414">
            <v>905556</v>
          </cell>
        </row>
        <row r="415">
          <cell r="B415" t="str">
            <v>KK1205</v>
          </cell>
        </row>
        <row r="416">
          <cell r="B416" t="str">
            <v>KK1490</v>
          </cell>
        </row>
        <row r="417">
          <cell r="B417" t="str">
            <v>MG0620</v>
          </cell>
        </row>
        <row r="418">
          <cell r="B418" t="str">
            <v>MG1130</v>
          </cell>
        </row>
        <row r="419">
          <cell r="B419" t="str">
            <v>MG1135</v>
          </cell>
        </row>
        <row r="420">
          <cell r="B420" t="str">
            <v>MG1393</v>
          </cell>
        </row>
        <row r="421">
          <cell r="B421" t="str">
            <v>PK0446</v>
          </cell>
        </row>
        <row r="422">
          <cell r="B422" t="str">
            <v>PK0697</v>
          </cell>
        </row>
        <row r="423">
          <cell r="B423" t="str">
            <v>SK1647</v>
          </cell>
        </row>
        <row r="424">
          <cell r="B424" t="str">
            <v>SK2313</v>
          </cell>
        </row>
        <row r="425">
          <cell r="B425" t="str">
            <v>SK2319</v>
          </cell>
        </row>
        <row r="426">
          <cell r="B426" t="str">
            <v>SK2408</v>
          </cell>
        </row>
        <row r="427">
          <cell r="B427" t="str">
            <v>SR0272</v>
          </cell>
        </row>
        <row r="428">
          <cell r="B428" t="str">
            <v>SR0642</v>
          </cell>
        </row>
        <row r="429">
          <cell r="B429" t="str">
            <v>SR0944</v>
          </cell>
        </row>
        <row r="430">
          <cell r="B430">
            <v>900312</v>
          </cell>
        </row>
        <row r="431">
          <cell r="B431">
            <v>900317</v>
          </cell>
        </row>
        <row r="432">
          <cell r="B432">
            <v>900332</v>
          </cell>
        </row>
        <row r="433">
          <cell r="B433">
            <v>900568</v>
          </cell>
        </row>
        <row r="434">
          <cell r="B434">
            <v>900569</v>
          </cell>
        </row>
        <row r="435">
          <cell r="B435">
            <v>900780</v>
          </cell>
        </row>
        <row r="436">
          <cell r="B436">
            <v>900855</v>
          </cell>
        </row>
        <row r="437">
          <cell r="B437" t="str">
            <v>AK0281</v>
          </cell>
        </row>
        <row r="438">
          <cell r="B438" t="str">
            <v>AK0992</v>
          </cell>
        </row>
        <row r="439">
          <cell r="B439" t="str">
            <v>KK0695</v>
          </cell>
        </row>
        <row r="440">
          <cell r="B440" t="str">
            <v>KK1084</v>
          </cell>
        </row>
        <row r="441">
          <cell r="B441" t="str">
            <v>MG1227</v>
          </cell>
        </row>
        <row r="442">
          <cell r="B442" t="str">
            <v>MG1229</v>
          </cell>
        </row>
        <row r="443">
          <cell r="B443" t="str">
            <v>MG1249</v>
          </cell>
        </row>
        <row r="444">
          <cell r="B444" t="str">
            <v>PK0566</v>
          </cell>
        </row>
        <row r="445">
          <cell r="B445" t="str">
            <v>PK0621</v>
          </cell>
        </row>
        <row r="446">
          <cell r="B446" t="str">
            <v>SK0362</v>
          </cell>
        </row>
        <row r="447">
          <cell r="B447" t="str">
            <v>SK0586</v>
          </cell>
        </row>
        <row r="448">
          <cell r="B448" t="str">
            <v>SK2700</v>
          </cell>
        </row>
        <row r="449">
          <cell r="B449" t="str">
            <v>SK2913</v>
          </cell>
        </row>
        <row r="450">
          <cell r="B450" t="str">
            <v>SR0024</v>
          </cell>
        </row>
        <row r="451">
          <cell r="B451" t="str">
            <v>SR0733</v>
          </cell>
        </row>
        <row r="452">
          <cell r="B452" t="str">
            <v>SR0889</v>
          </cell>
        </row>
        <row r="453">
          <cell r="B453" t="str">
            <v>SR0892</v>
          </cell>
        </row>
        <row r="454">
          <cell r="B454">
            <v>900530</v>
          </cell>
        </row>
        <row r="455">
          <cell r="B455" t="str">
            <v>MG1216</v>
          </cell>
        </row>
        <row r="456">
          <cell r="B456" t="str">
            <v>SK3155</v>
          </cell>
        </row>
        <row r="457">
          <cell r="B457">
            <v>900207</v>
          </cell>
        </row>
        <row r="458">
          <cell r="B458">
            <v>900324</v>
          </cell>
        </row>
        <row r="459">
          <cell r="B459">
            <v>900327</v>
          </cell>
        </row>
        <row r="460">
          <cell r="B460">
            <v>900778</v>
          </cell>
        </row>
        <row r="461">
          <cell r="B461">
            <v>900830</v>
          </cell>
        </row>
        <row r="462">
          <cell r="B462" t="str">
            <v>PK0328</v>
          </cell>
        </row>
        <row r="463">
          <cell r="B463" t="str">
            <v>SK2371</v>
          </cell>
        </row>
        <row r="464">
          <cell r="B464" t="str">
            <v>SK3052</v>
          </cell>
        </row>
        <row r="465">
          <cell r="B465" t="str">
            <v>SR0921</v>
          </cell>
        </row>
        <row r="466">
          <cell r="B466">
            <v>900130</v>
          </cell>
        </row>
        <row r="467">
          <cell r="B467">
            <v>900133</v>
          </cell>
        </row>
        <row r="468">
          <cell r="B468">
            <v>900135</v>
          </cell>
        </row>
        <row r="469">
          <cell r="B469">
            <v>900323</v>
          </cell>
        </row>
        <row r="470">
          <cell r="B470">
            <v>900325</v>
          </cell>
        </row>
        <row r="471">
          <cell r="B471">
            <v>900326</v>
          </cell>
        </row>
        <row r="472">
          <cell r="B472">
            <v>900328</v>
          </cell>
        </row>
        <row r="473">
          <cell r="B473">
            <v>900330</v>
          </cell>
        </row>
        <row r="474">
          <cell r="B474">
            <v>900331</v>
          </cell>
        </row>
        <row r="475">
          <cell r="B475">
            <v>900333</v>
          </cell>
        </row>
        <row r="476">
          <cell r="B476">
            <v>900774</v>
          </cell>
        </row>
        <row r="477">
          <cell r="B477">
            <v>900776</v>
          </cell>
        </row>
        <row r="478">
          <cell r="B478">
            <v>900777</v>
          </cell>
        </row>
        <row r="479">
          <cell r="B479">
            <v>900853</v>
          </cell>
        </row>
        <row r="480">
          <cell r="B480" t="str">
            <v>AK0453</v>
          </cell>
        </row>
        <row r="481">
          <cell r="B481" t="str">
            <v>AK0539</v>
          </cell>
        </row>
        <row r="482">
          <cell r="B482" t="str">
            <v>SK2017</v>
          </cell>
        </row>
        <row r="483">
          <cell r="B483" t="str">
            <v>SK2280</v>
          </cell>
        </row>
        <row r="484">
          <cell r="B484" t="str">
            <v>SK2399</v>
          </cell>
        </row>
        <row r="485">
          <cell r="B485" t="str">
            <v>SK2990</v>
          </cell>
        </row>
        <row r="486">
          <cell r="B486" t="str">
            <v>SK3125</v>
          </cell>
        </row>
        <row r="487">
          <cell r="B487">
            <v>900129</v>
          </cell>
        </row>
        <row r="488">
          <cell r="B488">
            <v>900132</v>
          </cell>
        </row>
        <row r="489">
          <cell r="B489">
            <v>900134</v>
          </cell>
        </row>
        <row r="490">
          <cell r="B490">
            <v>900321</v>
          </cell>
        </row>
        <row r="491">
          <cell r="B491">
            <v>900322</v>
          </cell>
        </row>
        <row r="492">
          <cell r="B492">
            <v>900329</v>
          </cell>
        </row>
        <row r="493">
          <cell r="B493">
            <v>900535</v>
          </cell>
        </row>
        <row r="494">
          <cell r="B494">
            <v>900773</v>
          </cell>
        </row>
        <row r="495">
          <cell r="B495" t="str">
            <v>KK0316</v>
          </cell>
        </row>
        <row r="496">
          <cell r="B496" t="str">
            <v>MG1484</v>
          </cell>
        </row>
        <row r="497">
          <cell r="B497" t="str">
            <v>PK0674</v>
          </cell>
        </row>
        <row r="498">
          <cell r="B498" t="str">
            <v>PK1170</v>
          </cell>
        </row>
        <row r="499">
          <cell r="B499" t="str">
            <v>PK1436</v>
          </cell>
        </row>
        <row r="500">
          <cell r="B500" t="str">
            <v>SK1559</v>
          </cell>
        </row>
        <row r="501">
          <cell r="B501" t="str">
            <v>SK2185</v>
          </cell>
        </row>
        <row r="502">
          <cell r="B502" t="str">
            <v>SK3331</v>
          </cell>
        </row>
        <row r="503">
          <cell r="B503" t="str">
            <v>SR0375</v>
          </cell>
        </row>
        <row r="504">
          <cell r="B504" t="str">
            <v>SR0945</v>
          </cell>
        </row>
        <row r="505">
          <cell r="B505">
            <v>900131</v>
          </cell>
        </row>
        <row r="506">
          <cell r="B506">
            <v>900206</v>
          </cell>
        </row>
        <row r="507">
          <cell r="B507">
            <v>900532</v>
          </cell>
        </row>
        <row r="508">
          <cell r="B508">
            <v>900536</v>
          </cell>
        </row>
        <row r="509">
          <cell r="B509">
            <v>900775</v>
          </cell>
        </row>
        <row r="510">
          <cell r="B510" t="str">
            <v>AK0888</v>
          </cell>
        </row>
        <row r="511">
          <cell r="B511" t="str">
            <v>AK0982</v>
          </cell>
        </row>
        <row r="512">
          <cell r="B512" t="str">
            <v>KK0664</v>
          </cell>
        </row>
        <row r="513">
          <cell r="B513" t="str">
            <v>PK0104</v>
          </cell>
        </row>
        <row r="514">
          <cell r="B514" t="str">
            <v>PK1316</v>
          </cell>
        </row>
        <row r="515">
          <cell r="B515" t="str">
            <v>SK0056</v>
          </cell>
        </row>
        <row r="516">
          <cell r="B516" t="str">
            <v>SK2152</v>
          </cell>
        </row>
        <row r="517">
          <cell r="B517" t="str">
            <v>SK2346</v>
          </cell>
        </row>
        <row r="518">
          <cell r="B518" t="str">
            <v>SK3497</v>
          </cell>
        </row>
        <row r="519">
          <cell r="B519" t="str">
            <v>SR0012</v>
          </cell>
        </row>
        <row r="520">
          <cell r="B520" t="str">
            <v>SR0127</v>
          </cell>
        </row>
        <row r="521">
          <cell r="B521">
            <v>900147</v>
          </cell>
        </row>
        <row r="522">
          <cell r="B522">
            <v>900149</v>
          </cell>
        </row>
        <row r="523">
          <cell r="B523">
            <v>900150</v>
          </cell>
        </row>
        <row r="524">
          <cell r="B524">
            <v>900151</v>
          </cell>
        </row>
        <row r="525">
          <cell r="B525">
            <v>900159</v>
          </cell>
        </row>
        <row r="526">
          <cell r="B526">
            <v>900197</v>
          </cell>
        </row>
        <row r="527">
          <cell r="B527">
            <v>900345</v>
          </cell>
        </row>
        <row r="528">
          <cell r="B528">
            <v>900346</v>
          </cell>
        </row>
        <row r="529">
          <cell r="B529">
            <v>900350</v>
          </cell>
        </row>
        <row r="530">
          <cell r="B530">
            <v>900351</v>
          </cell>
        </row>
        <row r="531">
          <cell r="B531">
            <v>900352</v>
          </cell>
        </row>
        <row r="532">
          <cell r="B532">
            <v>900439</v>
          </cell>
        </row>
        <row r="533">
          <cell r="B533">
            <v>900557</v>
          </cell>
        </row>
        <row r="534">
          <cell r="B534">
            <v>900559</v>
          </cell>
        </row>
        <row r="535">
          <cell r="B535">
            <v>900560</v>
          </cell>
        </row>
        <row r="536">
          <cell r="B536">
            <v>900819</v>
          </cell>
        </row>
        <row r="537">
          <cell r="B537">
            <v>900822</v>
          </cell>
        </row>
        <row r="538">
          <cell r="B538">
            <v>901150</v>
          </cell>
        </row>
        <row r="539">
          <cell r="B539">
            <v>901151</v>
          </cell>
        </row>
        <row r="540">
          <cell r="B540">
            <v>901152</v>
          </cell>
        </row>
        <row r="541">
          <cell r="B541">
            <v>905500</v>
          </cell>
        </row>
        <row r="542">
          <cell r="B542" t="str">
            <v>AK0650</v>
          </cell>
        </row>
        <row r="543">
          <cell r="B543" t="str">
            <v>AK0877</v>
          </cell>
        </row>
        <row r="544">
          <cell r="B544" t="str">
            <v>AK0878</v>
          </cell>
        </row>
        <row r="545">
          <cell r="B545" t="str">
            <v>AK0879</v>
          </cell>
        </row>
        <row r="546">
          <cell r="B546" t="str">
            <v>AK0880</v>
          </cell>
        </row>
        <row r="547">
          <cell r="B547" t="str">
            <v>AK0882</v>
          </cell>
        </row>
        <row r="548">
          <cell r="B548" t="str">
            <v>AK1016</v>
          </cell>
        </row>
        <row r="549">
          <cell r="B549" t="str">
            <v>AK1072</v>
          </cell>
        </row>
        <row r="550">
          <cell r="B550" t="str">
            <v>AK1095</v>
          </cell>
        </row>
        <row r="551">
          <cell r="B551" t="str">
            <v>KK0855</v>
          </cell>
        </row>
        <row r="552">
          <cell r="B552" t="str">
            <v>KK0994</v>
          </cell>
        </row>
        <row r="553">
          <cell r="B553" t="str">
            <v>KK1423</v>
          </cell>
        </row>
        <row r="554">
          <cell r="B554" t="str">
            <v>KK1467</v>
          </cell>
        </row>
        <row r="555">
          <cell r="B555" t="str">
            <v>PK0706</v>
          </cell>
        </row>
        <row r="556">
          <cell r="B556" t="str">
            <v>PK0709</v>
          </cell>
        </row>
        <row r="557">
          <cell r="B557" t="str">
            <v>PK1556</v>
          </cell>
        </row>
        <row r="558">
          <cell r="B558" t="str">
            <v>SK1281</v>
          </cell>
        </row>
        <row r="559">
          <cell r="B559" t="str">
            <v>SK2311</v>
          </cell>
        </row>
        <row r="560">
          <cell r="B560" t="str">
            <v>SK2343</v>
          </cell>
        </row>
        <row r="561">
          <cell r="B561" t="str">
            <v>SK2392</v>
          </cell>
        </row>
        <row r="562">
          <cell r="B562" t="str">
            <v>SK2839</v>
          </cell>
        </row>
        <row r="563">
          <cell r="B563" t="str">
            <v>SK2940</v>
          </cell>
        </row>
        <row r="564">
          <cell r="B564" t="str">
            <v>SR0106</v>
          </cell>
        </row>
        <row r="565">
          <cell r="B565" t="str">
            <v>SR0732</v>
          </cell>
        </row>
        <row r="566">
          <cell r="B566" t="str">
            <v>SR0740</v>
          </cell>
        </row>
        <row r="567">
          <cell r="B567" t="str">
            <v>SR0753</v>
          </cell>
        </row>
        <row r="568">
          <cell r="B568" t="str">
            <v>SR0773</v>
          </cell>
        </row>
        <row r="569">
          <cell r="B569" t="str">
            <v>SR1179</v>
          </cell>
        </row>
        <row r="570">
          <cell r="B570" t="str">
            <v>SR1200</v>
          </cell>
        </row>
        <row r="571">
          <cell r="B571" t="str">
            <v>SR1211</v>
          </cell>
        </row>
        <row r="572">
          <cell r="B572" t="str">
            <v>SR1292</v>
          </cell>
        </row>
        <row r="573">
          <cell r="B573" t="str">
            <v>SR1430</v>
          </cell>
        </row>
        <row r="574">
          <cell r="B574">
            <v>900136</v>
          </cell>
        </row>
        <row r="575">
          <cell r="B575">
            <v>900137</v>
          </cell>
        </row>
        <row r="576">
          <cell r="B576">
            <v>900203</v>
          </cell>
        </row>
        <row r="577">
          <cell r="B577">
            <v>900335</v>
          </cell>
        </row>
        <row r="578">
          <cell r="B578">
            <v>900336</v>
          </cell>
        </row>
        <row r="579">
          <cell r="B579">
            <v>900537</v>
          </cell>
        </row>
        <row r="580">
          <cell r="B580">
            <v>900541</v>
          </cell>
        </row>
        <row r="581">
          <cell r="B581">
            <v>900767</v>
          </cell>
        </row>
        <row r="582">
          <cell r="B582">
            <v>901130</v>
          </cell>
        </row>
        <row r="583">
          <cell r="B583" t="str">
            <v>AK0272</v>
          </cell>
        </row>
        <row r="584">
          <cell r="B584" t="str">
            <v>AK0308</v>
          </cell>
        </row>
        <row r="585">
          <cell r="B585" t="str">
            <v>KK0944</v>
          </cell>
        </row>
        <row r="586">
          <cell r="B586" t="str">
            <v>LN0895</v>
          </cell>
        </row>
        <row r="587">
          <cell r="B587" t="str">
            <v>MG0463</v>
          </cell>
        </row>
        <row r="588">
          <cell r="B588" t="str">
            <v>MG1506</v>
          </cell>
        </row>
        <row r="589">
          <cell r="B589" t="str">
            <v>PK1322</v>
          </cell>
        </row>
        <row r="590">
          <cell r="B590" t="str">
            <v>SK2281</v>
          </cell>
        </row>
        <row r="591">
          <cell r="B591" t="str">
            <v>SK3010</v>
          </cell>
        </row>
        <row r="592">
          <cell r="B592" t="str">
            <v>SK3020</v>
          </cell>
        </row>
        <row r="593">
          <cell r="B593">
            <v>900155</v>
          </cell>
        </row>
        <row r="594">
          <cell r="B594">
            <v>900157</v>
          </cell>
        </row>
        <row r="595">
          <cell r="B595">
            <v>900245</v>
          </cell>
        </row>
        <row r="596">
          <cell r="B596">
            <v>900251</v>
          </cell>
        </row>
        <row r="597">
          <cell r="B597">
            <v>900463</v>
          </cell>
        </row>
        <row r="598">
          <cell r="B598">
            <v>900558</v>
          </cell>
        </row>
        <row r="599">
          <cell r="B599">
            <v>900605</v>
          </cell>
        </row>
        <row r="600">
          <cell r="B600">
            <v>900820</v>
          </cell>
        </row>
        <row r="601">
          <cell r="B601">
            <v>900821</v>
          </cell>
        </row>
        <row r="602">
          <cell r="B602">
            <v>900824</v>
          </cell>
        </row>
        <row r="603">
          <cell r="B603">
            <v>901149</v>
          </cell>
        </row>
        <row r="604">
          <cell r="B604">
            <v>905509</v>
          </cell>
        </row>
        <row r="605">
          <cell r="B605">
            <v>905562</v>
          </cell>
        </row>
        <row r="606">
          <cell r="B606" t="str">
            <v>AK0829</v>
          </cell>
        </row>
        <row r="607">
          <cell r="B607" t="str">
            <v>KK0131</v>
          </cell>
        </row>
        <row r="608">
          <cell r="B608" t="str">
            <v>KK1091</v>
          </cell>
        </row>
        <row r="609">
          <cell r="B609" t="str">
            <v>KK1380</v>
          </cell>
        </row>
        <row r="610">
          <cell r="B610" t="str">
            <v>MG0366</v>
          </cell>
        </row>
        <row r="611">
          <cell r="B611" t="str">
            <v>MG1285</v>
          </cell>
        </row>
        <row r="612">
          <cell r="B612" t="str">
            <v>MG1461</v>
          </cell>
        </row>
        <row r="613">
          <cell r="B613" t="str">
            <v>MG1528</v>
          </cell>
        </row>
        <row r="614">
          <cell r="B614" t="str">
            <v>PK0548</v>
          </cell>
        </row>
        <row r="615">
          <cell r="B615" t="str">
            <v>PK0549</v>
          </cell>
        </row>
        <row r="616">
          <cell r="B616" t="str">
            <v>PK0852</v>
          </cell>
        </row>
        <row r="617">
          <cell r="B617" t="str">
            <v>PK1381</v>
          </cell>
        </row>
        <row r="618">
          <cell r="B618" t="str">
            <v>PK1445</v>
          </cell>
        </row>
        <row r="619">
          <cell r="B619" t="str">
            <v>SK2434</v>
          </cell>
        </row>
        <row r="620">
          <cell r="B620" t="str">
            <v>SK2927</v>
          </cell>
        </row>
        <row r="621">
          <cell r="B621" t="str">
            <v>SR1345</v>
          </cell>
        </row>
        <row r="622">
          <cell r="B622">
            <v>900533</v>
          </cell>
        </row>
        <row r="623">
          <cell r="B623">
            <v>900779</v>
          </cell>
        </row>
        <row r="624">
          <cell r="B624">
            <v>900781</v>
          </cell>
        </row>
        <row r="625">
          <cell r="B625">
            <v>905548</v>
          </cell>
        </row>
        <row r="626">
          <cell r="B626" t="str">
            <v>SK2661</v>
          </cell>
        </row>
        <row r="627">
          <cell r="B627">
            <v>901175</v>
          </cell>
        </row>
        <row r="628">
          <cell r="B628" t="str">
            <v>AK0223</v>
          </cell>
        </row>
        <row r="629">
          <cell r="B629" t="str">
            <v>AK0524</v>
          </cell>
        </row>
        <row r="630">
          <cell r="B630" t="str">
            <v>AK0654</v>
          </cell>
        </row>
        <row r="631">
          <cell r="B631" t="str">
            <v>AK1069</v>
          </cell>
        </row>
        <row r="632">
          <cell r="B632" t="str">
            <v>AK1185</v>
          </cell>
        </row>
        <row r="633">
          <cell r="B633" t="str">
            <v>KK0527</v>
          </cell>
        </row>
        <row r="634">
          <cell r="B634" t="str">
            <v>KK0672</v>
          </cell>
        </row>
        <row r="635">
          <cell r="B635" t="str">
            <v>KK0703</v>
          </cell>
        </row>
        <row r="636">
          <cell r="B636" t="str">
            <v>KK0704</v>
          </cell>
        </row>
        <row r="637">
          <cell r="B637" t="str">
            <v>KK1159</v>
          </cell>
        </row>
        <row r="638">
          <cell r="B638" t="str">
            <v>KK1178</v>
          </cell>
        </row>
        <row r="639">
          <cell r="B639" t="str">
            <v>KK1286</v>
          </cell>
        </row>
        <row r="640">
          <cell r="B640" t="str">
            <v>KK1293</v>
          </cell>
        </row>
        <row r="641">
          <cell r="B641" t="str">
            <v>KK1318</v>
          </cell>
        </row>
        <row r="642">
          <cell r="B642" t="str">
            <v>KK1361</v>
          </cell>
        </row>
        <row r="643">
          <cell r="B643" t="str">
            <v>KK1429</v>
          </cell>
        </row>
        <row r="644">
          <cell r="B644" t="str">
            <v>LN0643</v>
          </cell>
        </row>
        <row r="645">
          <cell r="B645" t="str">
            <v>LN0881</v>
          </cell>
        </row>
        <row r="646">
          <cell r="B646" t="str">
            <v>PK1325</v>
          </cell>
        </row>
        <row r="647">
          <cell r="B647" t="str">
            <v>PK1336</v>
          </cell>
        </row>
        <row r="648">
          <cell r="B648" t="str">
            <v>PK1465</v>
          </cell>
        </row>
        <row r="649">
          <cell r="B649" t="str">
            <v>PK1623</v>
          </cell>
        </row>
        <row r="650">
          <cell r="B650" t="str">
            <v>SK1868</v>
          </cell>
        </row>
        <row r="651">
          <cell r="B651" t="str">
            <v>SK3238</v>
          </cell>
        </row>
        <row r="652">
          <cell r="B652" t="str">
            <v>SK3253</v>
          </cell>
        </row>
        <row r="653">
          <cell r="B653" t="str">
            <v>SK3470</v>
          </cell>
        </row>
        <row r="654">
          <cell r="B654" t="str">
            <v>SK3492</v>
          </cell>
        </row>
        <row r="655">
          <cell r="B655" t="str">
            <v>SK3504</v>
          </cell>
        </row>
        <row r="656">
          <cell r="B656" t="str">
            <v>SK3617</v>
          </cell>
        </row>
        <row r="657">
          <cell r="B657" t="str">
            <v>SK3628</v>
          </cell>
        </row>
        <row r="658">
          <cell r="B658" t="str">
            <v>SK3675</v>
          </cell>
        </row>
        <row r="659">
          <cell r="B659" t="str">
            <v>SR0566</v>
          </cell>
        </row>
        <row r="660">
          <cell r="B660" t="str">
            <v>SR1194</v>
          </cell>
        </row>
        <row r="661">
          <cell r="B661" t="str">
            <v>SR1380</v>
          </cell>
        </row>
        <row r="662">
          <cell r="B662">
            <v>900178</v>
          </cell>
        </row>
        <row r="663">
          <cell r="B663">
            <v>900180</v>
          </cell>
        </row>
        <row r="664">
          <cell r="B664">
            <v>900182</v>
          </cell>
        </row>
        <row r="665">
          <cell r="B665">
            <v>900183</v>
          </cell>
        </row>
        <row r="666">
          <cell r="B666">
            <v>900187</v>
          </cell>
        </row>
        <row r="667">
          <cell r="B667">
            <v>900198</v>
          </cell>
        </row>
        <row r="668">
          <cell r="B668">
            <v>900200</v>
          </cell>
        </row>
        <row r="669">
          <cell r="B669">
            <v>900204</v>
          </cell>
        </row>
        <row r="670">
          <cell r="B670">
            <v>900372</v>
          </cell>
        </row>
        <row r="671">
          <cell r="B671">
            <v>900373</v>
          </cell>
        </row>
        <row r="672">
          <cell r="B672">
            <v>900375</v>
          </cell>
        </row>
        <row r="673">
          <cell r="B673">
            <v>900377</v>
          </cell>
        </row>
        <row r="674">
          <cell r="B674">
            <v>900378</v>
          </cell>
        </row>
        <row r="675">
          <cell r="B675">
            <v>900379</v>
          </cell>
        </row>
        <row r="676">
          <cell r="B676">
            <v>900380</v>
          </cell>
        </row>
        <row r="677">
          <cell r="B677">
            <v>900381</v>
          </cell>
        </row>
        <row r="678">
          <cell r="B678">
            <v>900382</v>
          </cell>
        </row>
        <row r="679">
          <cell r="B679">
            <v>900384</v>
          </cell>
        </row>
        <row r="680">
          <cell r="B680">
            <v>900390</v>
          </cell>
        </row>
        <row r="681">
          <cell r="B681">
            <v>900397</v>
          </cell>
        </row>
        <row r="682">
          <cell r="B682">
            <v>900398</v>
          </cell>
        </row>
        <row r="683">
          <cell r="B683">
            <v>900399</v>
          </cell>
        </row>
        <row r="684">
          <cell r="B684">
            <v>900461</v>
          </cell>
        </row>
        <row r="685">
          <cell r="B685">
            <v>900464</v>
          </cell>
        </row>
        <row r="686">
          <cell r="B686">
            <v>900578</v>
          </cell>
        </row>
        <row r="687">
          <cell r="B687">
            <v>900579</v>
          </cell>
        </row>
        <row r="688">
          <cell r="B688">
            <v>900736</v>
          </cell>
        </row>
        <row r="689">
          <cell r="B689">
            <v>900737</v>
          </cell>
        </row>
        <row r="690">
          <cell r="B690">
            <v>900783</v>
          </cell>
        </row>
        <row r="691">
          <cell r="B691">
            <v>900789</v>
          </cell>
        </row>
        <row r="692">
          <cell r="B692">
            <v>900792</v>
          </cell>
        </row>
        <row r="693">
          <cell r="B693">
            <v>900794</v>
          </cell>
        </row>
        <row r="694">
          <cell r="B694">
            <v>900795</v>
          </cell>
        </row>
        <row r="695">
          <cell r="B695">
            <v>900803</v>
          </cell>
        </row>
        <row r="696">
          <cell r="B696">
            <v>900808</v>
          </cell>
        </row>
        <row r="697">
          <cell r="B697">
            <v>900809</v>
          </cell>
        </row>
        <row r="698">
          <cell r="B698">
            <v>900810</v>
          </cell>
        </row>
        <row r="699">
          <cell r="B699">
            <v>900812</v>
          </cell>
        </row>
        <row r="700">
          <cell r="B700">
            <v>901133</v>
          </cell>
        </row>
        <row r="701">
          <cell r="B701">
            <v>901134</v>
          </cell>
        </row>
        <row r="702">
          <cell r="B702">
            <v>901135</v>
          </cell>
        </row>
        <row r="703">
          <cell r="B703">
            <v>901136</v>
          </cell>
        </row>
        <row r="704">
          <cell r="B704">
            <v>905541</v>
          </cell>
        </row>
        <row r="705">
          <cell r="B705" t="str">
            <v>AK0500</v>
          </cell>
        </row>
        <row r="706">
          <cell r="B706" t="str">
            <v>AK0724</v>
          </cell>
        </row>
        <row r="707">
          <cell r="B707" t="str">
            <v>AK0832</v>
          </cell>
        </row>
        <row r="708">
          <cell r="B708" t="str">
            <v>AK0833</v>
          </cell>
        </row>
        <row r="709">
          <cell r="B709" t="str">
            <v>AK0836</v>
          </cell>
        </row>
        <row r="710">
          <cell r="B710" t="str">
            <v>AK0984</v>
          </cell>
        </row>
        <row r="711">
          <cell r="B711" t="str">
            <v>KK0041</v>
          </cell>
        </row>
        <row r="712">
          <cell r="B712" t="str">
            <v>KK0071</v>
          </cell>
        </row>
        <row r="713">
          <cell r="B713" t="str">
            <v>KK0098</v>
          </cell>
        </row>
        <row r="714">
          <cell r="B714" t="str">
            <v>KK0339</v>
          </cell>
        </row>
        <row r="715">
          <cell r="B715" t="str">
            <v>KK0488</v>
          </cell>
        </row>
        <row r="716">
          <cell r="B716" t="str">
            <v>KK0526</v>
          </cell>
        </row>
        <row r="717">
          <cell r="B717" t="str">
            <v>KK0751</v>
          </cell>
        </row>
        <row r="718">
          <cell r="B718" t="str">
            <v>KK0991</v>
          </cell>
        </row>
        <row r="719">
          <cell r="B719" t="str">
            <v>KK1081</v>
          </cell>
        </row>
        <row r="720">
          <cell r="B720" t="str">
            <v>KK1156</v>
          </cell>
        </row>
        <row r="721">
          <cell r="B721" t="str">
            <v>KK1198</v>
          </cell>
        </row>
        <row r="722">
          <cell r="B722" t="str">
            <v>KK1219</v>
          </cell>
        </row>
        <row r="723">
          <cell r="B723" t="str">
            <v>KK1360</v>
          </cell>
        </row>
        <row r="724">
          <cell r="B724" t="str">
            <v>KK1459</v>
          </cell>
        </row>
        <row r="725">
          <cell r="B725" t="str">
            <v>LN0730</v>
          </cell>
        </row>
        <row r="726">
          <cell r="B726" t="str">
            <v>MG0733</v>
          </cell>
        </row>
        <row r="727">
          <cell r="B727" t="str">
            <v>MG0934</v>
          </cell>
        </row>
        <row r="728">
          <cell r="B728" t="str">
            <v>MG1417</v>
          </cell>
        </row>
        <row r="729">
          <cell r="B729" t="str">
            <v>MG1559</v>
          </cell>
        </row>
        <row r="730">
          <cell r="B730" t="str">
            <v>PK0220</v>
          </cell>
        </row>
        <row r="731">
          <cell r="B731" t="str">
            <v>PK0222</v>
          </cell>
        </row>
        <row r="732">
          <cell r="B732" t="str">
            <v>PK0651</v>
          </cell>
        </row>
        <row r="733">
          <cell r="B733" t="str">
            <v>PK0668</v>
          </cell>
        </row>
        <row r="734">
          <cell r="B734" t="str">
            <v>PK0698</v>
          </cell>
        </row>
        <row r="735">
          <cell r="B735" t="str">
            <v>PK0827</v>
          </cell>
        </row>
        <row r="736">
          <cell r="B736" t="str">
            <v>PK0861</v>
          </cell>
        </row>
        <row r="737">
          <cell r="B737" t="str">
            <v>PK0998</v>
          </cell>
        </row>
        <row r="738">
          <cell r="B738" t="str">
            <v>PK1208</v>
          </cell>
        </row>
        <row r="739">
          <cell r="B739" t="str">
            <v>PK1256</v>
          </cell>
        </row>
        <row r="740">
          <cell r="B740" t="str">
            <v>PK1418</v>
          </cell>
        </row>
        <row r="741">
          <cell r="B741" t="str">
            <v>PK1523</v>
          </cell>
        </row>
        <row r="742">
          <cell r="B742" t="str">
            <v>SK1660</v>
          </cell>
        </row>
        <row r="743">
          <cell r="B743" t="str">
            <v>SK1673</v>
          </cell>
        </row>
        <row r="744">
          <cell r="B744" t="str">
            <v>SK2139</v>
          </cell>
        </row>
        <row r="745">
          <cell r="B745" t="str">
            <v>SK2627</v>
          </cell>
        </row>
        <row r="746">
          <cell r="B746" t="str">
            <v>SK3103</v>
          </cell>
        </row>
        <row r="747">
          <cell r="B747" t="str">
            <v>SK3159</v>
          </cell>
        </row>
        <row r="748">
          <cell r="B748" t="str">
            <v>SK3160</v>
          </cell>
        </row>
        <row r="749">
          <cell r="B749" t="str">
            <v>SK3161</v>
          </cell>
        </row>
        <row r="750">
          <cell r="B750" t="str">
            <v>SK3240</v>
          </cell>
        </row>
        <row r="751">
          <cell r="B751" t="str">
            <v>SK3317</v>
          </cell>
        </row>
        <row r="752">
          <cell r="B752" t="str">
            <v>SK3411</v>
          </cell>
        </row>
        <row r="753">
          <cell r="B753" t="str">
            <v>SK3639</v>
          </cell>
        </row>
        <row r="754">
          <cell r="B754" t="str">
            <v>SK3645</v>
          </cell>
        </row>
        <row r="755">
          <cell r="B755" t="str">
            <v>SK3681</v>
          </cell>
        </row>
        <row r="756">
          <cell r="B756" t="str">
            <v>SR0517</v>
          </cell>
        </row>
        <row r="757">
          <cell r="B757" t="str">
            <v>SR0538</v>
          </cell>
        </row>
        <row r="758">
          <cell r="B758" t="str">
            <v>SR0588</v>
          </cell>
        </row>
        <row r="759">
          <cell r="B759" t="str">
            <v>SR0598</v>
          </cell>
        </row>
        <row r="760">
          <cell r="B760" t="str">
            <v>SR0625</v>
          </cell>
        </row>
        <row r="761">
          <cell r="B761" t="str">
            <v>SR0630</v>
          </cell>
        </row>
        <row r="762">
          <cell r="B762" t="str">
            <v>SR0633</v>
          </cell>
        </row>
        <row r="763">
          <cell r="B763" t="str">
            <v>SR0715</v>
          </cell>
        </row>
        <row r="764">
          <cell r="B764" t="str">
            <v>SR0806</v>
          </cell>
        </row>
        <row r="765">
          <cell r="B765" t="str">
            <v>SR0815</v>
          </cell>
        </row>
        <row r="766">
          <cell r="B766" t="str">
            <v>SR0982</v>
          </cell>
        </row>
        <row r="767">
          <cell r="B767" t="str">
            <v>SR1136</v>
          </cell>
        </row>
        <row r="768">
          <cell r="B768" t="str">
            <v>SR1398</v>
          </cell>
        </row>
        <row r="769">
          <cell r="B769">
            <v>900179</v>
          </cell>
        </row>
        <row r="770">
          <cell r="B770">
            <v>900181</v>
          </cell>
        </row>
        <row r="771">
          <cell r="B771">
            <v>900370</v>
          </cell>
        </row>
        <row r="772">
          <cell r="B772">
            <v>900371</v>
          </cell>
        </row>
        <row r="773">
          <cell r="B773">
            <v>900374</v>
          </cell>
        </row>
        <row r="774">
          <cell r="B774">
            <v>900376</v>
          </cell>
        </row>
        <row r="775">
          <cell r="B775">
            <v>900383</v>
          </cell>
        </row>
        <row r="776">
          <cell r="B776">
            <v>900385</v>
          </cell>
        </row>
        <row r="777">
          <cell r="B777">
            <v>900388</v>
          </cell>
        </row>
        <row r="778">
          <cell r="B778">
            <v>900392</v>
          </cell>
        </row>
        <row r="779">
          <cell r="B779">
            <v>900393</v>
          </cell>
        </row>
        <row r="780">
          <cell r="B780">
            <v>900395</v>
          </cell>
        </row>
        <row r="781">
          <cell r="B781">
            <v>900400</v>
          </cell>
        </row>
        <row r="782">
          <cell r="B782">
            <v>900417</v>
          </cell>
        </row>
        <row r="783">
          <cell r="B783">
            <v>900442</v>
          </cell>
        </row>
        <row r="784">
          <cell r="B784">
            <v>900453</v>
          </cell>
        </row>
        <row r="785">
          <cell r="B785">
            <v>900571</v>
          </cell>
        </row>
        <row r="786">
          <cell r="B786">
            <v>900573</v>
          </cell>
        </row>
        <row r="787">
          <cell r="B787">
            <v>900574</v>
          </cell>
        </row>
        <row r="788">
          <cell r="B788">
            <v>900575</v>
          </cell>
        </row>
        <row r="789">
          <cell r="B789">
            <v>900576</v>
          </cell>
        </row>
        <row r="790">
          <cell r="B790">
            <v>900577</v>
          </cell>
        </row>
        <row r="791">
          <cell r="B791">
            <v>900784</v>
          </cell>
        </row>
        <row r="792">
          <cell r="B792">
            <v>900786</v>
          </cell>
        </row>
        <row r="793">
          <cell r="B793">
            <v>900791</v>
          </cell>
        </row>
        <row r="794">
          <cell r="B794">
            <v>900793</v>
          </cell>
        </row>
        <row r="795">
          <cell r="B795">
            <v>900796</v>
          </cell>
        </row>
        <row r="796">
          <cell r="B796">
            <v>900797</v>
          </cell>
        </row>
        <row r="797">
          <cell r="B797">
            <v>900800</v>
          </cell>
        </row>
        <row r="798">
          <cell r="B798">
            <v>900801</v>
          </cell>
        </row>
        <row r="799">
          <cell r="B799">
            <v>900804</v>
          </cell>
        </row>
        <row r="800">
          <cell r="B800">
            <v>900805</v>
          </cell>
        </row>
        <row r="801">
          <cell r="B801">
            <v>900807</v>
          </cell>
        </row>
        <row r="802">
          <cell r="B802">
            <v>900811</v>
          </cell>
        </row>
        <row r="803">
          <cell r="B803">
            <v>901137</v>
          </cell>
        </row>
        <row r="804">
          <cell r="B804">
            <v>901138</v>
          </cell>
        </row>
        <row r="805">
          <cell r="B805">
            <v>901139</v>
          </cell>
        </row>
        <row r="806">
          <cell r="B806">
            <v>901140</v>
          </cell>
        </row>
        <row r="807">
          <cell r="B807">
            <v>901142</v>
          </cell>
        </row>
        <row r="808">
          <cell r="B808">
            <v>901143</v>
          </cell>
        </row>
        <row r="809">
          <cell r="B809">
            <v>905499</v>
          </cell>
        </row>
        <row r="810">
          <cell r="B810">
            <v>905524</v>
          </cell>
        </row>
        <row r="811">
          <cell r="B811">
            <v>905528</v>
          </cell>
        </row>
        <row r="812">
          <cell r="B812">
            <v>905530</v>
          </cell>
        </row>
        <row r="813">
          <cell r="B813">
            <v>905543</v>
          </cell>
        </row>
        <row r="814">
          <cell r="B814">
            <v>905561</v>
          </cell>
        </row>
        <row r="815">
          <cell r="B815">
            <v>905563</v>
          </cell>
        </row>
        <row r="816">
          <cell r="B816" t="str">
            <v>AK0341</v>
          </cell>
        </row>
        <row r="817">
          <cell r="B817" t="str">
            <v>AK0419</v>
          </cell>
        </row>
        <row r="818">
          <cell r="B818" t="str">
            <v>AK0946</v>
          </cell>
        </row>
        <row r="819">
          <cell r="B819" t="str">
            <v>AK0957</v>
          </cell>
        </row>
        <row r="820">
          <cell r="B820" t="str">
            <v>AK1101</v>
          </cell>
        </row>
        <row r="821">
          <cell r="B821" t="str">
            <v>KK0067</v>
          </cell>
        </row>
        <row r="822">
          <cell r="B822" t="str">
            <v>KK0164</v>
          </cell>
        </row>
        <row r="823">
          <cell r="B823" t="str">
            <v>KK0349</v>
          </cell>
        </row>
        <row r="824">
          <cell r="B824" t="str">
            <v>KK0350</v>
          </cell>
        </row>
        <row r="825">
          <cell r="B825" t="str">
            <v>KK0490</v>
          </cell>
        </row>
        <row r="826">
          <cell r="B826" t="str">
            <v>KK0529</v>
          </cell>
        </row>
        <row r="827">
          <cell r="B827" t="str">
            <v>KK0619</v>
          </cell>
        </row>
        <row r="828">
          <cell r="B828" t="str">
            <v>KK1151</v>
          </cell>
        </row>
        <row r="829">
          <cell r="B829" t="str">
            <v>KK1369</v>
          </cell>
        </row>
        <row r="830">
          <cell r="B830" t="str">
            <v>KK1458</v>
          </cell>
        </row>
        <row r="831">
          <cell r="B831" t="str">
            <v>LN0206</v>
          </cell>
        </row>
        <row r="832">
          <cell r="B832" t="str">
            <v>LN0216</v>
          </cell>
        </row>
        <row r="833">
          <cell r="B833" t="str">
            <v>LN0239</v>
          </cell>
        </row>
        <row r="834">
          <cell r="B834" t="str">
            <v>LN0414</v>
          </cell>
        </row>
        <row r="835">
          <cell r="B835" t="str">
            <v>LN0575</v>
          </cell>
        </row>
        <row r="836">
          <cell r="B836" t="str">
            <v>MG0731</v>
          </cell>
        </row>
        <row r="837">
          <cell r="B837" t="str">
            <v>MG0926</v>
          </cell>
        </row>
        <row r="838">
          <cell r="B838" t="str">
            <v>MG0931</v>
          </cell>
        </row>
        <row r="839">
          <cell r="B839" t="str">
            <v>MG1106</v>
          </cell>
        </row>
        <row r="840">
          <cell r="B840" t="str">
            <v>MG1113</v>
          </cell>
        </row>
        <row r="841">
          <cell r="B841" t="str">
            <v>PK0150</v>
          </cell>
        </row>
        <row r="842">
          <cell r="B842" t="str">
            <v>PK0568</v>
          </cell>
        </row>
        <row r="843">
          <cell r="B843" t="str">
            <v>PK0638</v>
          </cell>
        </row>
        <row r="844">
          <cell r="B844" t="str">
            <v>PK0677</v>
          </cell>
        </row>
        <row r="845">
          <cell r="B845" t="str">
            <v>PK0688</v>
          </cell>
        </row>
        <row r="846">
          <cell r="B846" t="str">
            <v>PK0802</v>
          </cell>
        </row>
        <row r="847">
          <cell r="B847" t="str">
            <v>PK0961</v>
          </cell>
        </row>
        <row r="848">
          <cell r="B848" t="str">
            <v>PK1145</v>
          </cell>
        </row>
        <row r="849">
          <cell r="B849" t="str">
            <v>PK1260</v>
          </cell>
        </row>
        <row r="850">
          <cell r="B850" t="str">
            <v>PK1554</v>
          </cell>
        </row>
        <row r="851">
          <cell r="B851" t="str">
            <v>PK1597</v>
          </cell>
        </row>
        <row r="852">
          <cell r="B852" t="str">
            <v>PK1633</v>
          </cell>
        </row>
        <row r="853">
          <cell r="B853" t="str">
            <v>SK0985</v>
          </cell>
        </row>
        <row r="854">
          <cell r="B854" t="str">
            <v>SK1638</v>
          </cell>
        </row>
        <row r="855">
          <cell r="B855" t="str">
            <v>SK1731</v>
          </cell>
        </row>
        <row r="856">
          <cell r="B856" t="str">
            <v>SK2149</v>
          </cell>
        </row>
        <row r="857">
          <cell r="B857" t="str">
            <v>SK2306</v>
          </cell>
        </row>
        <row r="858">
          <cell r="B858" t="str">
            <v>SK2379</v>
          </cell>
        </row>
        <row r="859">
          <cell r="B859" t="str">
            <v>SK2393</v>
          </cell>
        </row>
        <row r="860">
          <cell r="B860" t="str">
            <v>SK2409</v>
          </cell>
        </row>
        <row r="861">
          <cell r="B861" t="str">
            <v>SK2420</v>
          </cell>
        </row>
        <row r="862">
          <cell r="B862" t="str">
            <v>SK2551</v>
          </cell>
        </row>
        <row r="863">
          <cell r="B863" t="str">
            <v>SK2585</v>
          </cell>
        </row>
        <row r="864">
          <cell r="B864" t="str">
            <v>SK2668</v>
          </cell>
        </row>
        <row r="865">
          <cell r="B865" t="str">
            <v>SK3232</v>
          </cell>
        </row>
        <row r="866">
          <cell r="B866" t="str">
            <v>SK3563</v>
          </cell>
        </row>
        <row r="867">
          <cell r="B867" t="str">
            <v>SK3565</v>
          </cell>
        </row>
        <row r="868">
          <cell r="B868" t="str">
            <v>SK3582</v>
          </cell>
        </row>
        <row r="869">
          <cell r="B869" t="str">
            <v>SK3591</v>
          </cell>
        </row>
        <row r="870">
          <cell r="B870" t="str">
            <v>SK3614</v>
          </cell>
        </row>
        <row r="871">
          <cell r="B871" t="str">
            <v>SK3616</v>
          </cell>
        </row>
        <row r="872">
          <cell r="B872" t="str">
            <v>SR0079</v>
          </cell>
        </row>
        <row r="873">
          <cell r="B873" t="str">
            <v>SR0242</v>
          </cell>
        </row>
        <row r="874">
          <cell r="B874" t="str">
            <v>SR0297</v>
          </cell>
        </row>
        <row r="875">
          <cell r="B875" t="str">
            <v>SR0321</v>
          </cell>
        </row>
        <row r="876">
          <cell r="B876" t="str">
            <v>SR0585</v>
          </cell>
        </row>
        <row r="877">
          <cell r="B877" t="str">
            <v>SR0722</v>
          </cell>
        </row>
        <row r="878">
          <cell r="B878" t="str">
            <v>SR0762</v>
          </cell>
        </row>
        <row r="879">
          <cell r="B879" t="str">
            <v>SR0833</v>
          </cell>
        </row>
        <row r="880">
          <cell r="B880" t="str">
            <v>SR1404</v>
          </cell>
        </row>
        <row r="881">
          <cell r="B881" t="str">
            <v>SR1467</v>
          </cell>
        </row>
        <row r="882">
          <cell r="B882">
            <v>900184</v>
          </cell>
        </row>
        <row r="883">
          <cell r="B883">
            <v>900185</v>
          </cell>
        </row>
        <row r="884">
          <cell r="B884">
            <v>900186</v>
          </cell>
        </row>
        <row r="885">
          <cell r="B885">
            <v>900233</v>
          </cell>
        </row>
        <row r="886">
          <cell r="B886">
            <v>900365</v>
          </cell>
        </row>
        <row r="887">
          <cell r="B887">
            <v>900369</v>
          </cell>
        </row>
        <row r="888">
          <cell r="B888">
            <v>900386</v>
          </cell>
        </row>
        <row r="889">
          <cell r="B889">
            <v>900387</v>
          </cell>
        </row>
        <row r="890">
          <cell r="B890">
            <v>900389</v>
          </cell>
        </row>
        <row r="891">
          <cell r="B891">
            <v>900391</v>
          </cell>
        </row>
        <row r="892">
          <cell r="B892">
            <v>900394</v>
          </cell>
        </row>
        <row r="893">
          <cell r="B893">
            <v>900396</v>
          </cell>
        </row>
        <row r="894">
          <cell r="B894">
            <v>900408</v>
          </cell>
        </row>
        <row r="895">
          <cell r="B895">
            <v>900452</v>
          </cell>
        </row>
        <row r="896">
          <cell r="B896">
            <v>900454</v>
          </cell>
        </row>
        <row r="897">
          <cell r="B897">
            <v>900570</v>
          </cell>
        </row>
        <row r="898">
          <cell r="B898">
            <v>900572</v>
          </cell>
        </row>
        <row r="899">
          <cell r="B899">
            <v>900580</v>
          </cell>
        </row>
        <row r="900">
          <cell r="B900">
            <v>900785</v>
          </cell>
        </row>
        <row r="901">
          <cell r="B901">
            <v>900787</v>
          </cell>
        </row>
        <row r="902">
          <cell r="B902">
            <v>900788</v>
          </cell>
        </row>
        <row r="903">
          <cell r="B903">
            <v>900790</v>
          </cell>
        </row>
        <row r="904">
          <cell r="B904">
            <v>900798</v>
          </cell>
        </row>
        <row r="905">
          <cell r="B905">
            <v>900799</v>
          </cell>
        </row>
        <row r="906">
          <cell r="B906">
            <v>900813</v>
          </cell>
        </row>
        <row r="907">
          <cell r="B907">
            <v>900814</v>
          </cell>
        </row>
        <row r="908">
          <cell r="B908">
            <v>900815</v>
          </cell>
        </row>
        <row r="909">
          <cell r="B909">
            <v>900816</v>
          </cell>
        </row>
        <row r="910">
          <cell r="B910">
            <v>900817</v>
          </cell>
        </row>
        <row r="911">
          <cell r="B911">
            <v>900818</v>
          </cell>
        </row>
        <row r="912">
          <cell r="B912">
            <v>900837</v>
          </cell>
        </row>
        <row r="913">
          <cell r="B913">
            <v>900842</v>
          </cell>
        </row>
        <row r="914">
          <cell r="B914">
            <v>900843</v>
          </cell>
        </row>
        <row r="915">
          <cell r="B915">
            <v>901132</v>
          </cell>
        </row>
        <row r="916">
          <cell r="B916">
            <v>901144</v>
          </cell>
        </row>
        <row r="917">
          <cell r="B917">
            <v>901145</v>
          </cell>
        </row>
        <row r="918">
          <cell r="B918">
            <v>901146</v>
          </cell>
        </row>
        <row r="919">
          <cell r="B919">
            <v>901147</v>
          </cell>
        </row>
        <row r="920">
          <cell r="B920">
            <v>901148</v>
          </cell>
        </row>
        <row r="921">
          <cell r="B921">
            <v>905519</v>
          </cell>
        </row>
        <row r="922">
          <cell r="B922">
            <v>905520</v>
          </cell>
        </row>
        <row r="923">
          <cell r="B923">
            <v>905527</v>
          </cell>
        </row>
        <row r="924">
          <cell r="B924">
            <v>905531</v>
          </cell>
        </row>
        <row r="925">
          <cell r="B925">
            <v>905539</v>
          </cell>
        </row>
        <row r="926">
          <cell r="B926">
            <v>905558</v>
          </cell>
        </row>
        <row r="927">
          <cell r="B927">
            <v>905559</v>
          </cell>
        </row>
        <row r="928">
          <cell r="B928">
            <v>905560</v>
          </cell>
        </row>
        <row r="929">
          <cell r="B929" t="str">
            <v>AK0171</v>
          </cell>
        </row>
        <row r="930">
          <cell r="B930" t="str">
            <v>AK0354</v>
          </cell>
        </row>
        <row r="931">
          <cell r="B931" t="str">
            <v>AK0651</v>
          </cell>
        </row>
        <row r="932">
          <cell r="B932" t="str">
            <v>AK0652</v>
          </cell>
        </row>
        <row r="933">
          <cell r="B933" t="str">
            <v>AK0779</v>
          </cell>
        </row>
        <row r="934">
          <cell r="B934" t="str">
            <v>AK0903</v>
          </cell>
        </row>
        <row r="935">
          <cell r="B935" t="str">
            <v>AK0924</v>
          </cell>
        </row>
        <row r="936">
          <cell r="B936" t="str">
            <v>AK0978</v>
          </cell>
        </row>
        <row r="937">
          <cell r="B937" t="str">
            <v>AK1097</v>
          </cell>
        </row>
        <row r="938">
          <cell r="B938" t="str">
            <v>AK1124</v>
          </cell>
        </row>
        <row r="939">
          <cell r="B939" t="str">
            <v>KK0015</v>
          </cell>
        </row>
        <row r="940">
          <cell r="B940" t="str">
            <v>KK0609</v>
          </cell>
        </row>
        <row r="941">
          <cell r="B941" t="str">
            <v>KK0653</v>
          </cell>
        </row>
        <row r="942">
          <cell r="B942" t="str">
            <v>KK0730</v>
          </cell>
        </row>
        <row r="943">
          <cell r="B943" t="str">
            <v>KK0900</v>
          </cell>
        </row>
        <row r="944">
          <cell r="B944" t="str">
            <v>KK0921</v>
          </cell>
        </row>
        <row r="945">
          <cell r="B945" t="str">
            <v>KK0962</v>
          </cell>
        </row>
        <row r="946">
          <cell r="B946" t="str">
            <v>KK1094</v>
          </cell>
        </row>
        <row r="947">
          <cell r="B947" t="str">
            <v>KK1479</v>
          </cell>
        </row>
        <row r="948">
          <cell r="B948" t="str">
            <v>LN0619</v>
          </cell>
        </row>
        <row r="949">
          <cell r="B949" t="str">
            <v>MG0660</v>
          </cell>
        </row>
        <row r="950">
          <cell r="B950" t="str">
            <v>MG0792</v>
          </cell>
        </row>
        <row r="951">
          <cell r="B951" t="str">
            <v>MG0914</v>
          </cell>
        </row>
        <row r="952">
          <cell r="B952" t="str">
            <v>MG0979</v>
          </cell>
        </row>
        <row r="953">
          <cell r="B953" t="str">
            <v>MG1022</v>
          </cell>
        </row>
        <row r="954">
          <cell r="B954" t="str">
            <v>MG1137</v>
          </cell>
        </row>
        <row r="955">
          <cell r="B955" t="str">
            <v>MG1335</v>
          </cell>
        </row>
        <row r="956">
          <cell r="B956" t="str">
            <v>MG1429</v>
          </cell>
        </row>
        <row r="957">
          <cell r="B957" t="str">
            <v>MG1464</v>
          </cell>
        </row>
        <row r="958">
          <cell r="B958" t="str">
            <v>PK0588</v>
          </cell>
        </row>
        <row r="959">
          <cell r="B959" t="str">
            <v>PK0653</v>
          </cell>
        </row>
        <row r="960">
          <cell r="B960" t="str">
            <v>PK0655</v>
          </cell>
        </row>
        <row r="961">
          <cell r="B961" t="str">
            <v>PK0733</v>
          </cell>
        </row>
        <row r="962">
          <cell r="B962" t="str">
            <v>PK0739</v>
          </cell>
        </row>
        <row r="963">
          <cell r="B963" t="str">
            <v>PK0789</v>
          </cell>
        </row>
        <row r="964">
          <cell r="B964" t="str">
            <v>PK0819</v>
          </cell>
        </row>
        <row r="965">
          <cell r="B965" t="str">
            <v>PK0988</v>
          </cell>
        </row>
        <row r="966">
          <cell r="B966" t="str">
            <v>PK0989</v>
          </cell>
        </row>
        <row r="967">
          <cell r="B967" t="str">
            <v>PK1018</v>
          </cell>
        </row>
        <row r="968">
          <cell r="B968" t="str">
            <v>PK1582</v>
          </cell>
        </row>
        <row r="969">
          <cell r="B969" t="str">
            <v>PK1586</v>
          </cell>
        </row>
        <row r="970">
          <cell r="B970" t="str">
            <v>PK1599</v>
          </cell>
        </row>
        <row r="971">
          <cell r="B971" t="str">
            <v>PK1160</v>
          </cell>
        </row>
        <row r="972">
          <cell r="B972" t="str">
            <v>SK0045</v>
          </cell>
        </row>
        <row r="973">
          <cell r="B973" t="str">
            <v>SK0930</v>
          </cell>
        </row>
        <row r="974">
          <cell r="B974" t="str">
            <v>SK1044</v>
          </cell>
        </row>
        <row r="975">
          <cell r="B975" t="str">
            <v>SK1477</v>
          </cell>
        </row>
        <row r="976">
          <cell r="B976" t="str">
            <v>SK1661</v>
          </cell>
        </row>
        <row r="977">
          <cell r="B977" t="str">
            <v>SK1712</v>
          </cell>
        </row>
        <row r="978">
          <cell r="B978" t="str">
            <v>SK2045</v>
          </cell>
        </row>
        <row r="979">
          <cell r="B979" t="str">
            <v>SK2219</v>
          </cell>
        </row>
        <row r="980">
          <cell r="B980" t="str">
            <v>SK2275</v>
          </cell>
        </row>
        <row r="981">
          <cell r="B981" t="str">
            <v>SK2289</v>
          </cell>
        </row>
        <row r="982">
          <cell r="B982" t="str">
            <v>SK2290</v>
          </cell>
        </row>
        <row r="983">
          <cell r="B983" t="str">
            <v>SK2328</v>
          </cell>
        </row>
        <row r="984">
          <cell r="B984" t="str">
            <v>SK2475</v>
          </cell>
        </row>
        <row r="985">
          <cell r="B985" t="str">
            <v>SK2535</v>
          </cell>
        </row>
        <row r="986">
          <cell r="B986" t="str">
            <v>SK2590</v>
          </cell>
        </row>
        <row r="987">
          <cell r="B987" t="str">
            <v>SK2611</v>
          </cell>
        </row>
        <row r="988">
          <cell r="B988" t="str">
            <v>SK2663</v>
          </cell>
        </row>
        <row r="989">
          <cell r="B989" t="str">
            <v>SK2679</v>
          </cell>
        </row>
        <row r="990">
          <cell r="B990" t="str">
            <v>SK2738</v>
          </cell>
        </row>
        <row r="991">
          <cell r="B991" t="str">
            <v>SK2849</v>
          </cell>
        </row>
        <row r="992">
          <cell r="B992" t="str">
            <v>SK2866</v>
          </cell>
        </row>
        <row r="993">
          <cell r="B993" t="str">
            <v>SK2872</v>
          </cell>
        </row>
        <row r="994">
          <cell r="B994" t="str">
            <v>SK2922</v>
          </cell>
        </row>
        <row r="995">
          <cell r="B995" t="str">
            <v>SK2923</v>
          </cell>
        </row>
        <row r="996">
          <cell r="B996" t="str">
            <v>SK2924</v>
          </cell>
        </row>
        <row r="997">
          <cell r="B997" t="str">
            <v>SK2933</v>
          </cell>
        </row>
        <row r="998">
          <cell r="B998" t="str">
            <v>SK2945</v>
          </cell>
        </row>
        <row r="999">
          <cell r="B999" t="str">
            <v>SK3116</v>
          </cell>
        </row>
        <row r="1000">
          <cell r="B1000" t="str">
            <v>SK3266</v>
          </cell>
        </row>
        <row r="1001">
          <cell r="B1001" t="str">
            <v>SK3286</v>
          </cell>
        </row>
        <row r="1002">
          <cell r="B1002" t="str">
            <v>SK3408</v>
          </cell>
        </row>
        <row r="1003">
          <cell r="B1003" t="str">
            <v>SK3422</v>
          </cell>
        </row>
        <row r="1004">
          <cell r="B1004" t="str">
            <v>SK3637</v>
          </cell>
        </row>
        <row r="1005">
          <cell r="B1005" t="str">
            <v>SK3648</v>
          </cell>
        </row>
        <row r="1006">
          <cell r="B1006" t="str">
            <v>SK3653</v>
          </cell>
        </row>
        <row r="1007">
          <cell r="B1007" t="str">
            <v>SK3654</v>
          </cell>
        </row>
        <row r="1008">
          <cell r="B1008" t="str">
            <v>SK3656</v>
          </cell>
        </row>
        <row r="1009">
          <cell r="B1009" t="str">
            <v>SK3665</v>
          </cell>
        </row>
        <row r="1010">
          <cell r="B1010" t="str">
            <v>SK3426</v>
          </cell>
        </row>
        <row r="1011">
          <cell r="B1011" t="str">
            <v>SR0246</v>
          </cell>
        </row>
        <row r="1012">
          <cell r="B1012" t="str">
            <v>SR0544</v>
          </cell>
        </row>
        <row r="1013">
          <cell r="B1013" t="str">
            <v>SR0546</v>
          </cell>
        </row>
        <row r="1014">
          <cell r="B1014" t="str">
            <v>SR0589</v>
          </cell>
        </row>
        <row r="1015">
          <cell r="B1015" t="str">
            <v>SR0602</v>
          </cell>
        </row>
        <row r="1016">
          <cell r="B1016" t="str">
            <v>SR0623</v>
          </cell>
        </row>
        <row r="1017">
          <cell r="B1017" t="str">
            <v>SR0636</v>
          </cell>
        </row>
        <row r="1018">
          <cell r="B1018" t="str">
            <v>SR0640</v>
          </cell>
        </row>
        <row r="1019">
          <cell r="B1019" t="str">
            <v>SR0678</v>
          </cell>
        </row>
        <row r="1020">
          <cell r="B1020" t="str">
            <v>SR0680</v>
          </cell>
        </row>
        <row r="1021">
          <cell r="B1021" t="str">
            <v>SR0685</v>
          </cell>
        </row>
        <row r="1022">
          <cell r="B1022" t="str">
            <v>SR0742</v>
          </cell>
        </row>
        <row r="1023">
          <cell r="B1023" t="str">
            <v>SR0814</v>
          </cell>
        </row>
        <row r="1024">
          <cell r="B1024" t="str">
            <v>SR0861</v>
          </cell>
        </row>
        <row r="1025">
          <cell r="B1025" t="str">
            <v>SR0902</v>
          </cell>
        </row>
        <row r="1026">
          <cell r="B1026" t="str">
            <v>SR0903</v>
          </cell>
        </row>
        <row r="1027">
          <cell r="B1027" t="str">
            <v>SR0904</v>
          </cell>
        </row>
        <row r="1028">
          <cell r="B1028" t="str">
            <v>SR0907</v>
          </cell>
        </row>
        <row r="1029">
          <cell r="B1029" t="str">
            <v>SR0909</v>
          </cell>
        </row>
        <row r="1030">
          <cell r="B1030" t="str">
            <v>SR0912</v>
          </cell>
        </row>
        <row r="1031">
          <cell r="B1031" t="str">
            <v>SR0913</v>
          </cell>
        </row>
        <row r="1032">
          <cell r="B1032" t="str">
            <v>SR0972</v>
          </cell>
        </row>
        <row r="1033">
          <cell r="B1033" t="str">
            <v>SR1192</v>
          </cell>
        </row>
        <row r="1034">
          <cell r="B1034">
            <v>900191</v>
          </cell>
        </row>
        <row r="1035">
          <cell r="B1035">
            <v>900534</v>
          </cell>
        </row>
        <row r="1036">
          <cell r="B1036">
            <v>900603</v>
          </cell>
        </row>
        <row r="1037">
          <cell r="B1037">
            <v>901154</v>
          </cell>
        </row>
        <row r="1038">
          <cell r="B1038">
            <v>901158</v>
          </cell>
        </row>
        <row r="1039">
          <cell r="B1039" t="str">
            <v>AK0641</v>
          </cell>
        </row>
        <row r="1040">
          <cell r="B1040" t="str">
            <v>KK0889</v>
          </cell>
        </row>
        <row r="1041">
          <cell r="B1041" t="str">
            <v>LN0289</v>
          </cell>
        </row>
        <row r="1042">
          <cell r="B1042" t="str">
            <v>MG0188</v>
          </cell>
        </row>
        <row r="1043">
          <cell r="B1043" t="str">
            <v>PK0200</v>
          </cell>
        </row>
        <row r="1044">
          <cell r="B1044">
            <v>900161</v>
          </cell>
        </row>
        <row r="1045">
          <cell r="B1045">
            <v>900162</v>
          </cell>
        </row>
        <row r="1046">
          <cell r="B1046">
            <v>900163</v>
          </cell>
        </row>
        <row r="1047">
          <cell r="B1047">
            <v>900164</v>
          </cell>
        </row>
        <row r="1048">
          <cell r="B1048">
            <v>900166</v>
          </cell>
        </row>
        <row r="1049">
          <cell r="B1049">
            <v>900167</v>
          </cell>
        </row>
        <row r="1050">
          <cell r="B1050">
            <v>900168</v>
          </cell>
        </row>
        <row r="1051">
          <cell r="B1051">
            <v>900169</v>
          </cell>
        </row>
        <row r="1052">
          <cell r="B1052">
            <v>900170</v>
          </cell>
        </row>
        <row r="1053">
          <cell r="B1053">
            <v>900171</v>
          </cell>
        </row>
        <row r="1054">
          <cell r="B1054">
            <v>900172</v>
          </cell>
        </row>
        <row r="1055">
          <cell r="B1055">
            <v>900173</v>
          </cell>
        </row>
        <row r="1056">
          <cell r="B1056">
            <v>900174</v>
          </cell>
        </row>
        <row r="1057">
          <cell r="B1057">
            <v>900175</v>
          </cell>
        </row>
        <row r="1058">
          <cell r="B1058">
            <v>900176</v>
          </cell>
        </row>
        <row r="1059">
          <cell r="B1059">
            <v>900177</v>
          </cell>
        </row>
        <row r="1060">
          <cell r="B1060">
            <v>900199</v>
          </cell>
        </row>
        <row r="1061">
          <cell r="B1061">
            <v>900209</v>
          </cell>
        </row>
        <row r="1062">
          <cell r="B1062">
            <v>900354</v>
          </cell>
        </row>
        <row r="1063">
          <cell r="B1063">
            <v>900355</v>
          </cell>
        </row>
        <row r="1064">
          <cell r="B1064">
            <v>900356</v>
          </cell>
        </row>
        <row r="1065">
          <cell r="B1065">
            <v>900357</v>
          </cell>
        </row>
        <row r="1066">
          <cell r="B1066">
            <v>900358</v>
          </cell>
        </row>
        <row r="1067">
          <cell r="B1067">
            <v>900359</v>
          </cell>
        </row>
        <row r="1068">
          <cell r="B1068">
            <v>900360</v>
          </cell>
        </row>
        <row r="1069">
          <cell r="B1069">
            <v>900361</v>
          </cell>
        </row>
        <row r="1070">
          <cell r="B1070">
            <v>900362</v>
          </cell>
        </row>
        <row r="1071">
          <cell r="B1071">
            <v>900363</v>
          </cell>
        </row>
        <row r="1072">
          <cell r="B1072">
            <v>900364</v>
          </cell>
        </row>
        <row r="1073">
          <cell r="B1073">
            <v>900428</v>
          </cell>
        </row>
        <row r="1074">
          <cell r="B1074">
            <v>900450</v>
          </cell>
        </row>
        <row r="1075">
          <cell r="B1075">
            <v>900451</v>
          </cell>
        </row>
        <row r="1076">
          <cell r="B1076">
            <v>900455</v>
          </cell>
        </row>
        <row r="1077">
          <cell r="B1077">
            <v>900561</v>
          </cell>
        </row>
        <row r="1078">
          <cell r="B1078">
            <v>900562</v>
          </cell>
        </row>
        <row r="1079">
          <cell r="B1079">
            <v>900564</v>
          </cell>
        </row>
        <row r="1080">
          <cell r="B1080">
            <v>900565</v>
          </cell>
        </row>
        <row r="1081">
          <cell r="B1081">
            <v>900566</v>
          </cell>
        </row>
        <row r="1082">
          <cell r="B1082">
            <v>900567</v>
          </cell>
        </row>
        <row r="1083">
          <cell r="B1083">
            <v>900581</v>
          </cell>
        </row>
        <row r="1084">
          <cell r="B1084">
            <v>900742</v>
          </cell>
        </row>
        <row r="1085">
          <cell r="B1085">
            <v>900743</v>
          </cell>
        </row>
        <row r="1086">
          <cell r="B1086">
            <v>900744</v>
          </cell>
        </row>
        <row r="1087">
          <cell r="B1087">
            <v>900745</v>
          </cell>
        </row>
        <row r="1088">
          <cell r="B1088">
            <v>900746</v>
          </cell>
        </row>
        <row r="1089">
          <cell r="B1089">
            <v>900747</v>
          </cell>
        </row>
        <row r="1090">
          <cell r="B1090">
            <v>900748</v>
          </cell>
        </row>
        <row r="1091">
          <cell r="B1091">
            <v>900749</v>
          </cell>
        </row>
        <row r="1092">
          <cell r="B1092">
            <v>900750</v>
          </cell>
        </row>
        <row r="1093">
          <cell r="B1093">
            <v>900751</v>
          </cell>
        </row>
        <row r="1094">
          <cell r="B1094">
            <v>900752</v>
          </cell>
        </row>
        <row r="1095">
          <cell r="B1095">
            <v>900753</v>
          </cell>
        </row>
        <row r="1096">
          <cell r="B1096">
            <v>900802</v>
          </cell>
        </row>
        <row r="1097">
          <cell r="B1097">
            <v>901128</v>
          </cell>
        </row>
        <row r="1098">
          <cell r="B1098">
            <v>905536</v>
          </cell>
        </row>
        <row r="1099">
          <cell r="B1099">
            <v>905537</v>
          </cell>
        </row>
        <row r="1100">
          <cell r="B1100" t="str">
            <v>AK0176</v>
          </cell>
        </row>
        <row r="1101">
          <cell r="B1101" t="str">
            <v>AK0212</v>
          </cell>
        </row>
        <row r="1102">
          <cell r="B1102" t="str">
            <v>AK0297</v>
          </cell>
        </row>
        <row r="1103">
          <cell r="B1103" t="str">
            <v>AK0366</v>
          </cell>
        </row>
        <row r="1104">
          <cell r="B1104" t="str">
            <v>AK0552</v>
          </cell>
        </row>
        <row r="1105">
          <cell r="B1105" t="str">
            <v>AK0594</v>
          </cell>
        </row>
        <row r="1106">
          <cell r="B1106" t="str">
            <v>AK0643</v>
          </cell>
        </row>
        <row r="1107">
          <cell r="B1107" t="str">
            <v>AK0644</v>
          </cell>
        </row>
        <row r="1108">
          <cell r="B1108" t="str">
            <v>AK0868</v>
          </cell>
        </row>
        <row r="1109">
          <cell r="B1109" t="str">
            <v>KK0187</v>
          </cell>
        </row>
        <row r="1110">
          <cell r="B1110" t="str">
            <v>KK1131</v>
          </cell>
        </row>
        <row r="1111">
          <cell r="B1111" t="str">
            <v>KK1311</v>
          </cell>
        </row>
        <row r="1112">
          <cell r="B1112" t="str">
            <v>KK1444</v>
          </cell>
        </row>
        <row r="1113">
          <cell r="B1113" t="str">
            <v>LN0657</v>
          </cell>
        </row>
        <row r="1114">
          <cell r="B1114" t="str">
            <v>LN0665</v>
          </cell>
        </row>
        <row r="1115">
          <cell r="B1115" t="str">
            <v>LN0849</v>
          </cell>
        </row>
        <row r="1116">
          <cell r="B1116" t="str">
            <v>LN0944</v>
          </cell>
        </row>
        <row r="1117">
          <cell r="B1117" t="str">
            <v>LN0948</v>
          </cell>
        </row>
        <row r="1118">
          <cell r="B1118" t="str">
            <v>LN0951</v>
          </cell>
        </row>
        <row r="1119">
          <cell r="B1119" t="str">
            <v>LN1035</v>
          </cell>
        </row>
        <row r="1120">
          <cell r="B1120" t="str">
            <v>LN1073</v>
          </cell>
        </row>
        <row r="1121">
          <cell r="B1121" t="str">
            <v>LN1092</v>
          </cell>
        </row>
        <row r="1122">
          <cell r="B1122" t="str">
            <v>MG0626</v>
          </cell>
        </row>
        <row r="1123">
          <cell r="B1123" t="str">
            <v>MG0633</v>
          </cell>
        </row>
        <row r="1124">
          <cell r="B1124" t="str">
            <v>MG0636</v>
          </cell>
        </row>
        <row r="1125">
          <cell r="B1125" t="str">
            <v>MG1498</v>
          </cell>
        </row>
        <row r="1126">
          <cell r="B1126" t="str">
            <v>MG1537</v>
          </cell>
        </row>
        <row r="1127">
          <cell r="B1127" t="str">
            <v>PK0061</v>
          </cell>
        </row>
        <row r="1128">
          <cell r="B1128" t="str">
            <v>PK0301</v>
          </cell>
        </row>
        <row r="1129">
          <cell r="B1129" t="str">
            <v>PK0678</v>
          </cell>
        </row>
        <row r="1130">
          <cell r="B1130" t="str">
            <v>PK0681</v>
          </cell>
        </row>
        <row r="1131">
          <cell r="B1131" t="str">
            <v>PK0797</v>
          </cell>
        </row>
        <row r="1132">
          <cell r="B1132" t="str">
            <v>PK0799</v>
          </cell>
        </row>
        <row r="1133">
          <cell r="B1133" t="str">
            <v>PK0811</v>
          </cell>
        </row>
        <row r="1134">
          <cell r="B1134" t="str">
            <v>PK1196</v>
          </cell>
        </row>
        <row r="1135">
          <cell r="B1135" t="str">
            <v>PK1474</v>
          </cell>
        </row>
        <row r="1136">
          <cell r="B1136" t="str">
            <v>PK1483</v>
          </cell>
        </row>
        <row r="1137">
          <cell r="B1137" t="str">
            <v>PK1489</v>
          </cell>
        </row>
        <row r="1138">
          <cell r="B1138" t="str">
            <v>PK1517</v>
          </cell>
        </row>
        <row r="1139">
          <cell r="B1139" t="str">
            <v>PK1549</v>
          </cell>
        </row>
        <row r="1140">
          <cell r="B1140" t="str">
            <v>SK1523</v>
          </cell>
        </row>
        <row r="1141">
          <cell r="B1141" t="str">
            <v>SK2226</v>
          </cell>
        </row>
        <row r="1142">
          <cell r="B1142" t="str">
            <v>SK2323</v>
          </cell>
        </row>
        <row r="1143">
          <cell r="B1143" t="str">
            <v>SK2352</v>
          </cell>
        </row>
        <row r="1144">
          <cell r="B1144" t="str">
            <v>SK2376</v>
          </cell>
        </row>
        <row r="1145">
          <cell r="B1145" t="str">
            <v>SK2377</v>
          </cell>
        </row>
        <row r="1146">
          <cell r="B1146" t="str">
            <v>SK2406</v>
          </cell>
        </row>
        <row r="1147">
          <cell r="B1147" t="str">
            <v>SK2831</v>
          </cell>
        </row>
        <row r="1148">
          <cell r="B1148" t="str">
            <v>SK2994</v>
          </cell>
        </row>
        <row r="1149">
          <cell r="B1149" t="str">
            <v>SK2995</v>
          </cell>
        </row>
        <row r="1150">
          <cell r="B1150" t="str">
            <v>SK2999</v>
          </cell>
        </row>
        <row r="1151">
          <cell r="B1151" t="str">
            <v>SK3006</v>
          </cell>
        </row>
        <row r="1152">
          <cell r="B1152" t="str">
            <v>SK3009</v>
          </cell>
        </row>
        <row r="1153">
          <cell r="B1153" t="str">
            <v>SK3229</v>
          </cell>
        </row>
        <row r="1154">
          <cell r="B1154" t="str">
            <v>SK3243</v>
          </cell>
        </row>
        <row r="1155">
          <cell r="B1155" t="str">
            <v>SK3337</v>
          </cell>
        </row>
        <row r="1156">
          <cell r="B1156" t="str">
            <v>SK3342</v>
          </cell>
        </row>
        <row r="1157">
          <cell r="B1157" t="str">
            <v>SK3344</v>
          </cell>
        </row>
        <row r="1158">
          <cell r="B1158" t="str">
            <v>SK3351</v>
          </cell>
        </row>
        <row r="1159">
          <cell r="B1159" t="str">
            <v>SK3462</v>
          </cell>
        </row>
        <row r="1160">
          <cell r="B1160" t="str">
            <v>SK3533</v>
          </cell>
        </row>
        <row r="1161">
          <cell r="B1161" t="str">
            <v>SK3593</v>
          </cell>
        </row>
        <row r="1162">
          <cell r="B1162" t="str">
            <v>SK3609</v>
          </cell>
        </row>
        <row r="1163">
          <cell r="B1163" t="str">
            <v>SK3627</v>
          </cell>
        </row>
        <row r="1164">
          <cell r="B1164" t="str">
            <v>SK3698</v>
          </cell>
        </row>
        <row r="1165">
          <cell r="B1165" t="str">
            <v>SK3699</v>
          </cell>
        </row>
        <row r="1166">
          <cell r="B1166" t="str">
            <v>SK3704</v>
          </cell>
        </row>
        <row r="1167">
          <cell r="B1167" t="str">
            <v>SK3707</v>
          </cell>
        </row>
        <row r="1168">
          <cell r="B1168" t="str">
            <v>SK3712</v>
          </cell>
        </row>
        <row r="1169">
          <cell r="B1169" t="str">
            <v>SK3715</v>
          </cell>
        </row>
        <row r="1170">
          <cell r="B1170" t="str">
            <v>SR0234</v>
          </cell>
        </row>
        <row r="1171">
          <cell r="B1171" t="str">
            <v>SR0235</v>
          </cell>
        </row>
        <row r="1172">
          <cell r="B1172" t="str">
            <v>SR0243</v>
          </cell>
        </row>
        <row r="1173">
          <cell r="B1173" t="str">
            <v>SR0300</v>
          </cell>
        </row>
        <row r="1174">
          <cell r="B1174" t="str">
            <v>SR0562</v>
          </cell>
        </row>
        <row r="1175">
          <cell r="B1175" t="str">
            <v>SR1059</v>
          </cell>
        </row>
        <row r="1176">
          <cell r="B1176" t="str">
            <v>SR1060</v>
          </cell>
        </row>
        <row r="1177">
          <cell r="B1177" t="str">
            <v>SR1181</v>
          </cell>
        </row>
        <row r="1178">
          <cell r="B1178" t="str">
            <v>SR1431</v>
          </cell>
        </row>
        <row r="1179">
          <cell r="B1179" t="str">
            <v>AK1201</v>
          </cell>
        </row>
        <row r="1180">
          <cell r="B1180" t="str">
            <v>AK1203</v>
          </cell>
        </row>
        <row r="1181">
          <cell r="B1181" t="str">
            <v>AK1204</v>
          </cell>
        </row>
        <row r="1182">
          <cell r="B1182" t="str">
            <v>KK1514</v>
          </cell>
        </row>
        <row r="1183">
          <cell r="B1183" t="str">
            <v>KK1521</v>
          </cell>
        </row>
        <row r="1184">
          <cell r="B1184" t="str">
            <v>LN1101</v>
          </cell>
        </row>
        <row r="1185">
          <cell r="B1185" t="str">
            <v>LN1122</v>
          </cell>
        </row>
        <row r="1186">
          <cell r="B1186" t="str">
            <v>LN1126</v>
          </cell>
        </row>
        <row r="1187">
          <cell r="B1187" t="str">
            <v>LN1127</v>
          </cell>
        </row>
        <row r="1188">
          <cell r="B1188" t="str">
            <v>LN1167</v>
          </cell>
        </row>
        <row r="1189">
          <cell r="B1189" t="str">
            <v>LN1183</v>
          </cell>
        </row>
        <row r="1190">
          <cell r="B1190" t="str">
            <v>LN1195</v>
          </cell>
        </row>
        <row r="1191">
          <cell r="B1191" t="str">
            <v>LN1207</v>
          </cell>
        </row>
        <row r="1192">
          <cell r="B1192" t="str">
            <v>LN1211</v>
          </cell>
        </row>
        <row r="1193">
          <cell r="B1193" t="str">
            <v>LN1212</v>
          </cell>
        </row>
        <row r="1194">
          <cell r="B1194" t="str">
            <v>LN1213</v>
          </cell>
        </row>
        <row r="1195">
          <cell r="B1195" t="str">
            <v>LN1216</v>
          </cell>
        </row>
        <row r="1196">
          <cell r="B1196" t="str">
            <v>LN1236</v>
          </cell>
        </row>
        <row r="1197">
          <cell r="B1197" t="str">
            <v>LN1237</v>
          </cell>
        </row>
        <row r="1198">
          <cell r="B1198" t="str">
            <v>PK1635</v>
          </cell>
        </row>
        <row r="1199">
          <cell r="B1199" t="str">
            <v>SK3718</v>
          </cell>
        </row>
        <row r="1200">
          <cell r="B1200" t="str">
            <v>SK3721</v>
          </cell>
        </row>
        <row r="1201">
          <cell r="B1201" t="str">
            <v>SK3722</v>
          </cell>
        </row>
        <row r="1202">
          <cell r="B1202" t="str">
            <v>SK3727</v>
          </cell>
        </row>
        <row r="1203">
          <cell r="B1203" t="str">
            <v>SK3728</v>
          </cell>
        </row>
        <row r="1204">
          <cell r="B1204" t="str">
            <v>SK3729</v>
          </cell>
        </row>
        <row r="1205">
          <cell r="B1205" t="str">
            <v>SK3730</v>
          </cell>
        </row>
        <row r="1206">
          <cell r="B1206" t="str">
            <v>SK3732</v>
          </cell>
        </row>
        <row r="1207">
          <cell r="B1207" t="str">
            <v>SK3743</v>
          </cell>
        </row>
        <row r="1208">
          <cell r="B1208" t="str">
            <v>SK3744</v>
          </cell>
        </row>
        <row r="1209">
          <cell r="B1209" t="str">
            <v>SK3748</v>
          </cell>
        </row>
        <row r="1210">
          <cell r="B1210" t="str">
            <v>UDS1616</v>
          </cell>
        </row>
        <row r="1211">
          <cell r="B1211" t="str">
            <v>UDS1617</v>
          </cell>
        </row>
        <row r="1212">
          <cell r="B1212" t="str">
            <v>UDS1618</v>
          </cell>
        </row>
        <row r="1213">
          <cell r="B1213" t="str">
            <v>UDS1619</v>
          </cell>
        </row>
        <row r="1214">
          <cell r="B1214" t="str">
            <v>UDS1623</v>
          </cell>
        </row>
        <row r="1215">
          <cell r="B1215" t="str">
            <v>UDS1637</v>
          </cell>
        </row>
        <row r="1216">
          <cell r="B1216" t="str">
            <v>UDS1642</v>
          </cell>
        </row>
        <row r="1217">
          <cell r="B1217" t="str">
            <v>UDS1648</v>
          </cell>
        </row>
        <row r="1218">
          <cell r="B1218" t="str">
            <v>UDS1649</v>
          </cell>
        </row>
        <row r="1219">
          <cell r="B1219" t="str">
            <v>UDS1669</v>
          </cell>
        </row>
        <row r="1220">
          <cell r="B1220" t="str">
            <v>UDS1675</v>
          </cell>
        </row>
        <row r="1221">
          <cell r="B1221" t="str">
            <v>AK0206</v>
          </cell>
        </row>
        <row r="1222">
          <cell r="B1222" t="str">
            <v>AK0257</v>
          </cell>
        </row>
        <row r="1223">
          <cell r="B1223" t="str">
            <v>AK1210</v>
          </cell>
        </row>
        <row r="1224">
          <cell r="B1224" t="str">
            <v>AK1211</v>
          </cell>
        </row>
        <row r="1225">
          <cell r="B1225" t="str">
            <v>AK1213</v>
          </cell>
        </row>
        <row r="1226">
          <cell r="B1226" t="str">
            <v>BM0012</v>
          </cell>
        </row>
        <row r="1227">
          <cell r="B1227" t="str">
            <v>BM0014</v>
          </cell>
        </row>
        <row r="1228">
          <cell r="B1228" t="str">
            <v>BM0015</v>
          </cell>
        </row>
        <row r="1229">
          <cell r="B1229" t="str">
            <v>BM0016</v>
          </cell>
        </row>
        <row r="1230">
          <cell r="B1230" t="str">
            <v>BM0017</v>
          </cell>
        </row>
        <row r="1231">
          <cell r="B1231" t="str">
            <v>CI0001</v>
          </cell>
        </row>
        <row r="1232">
          <cell r="B1232" t="str">
            <v>CI0009</v>
          </cell>
        </row>
        <row r="1233">
          <cell r="B1233" t="str">
            <v>CI0012</v>
          </cell>
        </row>
        <row r="1234">
          <cell r="B1234" t="str">
            <v>KK0095</v>
          </cell>
        </row>
        <row r="1235">
          <cell r="B1235" t="str">
            <v>KK1522</v>
          </cell>
        </row>
        <row r="1236">
          <cell r="B1236" t="str">
            <v>KK1528</v>
          </cell>
        </row>
        <row r="1237">
          <cell r="B1237" t="str">
            <v>KK1530</v>
          </cell>
        </row>
        <row r="1238">
          <cell r="B1238" t="str">
            <v>KK1531</v>
          </cell>
        </row>
        <row r="1239">
          <cell r="B1239" t="str">
            <v>KK1533</v>
          </cell>
        </row>
        <row r="1240">
          <cell r="B1240" t="str">
            <v>KK1536</v>
          </cell>
        </row>
        <row r="1241">
          <cell r="B1241" t="str">
            <v>KK1545</v>
          </cell>
        </row>
        <row r="1242">
          <cell r="B1242" t="str">
            <v>KK1547</v>
          </cell>
        </row>
        <row r="1243">
          <cell r="B1243" t="str">
            <v>KK1548</v>
          </cell>
        </row>
        <row r="1244">
          <cell r="B1244" t="str">
            <v>KK1551</v>
          </cell>
        </row>
        <row r="1245">
          <cell r="B1245" t="str">
            <v>KK1555</v>
          </cell>
        </row>
        <row r="1246">
          <cell r="B1246" t="str">
            <v>KK1556</v>
          </cell>
        </row>
        <row r="1247">
          <cell r="B1247" t="str">
            <v>KK1557</v>
          </cell>
        </row>
        <row r="1248">
          <cell r="B1248" t="str">
            <v>KK1561</v>
          </cell>
        </row>
        <row r="1249">
          <cell r="B1249" t="str">
            <v>KK1563</v>
          </cell>
        </row>
        <row r="1250">
          <cell r="B1250" t="str">
            <v>KK1564</v>
          </cell>
        </row>
        <row r="1251">
          <cell r="B1251" t="str">
            <v>KK1568</v>
          </cell>
        </row>
        <row r="1252">
          <cell r="B1252" t="str">
            <v>KK1569</v>
          </cell>
        </row>
        <row r="1253">
          <cell r="B1253" t="str">
            <v>LD0006</v>
          </cell>
        </row>
        <row r="1254">
          <cell r="B1254" t="str">
            <v>LD0013</v>
          </cell>
        </row>
        <row r="1255">
          <cell r="B1255" t="str">
            <v>LD0018</v>
          </cell>
        </row>
        <row r="1256">
          <cell r="B1256" t="str">
            <v>LN0460</v>
          </cell>
        </row>
        <row r="1257">
          <cell r="B1257" t="str">
            <v>LN0733</v>
          </cell>
        </row>
        <row r="1258">
          <cell r="B1258" t="str">
            <v>LN1223</v>
          </cell>
        </row>
        <row r="1259">
          <cell r="B1259" t="str">
            <v>LN1264</v>
          </cell>
        </row>
        <row r="1260">
          <cell r="B1260" t="str">
            <v>LN1267</v>
          </cell>
        </row>
        <row r="1261">
          <cell r="B1261" t="str">
            <v>LN1268</v>
          </cell>
        </row>
        <row r="1262">
          <cell r="B1262" t="str">
            <v>LN1270</v>
          </cell>
        </row>
        <row r="1263">
          <cell r="B1263" t="str">
            <v>LN1272</v>
          </cell>
        </row>
        <row r="1264">
          <cell r="B1264" t="str">
            <v>LN1273</v>
          </cell>
        </row>
        <row r="1265">
          <cell r="B1265" t="str">
            <v>LN1278</v>
          </cell>
        </row>
        <row r="1266">
          <cell r="B1266" t="str">
            <v>LN1291</v>
          </cell>
        </row>
        <row r="1267">
          <cell r="B1267" t="str">
            <v>LN1292</v>
          </cell>
        </row>
        <row r="1268">
          <cell r="B1268" t="str">
            <v>LN1295</v>
          </cell>
        </row>
        <row r="1269">
          <cell r="B1269" t="str">
            <v>LN1297</v>
          </cell>
        </row>
        <row r="1270">
          <cell r="B1270" t="str">
            <v>LN1298</v>
          </cell>
        </row>
        <row r="1271">
          <cell r="B1271" t="str">
            <v>LN1300</v>
          </cell>
        </row>
        <row r="1272">
          <cell r="B1272" t="str">
            <v>LN1302</v>
          </cell>
        </row>
        <row r="1273">
          <cell r="B1273" t="str">
            <v>LN1305</v>
          </cell>
        </row>
        <row r="1274">
          <cell r="B1274" t="str">
            <v>LN1310</v>
          </cell>
        </row>
        <row r="1275">
          <cell r="B1275" t="str">
            <v>LN1311</v>
          </cell>
        </row>
        <row r="1276">
          <cell r="B1276" t="str">
            <v>LN1318</v>
          </cell>
        </row>
        <row r="1277">
          <cell r="B1277" t="str">
            <v>LN1321</v>
          </cell>
        </row>
        <row r="1278">
          <cell r="B1278" t="str">
            <v>LN1324</v>
          </cell>
        </row>
        <row r="1279">
          <cell r="B1279" t="str">
            <v>LN1327</v>
          </cell>
        </row>
        <row r="1280">
          <cell r="B1280" t="str">
            <v>LN1333</v>
          </cell>
        </row>
        <row r="1281">
          <cell r="B1281" t="str">
            <v>LN1337</v>
          </cell>
        </row>
        <row r="1282">
          <cell r="B1282" t="str">
            <v>LN1338</v>
          </cell>
        </row>
        <row r="1283">
          <cell r="B1283" t="str">
            <v>LN1342</v>
          </cell>
        </row>
        <row r="1284">
          <cell r="B1284" t="str">
            <v>PK0405</v>
          </cell>
        </row>
        <row r="1285">
          <cell r="B1285" t="str">
            <v>PK1168</v>
          </cell>
        </row>
        <row r="1286">
          <cell r="B1286" t="str">
            <v>PK1520</v>
          </cell>
        </row>
        <row r="1287">
          <cell r="B1287" t="str">
            <v>PK1651</v>
          </cell>
        </row>
        <row r="1288">
          <cell r="B1288" t="str">
            <v>PK1654</v>
          </cell>
        </row>
        <row r="1289">
          <cell r="B1289" t="str">
            <v>PK1658</v>
          </cell>
        </row>
        <row r="1290">
          <cell r="B1290" t="str">
            <v>PK1673</v>
          </cell>
        </row>
        <row r="1291">
          <cell r="B1291" t="str">
            <v>PK1674</v>
          </cell>
        </row>
        <row r="1292">
          <cell r="B1292" t="str">
            <v>PK1675</v>
          </cell>
        </row>
        <row r="1293">
          <cell r="B1293" t="str">
            <v>PK1677</v>
          </cell>
        </row>
        <row r="1294">
          <cell r="B1294" t="str">
            <v>PK1678</v>
          </cell>
        </row>
        <row r="1295">
          <cell r="B1295" t="str">
            <v>PK1683</v>
          </cell>
        </row>
        <row r="1296">
          <cell r="B1296" t="str">
            <v>PK1684</v>
          </cell>
        </row>
        <row r="1297">
          <cell r="B1297" t="str">
            <v>PK1691</v>
          </cell>
        </row>
        <row r="1298">
          <cell r="B1298" t="str">
            <v>PK1709</v>
          </cell>
        </row>
        <row r="1299">
          <cell r="B1299" t="str">
            <v>PK1712</v>
          </cell>
        </row>
        <row r="1300">
          <cell r="B1300" t="str">
            <v>PK1713</v>
          </cell>
        </row>
        <row r="1301">
          <cell r="B1301" t="str">
            <v>PK1714</v>
          </cell>
        </row>
        <row r="1302">
          <cell r="B1302" t="str">
            <v>PK1717</v>
          </cell>
        </row>
        <row r="1303">
          <cell r="B1303" t="str">
            <v>PK1719</v>
          </cell>
        </row>
        <row r="1304">
          <cell r="B1304" t="str">
            <v>PK1721</v>
          </cell>
        </row>
        <row r="1305">
          <cell r="B1305" t="str">
            <v>SK1377</v>
          </cell>
        </row>
        <row r="1306">
          <cell r="B1306" t="str">
            <v>SK1643</v>
          </cell>
        </row>
        <row r="1307">
          <cell r="B1307" t="str">
            <v>SK2329</v>
          </cell>
        </row>
        <row r="1308">
          <cell r="B1308" t="str">
            <v>SK3117</v>
          </cell>
        </row>
        <row r="1309">
          <cell r="B1309" t="str">
            <v>SK3749</v>
          </cell>
        </row>
        <row r="1310">
          <cell r="B1310" t="str">
            <v>SK3750</v>
          </cell>
        </row>
        <row r="1311">
          <cell r="B1311" t="str">
            <v>SK3754</v>
          </cell>
        </row>
        <row r="1312">
          <cell r="B1312" t="str">
            <v>SK3755</v>
          </cell>
        </row>
        <row r="1313">
          <cell r="B1313" t="str">
            <v>SK3756</v>
          </cell>
        </row>
        <row r="1314">
          <cell r="B1314" t="str">
            <v>SK3757</v>
          </cell>
        </row>
        <row r="1315">
          <cell r="B1315" t="str">
            <v>SK3760</v>
          </cell>
        </row>
        <row r="1316">
          <cell r="B1316" t="str">
            <v>SK3761</v>
          </cell>
        </row>
        <row r="1317">
          <cell r="B1317" t="str">
            <v>SK3762</v>
          </cell>
        </row>
        <row r="1318">
          <cell r="B1318" t="str">
            <v>SK3765</v>
          </cell>
        </row>
        <row r="1319">
          <cell r="B1319" t="str">
            <v>SK3768</v>
          </cell>
        </row>
        <row r="1320">
          <cell r="B1320" t="str">
            <v>SK3769</v>
          </cell>
        </row>
        <row r="1321">
          <cell r="B1321" t="str">
            <v>SK3771</v>
          </cell>
        </row>
        <row r="1322">
          <cell r="B1322" t="str">
            <v>SK3773</v>
          </cell>
        </row>
        <row r="1323">
          <cell r="B1323" t="str">
            <v>SK3777</v>
          </cell>
        </row>
        <row r="1324">
          <cell r="B1324" t="str">
            <v>SK3786</v>
          </cell>
        </row>
        <row r="1325">
          <cell r="B1325" t="str">
            <v>SK3787</v>
          </cell>
        </row>
        <row r="1326">
          <cell r="B1326" t="str">
            <v>SK3788</v>
          </cell>
        </row>
        <row r="1327">
          <cell r="B1327" t="str">
            <v>SK3790</v>
          </cell>
        </row>
        <row r="1328">
          <cell r="B1328" t="str">
            <v>SK3793</v>
          </cell>
        </row>
        <row r="1329">
          <cell r="B1329" t="str">
            <v>SK3796</v>
          </cell>
        </row>
        <row r="1330">
          <cell r="B1330" t="str">
            <v>SK3797</v>
          </cell>
        </row>
        <row r="1331">
          <cell r="B1331" t="str">
            <v>SK3798</v>
          </cell>
        </row>
        <row r="1332">
          <cell r="B1332" t="str">
            <v>SK3799</v>
          </cell>
        </row>
        <row r="1333">
          <cell r="B1333" t="str">
            <v>SK3801</v>
          </cell>
        </row>
        <row r="1334">
          <cell r="B1334" t="str">
            <v>SR0138</v>
          </cell>
        </row>
        <row r="1335">
          <cell r="B1335" t="str">
            <v>SR0829</v>
          </cell>
        </row>
        <row r="1336">
          <cell r="B1336" t="str">
            <v>SR1216</v>
          </cell>
        </row>
        <row r="1337">
          <cell r="B1337" t="str">
            <v>SR1526</v>
          </cell>
        </row>
        <row r="1338">
          <cell r="B1338" t="str">
            <v>SR1533</v>
          </cell>
        </row>
        <row r="1339">
          <cell r="B1339" t="str">
            <v>SR1538</v>
          </cell>
        </row>
        <row r="1340">
          <cell r="B1340" t="str">
            <v>SR1540</v>
          </cell>
        </row>
        <row r="1341">
          <cell r="B1341" t="str">
            <v>SR1541</v>
          </cell>
        </row>
        <row r="1342">
          <cell r="B1342" t="str">
            <v>SR1543</v>
          </cell>
        </row>
        <row r="1343">
          <cell r="B1343" t="str">
            <v>SR1546</v>
          </cell>
        </row>
        <row r="1344">
          <cell r="B1344" t="str">
            <v>SR1548</v>
          </cell>
        </row>
        <row r="1345">
          <cell r="B1345" t="str">
            <v>SR1549</v>
          </cell>
        </row>
        <row r="1346">
          <cell r="B1346" t="str">
            <v>SR1552</v>
          </cell>
        </row>
        <row r="1347">
          <cell r="B1347" t="str">
            <v>SR1553</v>
          </cell>
        </row>
        <row r="1348">
          <cell r="B1348" t="str">
            <v>SR1557</v>
          </cell>
        </row>
        <row r="1349">
          <cell r="B1349" t="str">
            <v>SR1563</v>
          </cell>
        </row>
        <row r="1350">
          <cell r="B1350" t="str">
            <v>SR1575</v>
          </cell>
        </row>
        <row r="1351">
          <cell r="B1351" t="str">
            <v>SR1580</v>
          </cell>
        </row>
        <row r="1352">
          <cell r="B1352" t="str">
            <v>SR1588</v>
          </cell>
        </row>
        <row r="1353">
          <cell r="B1353" t="str">
            <v>UDS1682</v>
          </cell>
        </row>
        <row r="1354">
          <cell r="B1354" t="str">
            <v>UDS1686</v>
          </cell>
        </row>
        <row r="1355">
          <cell r="B1355" t="str">
            <v>UDS1689</v>
          </cell>
        </row>
        <row r="1356">
          <cell r="B1356" t="str">
            <v>UDS1693</v>
          </cell>
        </row>
        <row r="1357">
          <cell r="B1357" t="str">
            <v>UDS1698</v>
          </cell>
        </row>
        <row r="1358">
          <cell r="B1358" t="str">
            <v>UDS1703</v>
          </cell>
        </row>
        <row r="1359">
          <cell r="B1359" t="str">
            <v>UDS1704</v>
          </cell>
        </row>
        <row r="1360">
          <cell r="B1360" t="str">
            <v>UDS1726</v>
          </cell>
        </row>
        <row r="1361">
          <cell r="B1361" t="str">
            <v>UDS1728</v>
          </cell>
        </row>
        <row r="1362">
          <cell r="B1362" t="str">
            <v>UDS1729</v>
          </cell>
        </row>
        <row r="1363">
          <cell r="B1363" t="str">
            <v>UDS1732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eft Employee Report"/>
    </sheetNames>
    <sheetDataSet>
      <sheetData sheetId="0">
        <row r="5">
          <cell r="D5" t="str">
            <v>AK1214</v>
          </cell>
        </row>
        <row r="6">
          <cell r="D6" t="str">
            <v>AK1215</v>
          </cell>
        </row>
        <row r="7">
          <cell r="D7" t="str">
            <v>AK1217</v>
          </cell>
        </row>
        <row r="8">
          <cell r="D8" t="str">
            <v>AK1218</v>
          </cell>
        </row>
        <row r="9">
          <cell r="D9" t="str">
            <v>AK1219</v>
          </cell>
        </row>
        <row r="10">
          <cell r="D10" t="str">
            <v>AK1220</v>
          </cell>
        </row>
        <row r="11">
          <cell r="D11" t="str">
            <v>AK1222</v>
          </cell>
        </row>
        <row r="12">
          <cell r="D12" t="str">
            <v>AK1223</v>
          </cell>
        </row>
        <row r="13">
          <cell r="D13" t="str">
            <v>BM0001</v>
          </cell>
        </row>
        <row r="14">
          <cell r="D14" t="str">
            <v>BM0002</v>
          </cell>
        </row>
        <row r="15">
          <cell r="D15" t="str">
            <v>BM0003</v>
          </cell>
        </row>
        <row r="16">
          <cell r="D16" t="str">
            <v>BM0004</v>
          </cell>
        </row>
        <row r="17">
          <cell r="D17" t="str">
            <v>BM0005</v>
          </cell>
        </row>
        <row r="18">
          <cell r="D18" t="str">
            <v>BM0006</v>
          </cell>
        </row>
        <row r="19">
          <cell r="D19" t="str">
            <v>BM0007</v>
          </cell>
        </row>
        <row r="20">
          <cell r="D20" t="str">
            <v>BM0008</v>
          </cell>
        </row>
        <row r="21">
          <cell r="D21" t="str">
            <v>BM0009</v>
          </cell>
        </row>
        <row r="22">
          <cell r="D22" t="str">
            <v>BM0010</v>
          </cell>
        </row>
        <row r="23">
          <cell r="D23" t="str">
            <v>BM0011</v>
          </cell>
        </row>
        <row r="24">
          <cell r="D24" t="str">
            <v>BM0013</v>
          </cell>
        </row>
        <row r="25">
          <cell r="D25" t="str">
            <v>BM0018</v>
          </cell>
        </row>
        <row r="26">
          <cell r="D26" t="str">
            <v>CI0006</v>
          </cell>
        </row>
        <row r="27">
          <cell r="D27" t="str">
            <v>CI0010</v>
          </cell>
        </row>
        <row r="28">
          <cell r="D28" t="str">
            <v>CI0011</v>
          </cell>
        </row>
        <row r="29">
          <cell r="D29" t="str">
            <v>CI0013</v>
          </cell>
        </row>
        <row r="30">
          <cell r="D30" t="str">
            <v>IPF0001</v>
          </cell>
        </row>
        <row r="31">
          <cell r="D31" t="str">
            <v>IPF0002</v>
          </cell>
        </row>
        <row r="32">
          <cell r="D32" t="str">
            <v>IPF0003</v>
          </cell>
        </row>
        <row r="33">
          <cell r="D33" t="str">
            <v>IPF0004</v>
          </cell>
        </row>
        <row r="34">
          <cell r="D34" t="str">
            <v>IPF0005</v>
          </cell>
        </row>
        <row r="35">
          <cell r="D35" t="str">
            <v>IPF0006</v>
          </cell>
        </row>
        <row r="36">
          <cell r="D36" t="str">
            <v>IPF0007</v>
          </cell>
        </row>
        <row r="37">
          <cell r="D37" t="str">
            <v>IPF0008</v>
          </cell>
        </row>
        <row r="38">
          <cell r="D38" t="str">
            <v>IPF0009</v>
          </cell>
        </row>
        <row r="39">
          <cell r="D39" t="str">
            <v>IPF0010</v>
          </cell>
        </row>
        <row r="40">
          <cell r="D40" t="str">
            <v>IPF0011</v>
          </cell>
        </row>
        <row r="41">
          <cell r="D41" t="str">
            <v>IPF0012</v>
          </cell>
        </row>
        <row r="42">
          <cell r="D42" t="str">
            <v>IPF0015</v>
          </cell>
        </row>
        <row r="43">
          <cell r="D43" t="str">
            <v>IPF0016</v>
          </cell>
        </row>
        <row r="44">
          <cell r="D44" t="str">
            <v>IPF0017</v>
          </cell>
        </row>
        <row r="45">
          <cell r="D45" t="str">
            <v>KK0352</v>
          </cell>
        </row>
        <row r="46">
          <cell r="D46" t="str">
            <v>KK0713</v>
          </cell>
        </row>
        <row r="47">
          <cell r="D47" t="str">
            <v>KK1535</v>
          </cell>
        </row>
        <row r="48">
          <cell r="D48" t="str">
            <v>KK1538</v>
          </cell>
        </row>
        <row r="49">
          <cell r="D49" t="str">
            <v>KK1539</v>
          </cell>
        </row>
        <row r="50">
          <cell r="D50" t="str">
            <v>KK1540</v>
          </cell>
        </row>
        <row r="51">
          <cell r="D51" t="str">
            <v>KK1541</v>
          </cell>
        </row>
        <row r="52">
          <cell r="D52" t="str">
            <v>KK1542</v>
          </cell>
        </row>
        <row r="53">
          <cell r="D53" t="str">
            <v>KK1543</v>
          </cell>
        </row>
        <row r="54">
          <cell r="D54" t="str">
            <v>KK1544</v>
          </cell>
        </row>
        <row r="55">
          <cell r="D55" t="str">
            <v>KK1549</v>
          </cell>
        </row>
        <row r="56">
          <cell r="D56" t="str">
            <v>KK1552</v>
          </cell>
        </row>
        <row r="57">
          <cell r="D57" t="str">
            <v>KK1553</v>
          </cell>
        </row>
        <row r="58">
          <cell r="D58" t="str">
            <v>KK1554</v>
          </cell>
        </row>
        <row r="59">
          <cell r="D59" t="str">
            <v>KK1558</v>
          </cell>
        </row>
        <row r="60">
          <cell r="D60" t="str">
            <v>KK1559</v>
          </cell>
        </row>
        <row r="61">
          <cell r="D61" t="str">
            <v>KK1560</v>
          </cell>
        </row>
        <row r="62">
          <cell r="D62" t="str">
            <v>KK1565</v>
          </cell>
        </row>
        <row r="63">
          <cell r="D63" t="str">
            <v>KK1567</v>
          </cell>
        </row>
        <row r="64">
          <cell r="D64" t="str">
            <v>KK1571</v>
          </cell>
        </row>
        <row r="65">
          <cell r="D65" t="str">
            <v>KK1573</v>
          </cell>
        </row>
        <row r="66">
          <cell r="D66" t="str">
            <v>KK1575</v>
          </cell>
        </row>
        <row r="67">
          <cell r="D67" t="str">
            <v>KK1577</v>
          </cell>
        </row>
        <row r="68">
          <cell r="D68" t="str">
            <v>LD0001</v>
          </cell>
        </row>
        <row r="69">
          <cell r="D69" t="str">
            <v>LD0004</v>
          </cell>
        </row>
        <row r="70">
          <cell r="D70" t="str">
            <v>LD0008</v>
          </cell>
        </row>
        <row r="71">
          <cell r="D71" t="str">
            <v>LD0009</v>
          </cell>
        </row>
        <row r="72">
          <cell r="D72" t="str">
            <v>LD0010</v>
          </cell>
        </row>
        <row r="73">
          <cell r="D73" t="str">
            <v>LD0012</v>
          </cell>
        </row>
        <row r="74">
          <cell r="D74" t="str">
            <v>LD0014</v>
          </cell>
        </row>
        <row r="75">
          <cell r="D75" t="str">
            <v>LD0015</v>
          </cell>
        </row>
        <row r="76">
          <cell r="D76" t="str">
            <v>LD0019</v>
          </cell>
        </row>
        <row r="77">
          <cell r="D77" t="str">
            <v>LN0086</v>
          </cell>
        </row>
        <row r="78">
          <cell r="D78" t="str">
            <v>LN0242</v>
          </cell>
        </row>
        <row r="79">
          <cell r="D79" t="str">
            <v>LN0251</v>
          </cell>
        </row>
        <row r="80">
          <cell r="D80" t="str">
            <v>LN0334</v>
          </cell>
        </row>
        <row r="81">
          <cell r="D81" t="str">
            <v>LN0630</v>
          </cell>
        </row>
        <row r="82">
          <cell r="D82" t="str">
            <v>LN0675</v>
          </cell>
        </row>
        <row r="83">
          <cell r="D83" t="str">
            <v>LN0732</v>
          </cell>
        </row>
        <row r="84">
          <cell r="D84" t="str">
            <v>LN0815</v>
          </cell>
        </row>
        <row r="85">
          <cell r="D85" t="str">
            <v>LN0866</v>
          </cell>
        </row>
        <row r="86">
          <cell r="D86" t="str">
            <v>LN0950</v>
          </cell>
        </row>
        <row r="87">
          <cell r="D87" t="str">
            <v>LN0968</v>
          </cell>
        </row>
        <row r="88">
          <cell r="D88" t="str">
            <v>LN1011</v>
          </cell>
        </row>
        <row r="89">
          <cell r="D89" t="str">
            <v>LN1090</v>
          </cell>
        </row>
        <row r="90">
          <cell r="D90" t="str">
            <v>LN1129</v>
          </cell>
        </row>
        <row r="91">
          <cell r="D91" t="str">
            <v>LN1146</v>
          </cell>
        </row>
        <row r="92">
          <cell r="D92" t="str">
            <v>LN1148</v>
          </cell>
        </row>
        <row r="93">
          <cell r="D93" t="str">
            <v>LN1151</v>
          </cell>
        </row>
        <row r="94">
          <cell r="D94" t="str">
            <v>LN1210</v>
          </cell>
        </row>
        <row r="95">
          <cell r="D95" t="str">
            <v>LN1247</v>
          </cell>
        </row>
        <row r="96">
          <cell r="D96" t="str">
            <v>LN1271</v>
          </cell>
        </row>
        <row r="97">
          <cell r="D97" t="str">
            <v>LN1274</v>
          </cell>
        </row>
        <row r="98">
          <cell r="D98" t="str">
            <v>LN1282</v>
          </cell>
        </row>
        <row r="99">
          <cell r="D99" t="str">
            <v>LN1283</v>
          </cell>
        </row>
        <row r="100">
          <cell r="D100" t="str">
            <v>LN1290</v>
          </cell>
        </row>
        <row r="101">
          <cell r="D101" t="str">
            <v>LN1304</v>
          </cell>
        </row>
        <row r="102">
          <cell r="D102" t="str">
            <v>LN1307</v>
          </cell>
        </row>
        <row r="103">
          <cell r="D103" t="str">
            <v>LN1308</v>
          </cell>
        </row>
        <row r="104">
          <cell r="D104" t="str">
            <v>LN1309</v>
          </cell>
        </row>
        <row r="105">
          <cell r="D105" t="str">
            <v>LN1313</v>
          </cell>
        </row>
        <row r="106">
          <cell r="D106" t="str">
            <v>LN1315</v>
          </cell>
        </row>
        <row r="107">
          <cell r="D107" t="str">
            <v>LN1316</v>
          </cell>
        </row>
        <row r="108">
          <cell r="D108" t="str">
            <v>LN1320</v>
          </cell>
        </row>
        <row r="109">
          <cell r="D109" t="str">
            <v>LN1322</v>
          </cell>
        </row>
        <row r="110">
          <cell r="D110" t="str">
            <v>LN1328</v>
          </cell>
        </row>
        <row r="111">
          <cell r="D111" t="str">
            <v>LN1329</v>
          </cell>
        </row>
        <row r="112">
          <cell r="D112" t="str">
            <v>LN1336</v>
          </cell>
        </row>
        <row r="113">
          <cell r="D113" t="str">
            <v>LN1339</v>
          </cell>
        </row>
        <row r="114">
          <cell r="D114" t="str">
            <v>LN1340</v>
          </cell>
        </row>
        <row r="115">
          <cell r="D115" t="str">
            <v>LN1347</v>
          </cell>
        </row>
        <row r="116">
          <cell r="D116" t="str">
            <v>LN1351</v>
          </cell>
        </row>
        <row r="117">
          <cell r="D117" t="str">
            <v>LN1352</v>
          </cell>
        </row>
        <row r="118">
          <cell r="D118" t="str">
            <v>LN1353</v>
          </cell>
        </row>
        <row r="119">
          <cell r="D119" t="str">
            <v>LN1355</v>
          </cell>
        </row>
        <row r="120">
          <cell r="D120" t="str">
            <v>PK0660</v>
          </cell>
        </row>
        <row r="121">
          <cell r="D121" t="str">
            <v>PK1614</v>
          </cell>
        </row>
        <row r="122">
          <cell r="D122" t="str">
            <v>PK1652</v>
          </cell>
        </row>
        <row r="123">
          <cell r="D123" t="str">
            <v>PK1653</v>
          </cell>
        </row>
        <row r="124">
          <cell r="D124" t="str">
            <v>PK1659</v>
          </cell>
        </row>
        <row r="125">
          <cell r="D125" t="str">
            <v>PK1672</v>
          </cell>
        </row>
        <row r="126">
          <cell r="D126" t="str">
            <v>PK1679</v>
          </cell>
        </row>
        <row r="127">
          <cell r="D127" t="str">
            <v>PK1680</v>
          </cell>
        </row>
        <row r="128">
          <cell r="D128" t="str">
            <v>PK1681</v>
          </cell>
        </row>
        <row r="129">
          <cell r="D129" t="str">
            <v>PK1685</v>
          </cell>
        </row>
        <row r="130">
          <cell r="D130" t="str">
            <v>PK1687</v>
          </cell>
        </row>
        <row r="131">
          <cell r="D131" t="str">
            <v>PK1688</v>
          </cell>
        </row>
        <row r="132">
          <cell r="D132" t="str">
            <v>PK1689</v>
          </cell>
        </row>
        <row r="133">
          <cell r="D133" t="str">
            <v>PK1692</v>
          </cell>
        </row>
        <row r="134">
          <cell r="D134" t="str">
            <v>PK1693</v>
          </cell>
        </row>
        <row r="135">
          <cell r="D135" t="str">
            <v>PK1694</v>
          </cell>
        </row>
        <row r="136">
          <cell r="D136" t="str">
            <v>PK1695</v>
          </cell>
        </row>
        <row r="137">
          <cell r="D137" t="str">
            <v>PK1696</v>
          </cell>
        </row>
        <row r="138">
          <cell r="D138" t="str">
            <v>PK1697</v>
          </cell>
        </row>
        <row r="139">
          <cell r="D139" t="str">
            <v>PK1698</v>
          </cell>
        </row>
        <row r="140">
          <cell r="D140" t="str">
            <v>PK1699</v>
          </cell>
        </row>
        <row r="141">
          <cell r="D141" t="str">
            <v>PK1700</v>
          </cell>
        </row>
        <row r="142">
          <cell r="D142" t="str">
            <v>PK1701</v>
          </cell>
        </row>
        <row r="143">
          <cell r="D143" t="str">
            <v>PK1702</v>
          </cell>
        </row>
        <row r="144">
          <cell r="D144" t="str">
            <v>PK1703</v>
          </cell>
        </row>
        <row r="145">
          <cell r="D145" t="str">
            <v>PK1704</v>
          </cell>
        </row>
        <row r="146">
          <cell r="D146" t="str">
            <v>PK1705</v>
          </cell>
        </row>
        <row r="147">
          <cell r="D147" t="str">
            <v>PK1706</v>
          </cell>
        </row>
        <row r="148">
          <cell r="D148" t="str">
            <v>PK1707</v>
          </cell>
        </row>
        <row r="149">
          <cell r="D149" t="str">
            <v>PK1708</v>
          </cell>
        </row>
        <row r="150">
          <cell r="D150" t="str">
            <v>PK1710</v>
          </cell>
        </row>
        <row r="151">
          <cell r="D151" t="str">
            <v>PK1711</v>
          </cell>
        </row>
        <row r="152">
          <cell r="D152" t="str">
            <v>PK1718</v>
          </cell>
        </row>
        <row r="153">
          <cell r="D153" t="str">
            <v>PK1720</v>
          </cell>
        </row>
        <row r="154">
          <cell r="D154" t="str">
            <v>PK1722</v>
          </cell>
        </row>
        <row r="155">
          <cell r="D155" t="str">
            <v>PK1723</v>
          </cell>
        </row>
        <row r="156">
          <cell r="D156" t="str">
            <v>PK1727</v>
          </cell>
        </row>
        <row r="157">
          <cell r="D157" t="str">
            <v>PK1728</v>
          </cell>
        </row>
        <row r="158">
          <cell r="D158" t="str">
            <v>PK1729</v>
          </cell>
        </row>
        <row r="159">
          <cell r="D159" t="str">
            <v>PK1730</v>
          </cell>
        </row>
        <row r="160">
          <cell r="D160" t="str">
            <v>PK1733</v>
          </cell>
        </row>
        <row r="161">
          <cell r="D161" t="str">
            <v>PK1734</v>
          </cell>
        </row>
        <row r="162">
          <cell r="D162" t="str">
            <v>PK1735</v>
          </cell>
        </row>
        <row r="163">
          <cell r="D163" t="str">
            <v>PK1736</v>
          </cell>
        </row>
        <row r="164">
          <cell r="D164" t="str">
            <v>PK1737</v>
          </cell>
        </row>
        <row r="165">
          <cell r="D165" t="str">
            <v>PK1739</v>
          </cell>
        </row>
        <row r="166">
          <cell r="D166" t="str">
            <v>SK1449</v>
          </cell>
        </row>
        <row r="167">
          <cell r="D167" t="str">
            <v>SK2797</v>
          </cell>
        </row>
        <row r="168">
          <cell r="D168" t="str">
            <v>SK2824</v>
          </cell>
        </row>
        <row r="169">
          <cell r="D169" t="str">
            <v>SK2907</v>
          </cell>
        </row>
        <row r="170">
          <cell r="D170" t="str">
            <v>SK3329</v>
          </cell>
        </row>
        <row r="171">
          <cell r="D171" t="str">
            <v>SK3376</v>
          </cell>
        </row>
        <row r="172">
          <cell r="D172" t="str">
            <v>SK3589</v>
          </cell>
        </row>
        <row r="173">
          <cell r="D173" t="str">
            <v>SK3748</v>
          </cell>
        </row>
        <row r="174">
          <cell r="D174" t="str">
            <v>SK3751</v>
          </cell>
        </row>
        <row r="175">
          <cell r="D175" t="str">
            <v>SK3752</v>
          </cell>
        </row>
        <row r="176">
          <cell r="D176" t="str">
            <v>SK3753</v>
          </cell>
        </row>
        <row r="177">
          <cell r="D177" t="str">
            <v>SK3755</v>
          </cell>
        </row>
        <row r="178">
          <cell r="D178" t="str">
            <v>SK3758</v>
          </cell>
        </row>
        <row r="179">
          <cell r="D179" t="str">
            <v>SK3763</v>
          </cell>
        </row>
        <row r="180">
          <cell r="D180" t="str">
            <v>SK3764</v>
          </cell>
        </row>
        <row r="181">
          <cell r="D181" t="str">
            <v>SK3766</v>
          </cell>
        </row>
        <row r="182">
          <cell r="D182" t="str">
            <v>SK3767</v>
          </cell>
        </row>
        <row r="183">
          <cell r="D183" t="str">
            <v>SK3770</v>
          </cell>
        </row>
        <row r="184">
          <cell r="D184" t="str">
            <v>SK3774</v>
          </cell>
        </row>
        <row r="185">
          <cell r="D185" t="str">
            <v>SK3775</v>
          </cell>
        </row>
        <row r="186">
          <cell r="D186" t="str">
            <v>SK3780</v>
          </cell>
        </row>
        <row r="187">
          <cell r="D187" t="str">
            <v>SK3783</v>
          </cell>
        </row>
        <row r="188">
          <cell r="D188" t="str">
            <v>SK3789</v>
          </cell>
        </row>
        <row r="189">
          <cell r="D189" t="str">
            <v>SK3791</v>
          </cell>
        </row>
        <row r="190">
          <cell r="D190" t="str">
            <v>SK3792</v>
          </cell>
        </row>
        <row r="191">
          <cell r="D191" t="str">
            <v>SK3819</v>
          </cell>
        </row>
        <row r="192">
          <cell r="D192" t="str">
            <v>SM0001</v>
          </cell>
        </row>
        <row r="193">
          <cell r="D193" t="str">
            <v>SM0002</v>
          </cell>
        </row>
        <row r="194">
          <cell r="D194" t="str">
            <v>SM0003</v>
          </cell>
        </row>
        <row r="195">
          <cell r="D195" t="str">
            <v>SM0004</v>
          </cell>
        </row>
        <row r="196">
          <cell r="D196" t="str">
            <v>SM0006</v>
          </cell>
        </row>
        <row r="197">
          <cell r="D197" t="str">
            <v>SM0007</v>
          </cell>
        </row>
        <row r="198">
          <cell r="D198" t="str">
            <v>SM0008</v>
          </cell>
        </row>
        <row r="199">
          <cell r="D199" t="str">
            <v>SM0009</v>
          </cell>
        </row>
        <row r="200">
          <cell r="D200" t="str">
            <v>SR0004</v>
          </cell>
        </row>
        <row r="201">
          <cell r="D201" t="str">
            <v>SR0516</v>
          </cell>
        </row>
        <row r="202">
          <cell r="D202" t="str">
            <v>SR0737</v>
          </cell>
        </row>
        <row r="203">
          <cell r="D203" t="str">
            <v>SR1007</v>
          </cell>
        </row>
        <row r="204">
          <cell r="D204" t="str">
            <v>SR1261</v>
          </cell>
        </row>
        <row r="205">
          <cell r="D205" t="str">
            <v>SR1275</v>
          </cell>
        </row>
        <row r="206">
          <cell r="D206" t="str">
            <v>SR1415</v>
          </cell>
        </row>
        <row r="207">
          <cell r="D207" t="str">
            <v>SR1514</v>
          </cell>
        </row>
        <row r="208">
          <cell r="D208" t="str">
            <v>SR1518</v>
          </cell>
        </row>
        <row r="209">
          <cell r="D209" t="str">
            <v>SR1521</v>
          </cell>
        </row>
        <row r="210">
          <cell r="D210" t="str">
            <v>SR1525</v>
          </cell>
        </row>
        <row r="211">
          <cell r="D211" t="str">
            <v>SR1527</v>
          </cell>
        </row>
        <row r="212">
          <cell r="D212" t="str">
            <v>SR1534</v>
          </cell>
        </row>
        <row r="213">
          <cell r="D213" t="str">
            <v>SR1535</v>
          </cell>
        </row>
        <row r="214">
          <cell r="D214" t="str">
            <v>SR1542</v>
          </cell>
        </row>
        <row r="215">
          <cell r="D215" t="str">
            <v>SR1544</v>
          </cell>
        </row>
        <row r="216">
          <cell r="D216" t="str">
            <v>SR1547</v>
          </cell>
        </row>
        <row r="217">
          <cell r="D217" t="str">
            <v>SR1550</v>
          </cell>
        </row>
        <row r="218">
          <cell r="D218" t="str">
            <v>SR1551</v>
          </cell>
        </row>
        <row r="219">
          <cell r="D219" t="str">
            <v>SR1554</v>
          </cell>
        </row>
        <row r="220">
          <cell r="D220" t="str">
            <v>SR1556</v>
          </cell>
        </row>
        <row r="221">
          <cell r="D221" t="str">
            <v>SR1558</v>
          </cell>
        </row>
        <row r="222">
          <cell r="D222" t="str">
            <v>SR1559</v>
          </cell>
        </row>
        <row r="223">
          <cell r="D223" t="str">
            <v>SR1560</v>
          </cell>
        </row>
        <row r="224">
          <cell r="D224" t="str">
            <v>SR1562</v>
          </cell>
        </row>
        <row r="225">
          <cell r="D225" t="str">
            <v>SR1564</v>
          </cell>
        </row>
        <row r="226">
          <cell r="D226" t="str">
            <v>SR1565</v>
          </cell>
        </row>
        <row r="227">
          <cell r="D227" t="str">
            <v>SR1566</v>
          </cell>
        </row>
        <row r="228">
          <cell r="D228" t="str">
            <v>SR1567</v>
          </cell>
        </row>
        <row r="229">
          <cell r="D229" t="str">
            <v>SR1569</v>
          </cell>
        </row>
        <row r="230">
          <cell r="D230" t="str">
            <v>SR1570</v>
          </cell>
        </row>
        <row r="231">
          <cell r="D231" t="str">
            <v>SR1571</v>
          </cell>
        </row>
        <row r="232">
          <cell r="D232" t="str">
            <v>SR1572</v>
          </cell>
        </row>
        <row r="233">
          <cell r="D233" t="str">
            <v>SR1573</v>
          </cell>
        </row>
        <row r="234">
          <cell r="D234" t="str">
            <v>SR1574</v>
          </cell>
        </row>
        <row r="235">
          <cell r="D235" t="str">
            <v>SR1576</v>
          </cell>
        </row>
        <row r="236">
          <cell r="D236" t="str">
            <v>SR1577</v>
          </cell>
        </row>
        <row r="237">
          <cell r="D237" t="str">
            <v>SR1581</v>
          </cell>
        </row>
        <row r="238">
          <cell r="D238" t="str">
            <v>SR1582</v>
          </cell>
        </row>
        <row r="239">
          <cell r="D239" t="str">
            <v>SR1585</v>
          </cell>
        </row>
        <row r="240">
          <cell r="D240" t="str">
            <v>SR1586</v>
          </cell>
        </row>
        <row r="241">
          <cell r="D241" t="str">
            <v>SR1589</v>
          </cell>
        </row>
        <row r="242">
          <cell r="D242" t="str">
            <v>SR1591</v>
          </cell>
        </row>
        <row r="243">
          <cell r="D243" t="str">
            <v>SR1595</v>
          </cell>
        </row>
        <row r="244">
          <cell r="D244" t="str">
            <v>SR1600</v>
          </cell>
        </row>
        <row r="245">
          <cell r="D245" t="str">
            <v>UDS1706</v>
          </cell>
        </row>
        <row r="246">
          <cell r="D246" t="str">
            <v>UDS1707</v>
          </cell>
        </row>
        <row r="247">
          <cell r="D247" t="str">
            <v>UDS1708</v>
          </cell>
        </row>
        <row r="248">
          <cell r="D248" t="str">
            <v>UDS1711</v>
          </cell>
        </row>
        <row r="249">
          <cell r="D249" t="str">
            <v>UDS1712</v>
          </cell>
        </row>
        <row r="250">
          <cell r="D250" t="str">
            <v>UDS1713</v>
          </cell>
        </row>
        <row r="251">
          <cell r="D251" t="str">
            <v>UDS1714</v>
          </cell>
        </row>
        <row r="252">
          <cell r="D252" t="str">
            <v>UDS1716</v>
          </cell>
        </row>
        <row r="253">
          <cell r="D253" t="str">
            <v>UDS1717</v>
          </cell>
        </row>
        <row r="254">
          <cell r="D254" t="str">
            <v>UDS1718</v>
          </cell>
        </row>
        <row r="255">
          <cell r="D255" t="str">
            <v>UDS1720</v>
          </cell>
        </row>
        <row r="256">
          <cell r="D256" t="str">
            <v>UDS1722</v>
          </cell>
        </row>
        <row r="257">
          <cell r="D257" t="str">
            <v>UDS1723</v>
          </cell>
        </row>
        <row r="258">
          <cell r="D258" t="str">
            <v>UDS1724</v>
          </cell>
        </row>
        <row r="259">
          <cell r="D259" t="str">
            <v>UDS1725</v>
          </cell>
        </row>
        <row r="260">
          <cell r="D260" t="str">
            <v>UDS1727</v>
          </cell>
        </row>
        <row r="261">
          <cell r="D261" t="str">
            <v>UDS1731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Left Employee Report"/>
    </sheetNames>
    <sheetDataSet>
      <sheetData sheetId="0">
        <row r="4">
          <cell r="D4" t="str">
            <v>EmpCode</v>
          </cell>
        </row>
        <row r="5">
          <cell r="D5" t="str">
            <v>1000054</v>
          </cell>
        </row>
        <row r="6">
          <cell r="D6" t="str">
            <v>1000060</v>
          </cell>
        </row>
        <row r="7">
          <cell r="D7" t="str">
            <v>1000071</v>
          </cell>
        </row>
        <row r="8">
          <cell r="D8" t="str">
            <v>1000079</v>
          </cell>
        </row>
        <row r="9">
          <cell r="D9" t="str">
            <v>1000080</v>
          </cell>
        </row>
        <row r="10">
          <cell r="D10" t="str">
            <v>1000081</v>
          </cell>
        </row>
        <row r="11">
          <cell r="D11" t="str">
            <v>1000082</v>
          </cell>
        </row>
        <row r="12">
          <cell r="D12" t="str">
            <v>1000083</v>
          </cell>
        </row>
        <row r="13">
          <cell r="D13" t="str">
            <v>1000084</v>
          </cell>
        </row>
        <row r="14">
          <cell r="D14" t="str">
            <v>1000085</v>
          </cell>
        </row>
        <row r="15">
          <cell r="D15" t="str">
            <v>1010009</v>
          </cell>
        </row>
        <row r="16">
          <cell r="D16" t="str">
            <v>1010011</v>
          </cell>
        </row>
        <row r="17">
          <cell r="D17" t="str">
            <v>1010012</v>
          </cell>
        </row>
        <row r="18">
          <cell r="D18" t="str">
            <v>1010016</v>
          </cell>
        </row>
        <row r="19">
          <cell r="D19" t="str">
            <v>1010020</v>
          </cell>
        </row>
        <row r="20">
          <cell r="D20" t="str">
            <v>1010021</v>
          </cell>
        </row>
        <row r="21">
          <cell r="D21" t="str">
            <v>1010030</v>
          </cell>
        </row>
        <row r="22">
          <cell r="D22" t="str">
            <v>1010031</v>
          </cell>
        </row>
        <row r="23">
          <cell r="D23" t="str">
            <v>1010032</v>
          </cell>
        </row>
        <row r="24">
          <cell r="D24" t="str">
            <v>1020061</v>
          </cell>
        </row>
        <row r="25">
          <cell r="D25" t="str">
            <v>1020063</v>
          </cell>
        </row>
        <row r="26">
          <cell r="D26" t="str">
            <v>1020074</v>
          </cell>
        </row>
        <row r="27">
          <cell r="D27" t="str">
            <v>1020075</v>
          </cell>
        </row>
        <row r="28">
          <cell r="D28" t="str">
            <v>1020076</v>
          </cell>
        </row>
        <row r="29">
          <cell r="D29" t="str">
            <v>1020077</v>
          </cell>
        </row>
        <row r="30">
          <cell r="D30" t="str">
            <v>1030011</v>
          </cell>
        </row>
        <row r="31">
          <cell r="D31" t="str">
            <v>1030014</v>
          </cell>
        </row>
        <row r="32">
          <cell r="D32" t="str">
            <v>1030020</v>
          </cell>
        </row>
        <row r="33">
          <cell r="D33" t="str">
            <v>1030036</v>
          </cell>
        </row>
        <row r="34">
          <cell r="D34" t="str">
            <v>1030041</v>
          </cell>
        </row>
        <row r="35">
          <cell r="D35" t="str">
            <v>1030058</v>
          </cell>
        </row>
        <row r="36">
          <cell r="D36" t="str">
            <v>1030060</v>
          </cell>
        </row>
        <row r="37">
          <cell r="D37" t="str">
            <v>1030061</v>
          </cell>
        </row>
        <row r="38">
          <cell r="D38" t="str">
            <v>1030062</v>
          </cell>
        </row>
        <row r="39">
          <cell r="D39" t="str">
            <v>1030063</v>
          </cell>
        </row>
        <row r="40">
          <cell r="D40" t="str">
            <v>1030064</v>
          </cell>
        </row>
        <row r="41">
          <cell r="D41" t="str">
            <v>1050032</v>
          </cell>
        </row>
        <row r="42">
          <cell r="D42" t="str">
            <v>1050035</v>
          </cell>
        </row>
        <row r="43">
          <cell r="D43" t="str">
            <v>1050057</v>
          </cell>
        </row>
        <row r="44">
          <cell r="D44" t="str">
            <v>1050101</v>
          </cell>
        </row>
        <row r="45">
          <cell r="D45" t="str">
            <v>1050105</v>
          </cell>
        </row>
        <row r="46">
          <cell r="D46" t="str">
            <v>1050116</v>
          </cell>
        </row>
        <row r="47">
          <cell r="D47" t="str">
            <v>1050144</v>
          </cell>
        </row>
        <row r="48">
          <cell r="D48" t="str">
            <v>1050160</v>
          </cell>
        </row>
        <row r="49">
          <cell r="D49" t="str">
            <v>1050173</v>
          </cell>
        </row>
        <row r="50">
          <cell r="D50" t="str">
            <v>1050175</v>
          </cell>
        </row>
        <row r="51">
          <cell r="D51" t="str">
            <v>1050187</v>
          </cell>
        </row>
        <row r="52">
          <cell r="D52" t="str">
            <v>1050190</v>
          </cell>
        </row>
        <row r="53">
          <cell r="D53" t="str">
            <v>1050192</v>
          </cell>
        </row>
        <row r="54">
          <cell r="D54" t="str">
            <v>1050198</v>
          </cell>
        </row>
        <row r="55">
          <cell r="D55" t="str">
            <v>1050199</v>
          </cell>
        </row>
        <row r="56">
          <cell r="D56" t="str">
            <v>1050207</v>
          </cell>
        </row>
        <row r="57">
          <cell r="D57" t="str">
            <v>1050233</v>
          </cell>
        </row>
        <row r="58">
          <cell r="D58" t="str">
            <v>1050238</v>
          </cell>
        </row>
        <row r="59">
          <cell r="D59" t="str">
            <v>1050247</v>
          </cell>
        </row>
        <row r="60">
          <cell r="D60" t="str">
            <v>1050250</v>
          </cell>
        </row>
        <row r="61">
          <cell r="D61" t="str">
            <v>1050272</v>
          </cell>
        </row>
        <row r="62">
          <cell r="D62" t="str">
            <v>1050285</v>
          </cell>
        </row>
        <row r="63">
          <cell r="D63" t="str">
            <v>1050287</v>
          </cell>
        </row>
        <row r="64">
          <cell r="D64" t="str">
            <v>1050288</v>
          </cell>
        </row>
        <row r="65">
          <cell r="D65" t="str">
            <v>1050293</v>
          </cell>
        </row>
        <row r="66">
          <cell r="D66" t="str">
            <v>1050294</v>
          </cell>
        </row>
        <row r="67">
          <cell r="D67" t="str">
            <v>1050295</v>
          </cell>
        </row>
        <row r="68">
          <cell r="D68" t="str">
            <v>1050296</v>
          </cell>
        </row>
        <row r="69">
          <cell r="D69" t="str">
            <v>1050298</v>
          </cell>
        </row>
        <row r="70">
          <cell r="D70" t="str">
            <v>1050299</v>
          </cell>
        </row>
        <row r="71">
          <cell r="D71" t="str">
            <v>1050300</v>
          </cell>
        </row>
        <row r="72">
          <cell r="D72" t="str">
            <v>1050301</v>
          </cell>
        </row>
        <row r="73">
          <cell r="D73" t="str">
            <v>1050302</v>
          </cell>
        </row>
        <row r="74">
          <cell r="D74" t="str">
            <v>1050303</v>
          </cell>
        </row>
        <row r="75">
          <cell r="D75" t="str">
            <v>1050304</v>
          </cell>
        </row>
        <row r="76">
          <cell r="D76" t="str">
            <v>1050305</v>
          </cell>
        </row>
        <row r="77">
          <cell r="D77" t="str">
            <v>1050306</v>
          </cell>
        </row>
        <row r="78">
          <cell r="D78" t="str">
            <v>1050308</v>
          </cell>
        </row>
        <row r="79">
          <cell r="D79" t="str">
            <v>1050310</v>
          </cell>
        </row>
        <row r="80">
          <cell r="D80" t="str">
            <v>1050311</v>
          </cell>
        </row>
        <row r="81">
          <cell r="D81" t="str">
            <v>1050312</v>
          </cell>
        </row>
        <row r="82">
          <cell r="D82" t="str">
            <v>1050314</v>
          </cell>
        </row>
        <row r="83">
          <cell r="D83" t="str">
            <v>1050315</v>
          </cell>
        </row>
        <row r="84">
          <cell r="D84" t="str">
            <v>1050316</v>
          </cell>
        </row>
        <row r="85">
          <cell r="D85" t="str">
            <v>1050317</v>
          </cell>
        </row>
        <row r="86">
          <cell r="D86" t="str">
            <v>1050321</v>
          </cell>
        </row>
        <row r="87">
          <cell r="D87" t="str">
            <v>1050322</v>
          </cell>
        </row>
        <row r="88">
          <cell r="D88" t="str">
            <v>1050323</v>
          </cell>
        </row>
        <row r="89">
          <cell r="D89" t="str">
            <v>1050324</v>
          </cell>
        </row>
        <row r="90">
          <cell r="D90" t="str">
            <v>1050325</v>
          </cell>
        </row>
        <row r="91">
          <cell r="D91" t="str">
            <v>1050331</v>
          </cell>
        </row>
        <row r="92">
          <cell r="D92" t="str">
            <v>1050335</v>
          </cell>
        </row>
        <row r="93">
          <cell r="D93" t="str">
            <v>1050336</v>
          </cell>
        </row>
        <row r="94">
          <cell r="D94" t="str">
            <v>1050337</v>
          </cell>
        </row>
        <row r="95">
          <cell r="D95" t="str">
            <v>1050338</v>
          </cell>
        </row>
        <row r="96">
          <cell r="D96" t="str">
            <v>1050340</v>
          </cell>
        </row>
        <row r="97">
          <cell r="D97" t="str">
            <v>1060018</v>
          </cell>
        </row>
        <row r="98">
          <cell r="D98" t="str">
            <v>1070015</v>
          </cell>
        </row>
        <row r="99">
          <cell r="D99" t="str">
            <v>1100007</v>
          </cell>
        </row>
        <row r="100">
          <cell r="D100" t="str">
            <v>1100023</v>
          </cell>
        </row>
        <row r="101">
          <cell r="D101" t="str">
            <v>1100024</v>
          </cell>
        </row>
        <row r="102">
          <cell r="D102" t="str">
            <v>1100027</v>
          </cell>
        </row>
        <row r="103">
          <cell r="D103" t="str">
            <v>1100028</v>
          </cell>
        </row>
        <row r="104">
          <cell r="D104" t="str">
            <v>1100029</v>
          </cell>
        </row>
        <row r="105">
          <cell r="D105" t="str">
            <v>1100030</v>
          </cell>
        </row>
        <row r="106">
          <cell r="D106" t="str">
            <v>1130003</v>
          </cell>
        </row>
        <row r="107">
          <cell r="D107" t="str">
            <v>1130009</v>
          </cell>
        </row>
        <row r="108">
          <cell r="D108" t="str">
            <v>1130028</v>
          </cell>
        </row>
        <row r="109">
          <cell r="D109" t="str">
            <v>1130047</v>
          </cell>
        </row>
        <row r="110">
          <cell r="D110" t="str">
            <v>1130056</v>
          </cell>
        </row>
        <row r="111">
          <cell r="D111" t="str">
            <v>1130057</v>
          </cell>
        </row>
        <row r="112">
          <cell r="D112" t="str">
            <v>1130085</v>
          </cell>
        </row>
        <row r="113">
          <cell r="D113" t="str">
            <v>1130088</v>
          </cell>
        </row>
        <row r="114">
          <cell r="D114" t="str">
            <v>1130089</v>
          </cell>
        </row>
        <row r="115">
          <cell r="D115" t="str">
            <v>1130094</v>
          </cell>
        </row>
        <row r="116">
          <cell r="D116" t="str">
            <v>1130098</v>
          </cell>
        </row>
        <row r="117">
          <cell r="D117" t="str">
            <v>1130101</v>
          </cell>
        </row>
        <row r="118">
          <cell r="D118" t="str">
            <v>1130102</v>
          </cell>
        </row>
        <row r="119">
          <cell r="D119" t="str">
            <v>1130108</v>
          </cell>
        </row>
        <row r="120">
          <cell r="D120" t="str">
            <v>1130114</v>
          </cell>
        </row>
        <row r="121">
          <cell r="D121" t="str">
            <v>1130115</v>
          </cell>
        </row>
        <row r="122">
          <cell r="D122" t="str">
            <v>1130116</v>
          </cell>
        </row>
        <row r="123">
          <cell r="D123" t="str">
            <v>1130117</v>
          </cell>
        </row>
        <row r="124">
          <cell r="D124" t="str">
            <v>1130118</v>
          </cell>
        </row>
        <row r="125">
          <cell r="D125" t="str">
            <v>1130120</v>
          </cell>
        </row>
        <row r="126">
          <cell r="D126" t="str">
            <v>1130121</v>
          </cell>
        </row>
        <row r="127">
          <cell r="D127" t="str">
            <v>1130122</v>
          </cell>
        </row>
        <row r="128">
          <cell r="D128" t="str">
            <v>1130124</v>
          </cell>
        </row>
        <row r="129">
          <cell r="D129" t="str">
            <v>1130125</v>
          </cell>
        </row>
        <row r="130">
          <cell r="D130" t="str">
            <v>1130127</v>
          </cell>
        </row>
        <row r="131">
          <cell r="D131" t="str">
            <v>1130130</v>
          </cell>
        </row>
        <row r="132">
          <cell r="D132" t="str">
            <v>1130131</v>
          </cell>
        </row>
        <row r="133">
          <cell r="D133" t="str">
            <v>1130132</v>
          </cell>
        </row>
        <row r="134">
          <cell r="D134" t="str">
            <v>1130135</v>
          </cell>
        </row>
        <row r="135">
          <cell r="D135" t="str">
            <v>1150010</v>
          </cell>
        </row>
        <row r="136">
          <cell r="D136" t="str">
            <v>1150026</v>
          </cell>
        </row>
        <row r="137">
          <cell r="D137" t="str">
            <v>1150102</v>
          </cell>
        </row>
        <row r="138">
          <cell r="D138" t="str">
            <v>1150108</v>
          </cell>
        </row>
        <row r="139">
          <cell r="D139" t="str">
            <v>1150248</v>
          </cell>
        </row>
        <row r="140">
          <cell r="D140" t="str">
            <v>1150259</v>
          </cell>
        </row>
        <row r="141">
          <cell r="D141" t="str">
            <v>1150269</v>
          </cell>
        </row>
        <row r="142">
          <cell r="D142" t="str">
            <v>1150280</v>
          </cell>
        </row>
        <row r="143">
          <cell r="D143" t="str">
            <v>1150282</v>
          </cell>
        </row>
        <row r="144">
          <cell r="D144" t="str">
            <v>1150283</v>
          </cell>
        </row>
        <row r="145">
          <cell r="D145" t="str">
            <v>1150284</v>
          </cell>
        </row>
        <row r="146">
          <cell r="D146" t="str">
            <v>1150285</v>
          </cell>
        </row>
        <row r="147">
          <cell r="D147" t="str">
            <v>1150286</v>
          </cell>
        </row>
        <row r="148">
          <cell r="D148" t="str">
            <v>1150287</v>
          </cell>
        </row>
        <row r="149">
          <cell r="D149" t="str">
            <v>1150288</v>
          </cell>
        </row>
        <row r="150">
          <cell r="D150" t="str">
            <v>1150289</v>
          </cell>
        </row>
        <row r="151">
          <cell r="D151" t="str">
            <v>1150290</v>
          </cell>
        </row>
        <row r="152">
          <cell r="D152" t="str">
            <v>1150291</v>
          </cell>
        </row>
        <row r="153">
          <cell r="D153" t="str">
            <v>1150292</v>
          </cell>
        </row>
        <row r="154">
          <cell r="D154" t="str">
            <v>1150293</v>
          </cell>
        </row>
        <row r="155">
          <cell r="D155" t="str">
            <v>1150294</v>
          </cell>
        </row>
        <row r="156">
          <cell r="D156" t="str">
            <v>1150295</v>
          </cell>
        </row>
        <row r="157">
          <cell r="D157" t="str">
            <v>1150296</v>
          </cell>
        </row>
        <row r="158">
          <cell r="D158" t="str">
            <v>1150297</v>
          </cell>
        </row>
        <row r="159">
          <cell r="D159" t="str">
            <v>1150298</v>
          </cell>
        </row>
        <row r="160">
          <cell r="D160" t="str">
            <v>1150299</v>
          </cell>
        </row>
        <row r="161">
          <cell r="D161" t="str">
            <v>1150300</v>
          </cell>
        </row>
        <row r="162">
          <cell r="D162" t="str">
            <v>1150301</v>
          </cell>
        </row>
        <row r="163">
          <cell r="D163" t="str">
            <v>1150302</v>
          </cell>
        </row>
        <row r="164">
          <cell r="D164" t="str">
            <v>1150303</v>
          </cell>
        </row>
        <row r="165">
          <cell r="D165" t="str">
            <v>1150304</v>
          </cell>
        </row>
        <row r="166">
          <cell r="D166" t="str">
            <v>1150305</v>
          </cell>
        </row>
        <row r="167">
          <cell r="D167" t="str">
            <v>1150306</v>
          </cell>
        </row>
        <row r="168">
          <cell r="D168" t="str">
            <v>1150307</v>
          </cell>
        </row>
        <row r="169">
          <cell r="D169" t="str">
            <v>1150308</v>
          </cell>
        </row>
        <row r="170">
          <cell r="D170" t="str">
            <v>1150309</v>
          </cell>
        </row>
        <row r="171">
          <cell r="D171" t="str">
            <v>1150310</v>
          </cell>
        </row>
        <row r="172">
          <cell r="D172" t="str">
            <v>1150311</v>
          </cell>
        </row>
        <row r="173">
          <cell r="D173" t="str">
            <v>1160021</v>
          </cell>
        </row>
        <row r="174">
          <cell r="D174" t="str">
            <v>1160033</v>
          </cell>
        </row>
        <row r="175">
          <cell r="D175" t="str">
            <v>1160034</v>
          </cell>
        </row>
        <row r="176">
          <cell r="D176" t="str">
            <v>1160035</v>
          </cell>
        </row>
        <row r="177">
          <cell r="D177" t="str">
            <v>1160036</v>
          </cell>
        </row>
        <row r="178">
          <cell r="D178" t="str">
            <v>1160037</v>
          </cell>
        </row>
        <row r="179">
          <cell r="D179" t="str">
            <v>1160038</v>
          </cell>
        </row>
        <row r="180">
          <cell r="D180" t="str">
            <v>1170005</v>
          </cell>
        </row>
        <row r="181">
          <cell r="D181" t="str">
            <v>1170011</v>
          </cell>
        </row>
        <row r="182">
          <cell r="D182" t="str">
            <v>1170042</v>
          </cell>
        </row>
        <row r="183">
          <cell r="D183" t="str">
            <v>1170048</v>
          </cell>
        </row>
        <row r="184">
          <cell r="D184" t="str">
            <v>1170049</v>
          </cell>
        </row>
        <row r="185">
          <cell r="D185" t="str">
            <v>1170050</v>
          </cell>
        </row>
        <row r="186">
          <cell r="D186" t="str">
            <v>1170051</v>
          </cell>
        </row>
        <row r="187">
          <cell r="D187" t="str">
            <v>1170052</v>
          </cell>
        </row>
        <row r="188">
          <cell r="D188" t="str">
            <v>1170053</v>
          </cell>
        </row>
        <row r="189">
          <cell r="D189" t="str">
            <v>1170054</v>
          </cell>
        </row>
        <row r="190">
          <cell r="D190" t="str">
            <v>1180019</v>
          </cell>
        </row>
        <row r="191">
          <cell r="D191" t="str">
            <v>1180023</v>
          </cell>
        </row>
        <row r="192">
          <cell r="D192" t="str">
            <v>1180024</v>
          </cell>
        </row>
        <row r="193">
          <cell r="D193" t="str">
            <v>1180025</v>
          </cell>
        </row>
        <row r="194">
          <cell r="D194" t="str">
            <v>1180032</v>
          </cell>
        </row>
        <row r="195">
          <cell r="D195" t="str">
            <v>1180034</v>
          </cell>
        </row>
        <row r="196">
          <cell r="D196" t="str">
            <v>1180035</v>
          </cell>
        </row>
        <row r="197">
          <cell r="D197" t="str">
            <v>1180036</v>
          </cell>
        </row>
        <row r="198">
          <cell r="D198" t="str">
            <v>1180037</v>
          </cell>
        </row>
        <row r="199">
          <cell r="D199" t="str">
            <v>1180040</v>
          </cell>
        </row>
        <row r="200">
          <cell r="D200" t="str">
            <v>1190224</v>
          </cell>
        </row>
        <row r="201">
          <cell r="D201" t="str">
            <v>1190226</v>
          </cell>
        </row>
        <row r="202">
          <cell r="D202" t="str">
            <v>1190227</v>
          </cell>
        </row>
        <row r="203">
          <cell r="D203" t="str">
            <v>1190255</v>
          </cell>
        </row>
        <row r="204">
          <cell r="D204" t="str">
            <v>1190256</v>
          </cell>
        </row>
        <row r="205">
          <cell r="D205" t="str">
            <v>1190260</v>
          </cell>
        </row>
        <row r="206">
          <cell r="D206" t="str">
            <v>1190286</v>
          </cell>
        </row>
        <row r="207">
          <cell r="D207" t="str">
            <v>1190291</v>
          </cell>
        </row>
        <row r="208">
          <cell r="D208" t="str">
            <v>1190292</v>
          </cell>
        </row>
        <row r="209">
          <cell r="D209" t="str">
            <v>1190293</v>
          </cell>
        </row>
        <row r="210">
          <cell r="D210" t="str">
            <v>1190294</v>
          </cell>
        </row>
        <row r="211">
          <cell r="D211" t="str">
            <v>1190295</v>
          </cell>
        </row>
        <row r="212">
          <cell r="D212" t="str">
            <v>1190298</v>
          </cell>
        </row>
        <row r="213">
          <cell r="D213" t="str">
            <v>1190299</v>
          </cell>
        </row>
        <row r="214">
          <cell r="D214" t="str">
            <v>1190305</v>
          </cell>
        </row>
        <row r="215">
          <cell r="D215" t="str">
            <v>1190306</v>
          </cell>
        </row>
        <row r="216">
          <cell r="D216" t="str">
            <v>1190307</v>
          </cell>
        </row>
        <row r="217">
          <cell r="D217" t="str">
            <v>1190308</v>
          </cell>
        </row>
        <row r="218">
          <cell r="D218" t="str">
            <v>1190309</v>
          </cell>
        </row>
        <row r="219">
          <cell r="D219" t="str">
            <v>1190310</v>
          </cell>
        </row>
        <row r="220">
          <cell r="D220" t="str">
            <v>1190311</v>
          </cell>
        </row>
        <row r="221">
          <cell r="D221" t="str">
            <v>1190312</v>
          </cell>
        </row>
        <row r="222">
          <cell r="D222" t="str">
            <v>1190313</v>
          </cell>
        </row>
        <row r="223">
          <cell r="D223" t="str">
            <v>1190314</v>
          </cell>
        </row>
        <row r="224">
          <cell r="D224" t="str">
            <v>1190315</v>
          </cell>
        </row>
        <row r="225">
          <cell r="D225" t="str">
            <v>1190316</v>
          </cell>
        </row>
        <row r="226">
          <cell r="D226" t="str">
            <v>1190317</v>
          </cell>
        </row>
        <row r="227">
          <cell r="D227" t="str">
            <v>1190318</v>
          </cell>
        </row>
        <row r="228">
          <cell r="D228" t="str">
            <v>1190319</v>
          </cell>
        </row>
        <row r="229">
          <cell r="D229" t="str">
            <v>1190320</v>
          </cell>
        </row>
        <row r="230">
          <cell r="D230" t="str">
            <v>1190321</v>
          </cell>
        </row>
        <row r="231">
          <cell r="D231" t="str">
            <v>1190322</v>
          </cell>
        </row>
        <row r="232">
          <cell r="D232" t="str">
            <v>1190323</v>
          </cell>
        </row>
        <row r="233">
          <cell r="D233" t="str">
            <v>1190324</v>
          </cell>
        </row>
        <row r="234">
          <cell r="D234" t="str">
            <v>1190325</v>
          </cell>
        </row>
        <row r="235">
          <cell r="D235" t="str">
            <v>1190326</v>
          </cell>
        </row>
        <row r="236">
          <cell r="D236" t="str">
            <v>1190330</v>
          </cell>
        </row>
        <row r="237">
          <cell r="D237" t="str">
            <v>1190335</v>
          </cell>
        </row>
        <row r="238">
          <cell r="D238" t="str">
            <v>1190337</v>
          </cell>
        </row>
        <row r="239">
          <cell r="D239" t="str">
            <v>1190338</v>
          </cell>
        </row>
        <row r="240">
          <cell r="D240" t="str">
            <v>1190339</v>
          </cell>
        </row>
        <row r="241">
          <cell r="D241" t="str">
            <v>1190340</v>
          </cell>
        </row>
        <row r="242">
          <cell r="D242" t="str">
            <v>1190341</v>
          </cell>
        </row>
        <row r="243">
          <cell r="D243" t="str">
            <v>1190342</v>
          </cell>
        </row>
        <row r="244">
          <cell r="D244" t="str">
            <v>1190343</v>
          </cell>
        </row>
        <row r="245">
          <cell r="D245" t="str">
            <v>1190344</v>
          </cell>
        </row>
        <row r="246">
          <cell r="D246" t="str">
            <v>1190345</v>
          </cell>
        </row>
        <row r="247">
          <cell r="D247" t="str">
            <v>1190346</v>
          </cell>
        </row>
        <row r="248">
          <cell r="D248" t="str">
            <v>1190347</v>
          </cell>
        </row>
        <row r="249">
          <cell r="D249" t="str">
            <v>1190348</v>
          </cell>
        </row>
        <row r="250">
          <cell r="D250" t="str">
            <v>1190349</v>
          </cell>
        </row>
        <row r="251">
          <cell r="D251" t="str">
            <v>1190350</v>
          </cell>
        </row>
        <row r="252">
          <cell r="D252" t="str">
            <v>1190351</v>
          </cell>
        </row>
        <row r="253">
          <cell r="D253" t="str">
            <v>1190352</v>
          </cell>
        </row>
        <row r="254">
          <cell r="D254" t="str">
            <v>1190353</v>
          </cell>
        </row>
        <row r="255">
          <cell r="D255" t="str">
            <v>1190354</v>
          </cell>
        </row>
        <row r="256">
          <cell r="D256" t="str">
            <v>1190355</v>
          </cell>
        </row>
        <row r="257">
          <cell r="D257" t="str">
            <v>1190356</v>
          </cell>
        </row>
        <row r="258">
          <cell r="D258" t="str">
            <v>1190357</v>
          </cell>
        </row>
        <row r="259">
          <cell r="D259" t="str">
            <v>1190364</v>
          </cell>
        </row>
        <row r="260">
          <cell r="D260" t="str">
            <v>1190365</v>
          </cell>
        </row>
        <row r="261">
          <cell r="D261" t="str">
            <v>1190366</v>
          </cell>
        </row>
        <row r="262">
          <cell r="D262" t="str">
            <v>1190367</v>
          </cell>
        </row>
        <row r="263">
          <cell r="D263" t="str">
            <v>1190368</v>
          </cell>
        </row>
        <row r="264">
          <cell r="D264" t="str">
            <v>1190369</v>
          </cell>
        </row>
        <row r="265">
          <cell r="D265" t="str">
            <v>1190371</v>
          </cell>
        </row>
        <row r="266">
          <cell r="D266" t="str">
            <v>1190372</v>
          </cell>
        </row>
        <row r="267">
          <cell r="D267" t="str">
            <v>1190373</v>
          </cell>
        </row>
        <row r="268">
          <cell r="D268" t="str">
            <v>1190374</v>
          </cell>
        </row>
        <row r="269">
          <cell r="D269" t="str">
            <v>1190376</v>
          </cell>
        </row>
        <row r="270">
          <cell r="D270" t="str">
            <v>1190377</v>
          </cell>
        </row>
        <row r="271">
          <cell r="D271" t="str">
            <v>1190379</v>
          </cell>
        </row>
        <row r="272">
          <cell r="D272" t="str">
            <v>1190380</v>
          </cell>
        </row>
        <row r="273">
          <cell r="D273" t="str">
            <v>1190381</v>
          </cell>
        </row>
        <row r="274">
          <cell r="D274" t="str">
            <v>1190382</v>
          </cell>
        </row>
        <row r="275">
          <cell r="D275" t="str">
            <v>1190383</v>
          </cell>
        </row>
        <row r="276">
          <cell r="D276" t="str">
            <v>1190384</v>
          </cell>
        </row>
        <row r="277">
          <cell r="D277" t="str">
            <v>1190385</v>
          </cell>
        </row>
        <row r="278">
          <cell r="D278" t="str">
            <v>1190386</v>
          </cell>
        </row>
        <row r="279">
          <cell r="D279" t="str">
            <v>1190387</v>
          </cell>
        </row>
        <row r="280">
          <cell r="D280" t="str">
            <v>1190388</v>
          </cell>
        </row>
        <row r="281">
          <cell r="D281" t="str">
            <v>1190389</v>
          </cell>
        </row>
        <row r="282">
          <cell r="D282" t="str">
            <v>1190390</v>
          </cell>
        </row>
        <row r="283">
          <cell r="D283" t="str">
            <v>1190391</v>
          </cell>
        </row>
        <row r="284">
          <cell r="D284" t="str">
            <v>1190392</v>
          </cell>
        </row>
        <row r="285">
          <cell r="D285" t="str">
            <v>1190393</v>
          </cell>
        </row>
        <row r="286">
          <cell r="D286" t="str">
            <v>1190394</v>
          </cell>
        </row>
        <row r="287">
          <cell r="D287" t="str">
            <v>1190395</v>
          </cell>
        </row>
        <row r="288">
          <cell r="D288" t="str">
            <v>1190396</v>
          </cell>
        </row>
        <row r="289">
          <cell r="D289" t="str">
            <v>1190397</v>
          </cell>
        </row>
        <row r="290">
          <cell r="D290" t="str">
            <v>1190398</v>
          </cell>
        </row>
        <row r="291">
          <cell r="D291" t="str">
            <v>1190399</v>
          </cell>
        </row>
        <row r="292">
          <cell r="D292" t="str">
            <v>1190400</v>
          </cell>
        </row>
        <row r="293">
          <cell r="D293" t="str">
            <v>1190401</v>
          </cell>
        </row>
        <row r="294">
          <cell r="D294" t="str">
            <v>1190402</v>
          </cell>
        </row>
        <row r="295">
          <cell r="D295" t="str">
            <v>1190403</v>
          </cell>
        </row>
        <row r="296">
          <cell r="D296" t="str">
            <v>1190404</v>
          </cell>
        </row>
        <row r="297">
          <cell r="D297" t="str">
            <v>1190405</v>
          </cell>
        </row>
        <row r="298">
          <cell r="D298" t="str">
            <v>1190406</v>
          </cell>
        </row>
        <row r="299">
          <cell r="D299" t="str">
            <v>1190407</v>
          </cell>
        </row>
        <row r="300">
          <cell r="D300" t="str">
            <v>1190408</v>
          </cell>
        </row>
        <row r="301">
          <cell r="D301" t="str">
            <v>1190409</v>
          </cell>
        </row>
        <row r="302">
          <cell r="D302" t="str">
            <v>1190410</v>
          </cell>
        </row>
        <row r="303">
          <cell r="D303" t="str">
            <v>1190411</v>
          </cell>
        </row>
        <row r="304">
          <cell r="D304" t="str">
            <v>1190412</v>
          </cell>
        </row>
        <row r="305">
          <cell r="D305" t="str">
            <v>1190413</v>
          </cell>
        </row>
        <row r="306">
          <cell r="D306" t="str">
            <v>1190414</v>
          </cell>
        </row>
        <row r="307">
          <cell r="D307" t="str">
            <v>1190415</v>
          </cell>
        </row>
        <row r="308">
          <cell r="D308" t="str">
            <v>1190416</v>
          </cell>
        </row>
        <row r="309">
          <cell r="D309" t="str">
            <v>1190417</v>
          </cell>
        </row>
        <row r="310">
          <cell r="D310" t="str">
            <v>1190418</v>
          </cell>
        </row>
        <row r="311">
          <cell r="D311" t="str">
            <v>1190419</v>
          </cell>
        </row>
        <row r="312">
          <cell r="D312" t="str">
            <v>1190420</v>
          </cell>
        </row>
        <row r="313">
          <cell r="D313" t="str">
            <v>1190421</v>
          </cell>
        </row>
        <row r="314">
          <cell r="D314" t="str">
            <v>1190422</v>
          </cell>
        </row>
        <row r="315">
          <cell r="D315" t="str">
            <v>1190423</v>
          </cell>
        </row>
        <row r="316">
          <cell r="D316" t="str">
            <v>1190424</v>
          </cell>
        </row>
        <row r="317">
          <cell r="D317" t="str">
            <v>1190425</v>
          </cell>
        </row>
        <row r="318">
          <cell r="D318" t="str">
            <v>1190426</v>
          </cell>
        </row>
        <row r="319">
          <cell r="D319" t="str">
            <v>1190427</v>
          </cell>
        </row>
        <row r="320">
          <cell r="D320" t="str">
            <v>1190429</v>
          </cell>
        </row>
        <row r="321">
          <cell r="D321" t="str">
            <v>1190431</v>
          </cell>
        </row>
        <row r="322">
          <cell r="D322" t="str">
            <v>1190432</v>
          </cell>
        </row>
        <row r="323">
          <cell r="D323" t="str">
            <v>1190433</v>
          </cell>
        </row>
        <row r="324">
          <cell r="D324" t="str">
            <v>1190435</v>
          </cell>
        </row>
        <row r="325">
          <cell r="D325" t="str">
            <v>1190436</v>
          </cell>
        </row>
        <row r="326">
          <cell r="D326" t="str">
            <v>1190437</v>
          </cell>
        </row>
        <row r="327">
          <cell r="D327" t="str">
            <v>1190438</v>
          </cell>
        </row>
        <row r="328">
          <cell r="D328" t="str">
            <v>1190439</v>
          </cell>
        </row>
        <row r="329">
          <cell r="D329" t="str">
            <v>1190441</v>
          </cell>
        </row>
        <row r="330">
          <cell r="D330" t="str">
            <v>1190442</v>
          </cell>
        </row>
        <row r="331">
          <cell r="D331" t="str">
            <v>1190443</v>
          </cell>
        </row>
        <row r="332">
          <cell r="D332" t="str">
            <v>1190444</v>
          </cell>
        </row>
        <row r="333">
          <cell r="D333" t="str">
            <v>1190445</v>
          </cell>
        </row>
        <row r="334">
          <cell r="D334" t="str">
            <v>1190448</v>
          </cell>
        </row>
        <row r="335">
          <cell r="D335" t="str">
            <v>1190449</v>
          </cell>
        </row>
        <row r="336">
          <cell r="D336" t="str">
            <v>1190450</v>
          </cell>
        </row>
        <row r="337">
          <cell r="D337" t="str">
            <v>1190452</v>
          </cell>
        </row>
        <row r="338">
          <cell r="D338" t="str">
            <v>1190453</v>
          </cell>
        </row>
        <row r="339">
          <cell r="D339" t="str">
            <v>1190454</v>
          </cell>
        </row>
        <row r="340">
          <cell r="D340" t="str">
            <v>1190455</v>
          </cell>
        </row>
        <row r="341">
          <cell r="D341" t="str">
            <v>1190456</v>
          </cell>
        </row>
        <row r="342">
          <cell r="D342" t="str">
            <v>1190457</v>
          </cell>
        </row>
        <row r="343">
          <cell r="D343" t="str">
            <v>1190458</v>
          </cell>
        </row>
        <row r="344">
          <cell r="D344" t="str">
            <v>1190459</v>
          </cell>
        </row>
        <row r="345">
          <cell r="D345" t="str">
            <v>1190467</v>
          </cell>
        </row>
        <row r="346">
          <cell r="D346" t="str">
            <v>1190469</v>
          </cell>
        </row>
        <row r="347">
          <cell r="D347" t="str">
            <v>1190470</v>
          </cell>
        </row>
        <row r="348">
          <cell r="D348" t="str">
            <v>1190471</v>
          </cell>
        </row>
        <row r="349">
          <cell r="D349" t="str">
            <v>1190472</v>
          </cell>
        </row>
        <row r="350">
          <cell r="D350" t="str">
            <v>1190473</v>
          </cell>
        </row>
        <row r="351">
          <cell r="D351" t="str">
            <v>1190474</v>
          </cell>
        </row>
        <row r="352">
          <cell r="D352" t="str">
            <v>1190475</v>
          </cell>
        </row>
        <row r="353">
          <cell r="D353" t="str">
            <v>1190476</v>
          </cell>
        </row>
        <row r="354">
          <cell r="D354" t="str">
            <v>1190477</v>
          </cell>
        </row>
        <row r="355">
          <cell r="D355" t="str">
            <v>1190479</v>
          </cell>
        </row>
        <row r="356">
          <cell r="D356" t="str">
            <v>1190480</v>
          </cell>
        </row>
        <row r="357">
          <cell r="D357" t="str">
            <v>1190481</v>
          </cell>
        </row>
        <row r="358">
          <cell r="D358" t="str">
            <v>1190482</v>
          </cell>
        </row>
        <row r="359">
          <cell r="D359" t="str">
            <v>1190483</v>
          </cell>
        </row>
        <row r="360">
          <cell r="D360" t="str">
            <v>1190484</v>
          </cell>
        </row>
        <row r="361">
          <cell r="D361" t="str">
            <v>1190485</v>
          </cell>
        </row>
        <row r="362">
          <cell r="D362" t="str">
            <v>1190486</v>
          </cell>
        </row>
        <row r="363">
          <cell r="D363" t="str">
            <v>1190487</v>
          </cell>
        </row>
        <row r="364">
          <cell r="D364" t="str">
            <v>1190488</v>
          </cell>
        </row>
        <row r="365">
          <cell r="D365" t="str">
            <v>1190489</v>
          </cell>
        </row>
        <row r="366">
          <cell r="D366" t="str">
            <v>1190490</v>
          </cell>
        </row>
        <row r="367">
          <cell r="D367" t="str">
            <v>1190491</v>
          </cell>
        </row>
        <row r="368">
          <cell r="D368" t="str">
            <v>1190492</v>
          </cell>
        </row>
        <row r="369">
          <cell r="D369" t="str">
            <v>1190495</v>
          </cell>
        </row>
        <row r="370">
          <cell r="D370" t="str">
            <v>1190496</v>
          </cell>
        </row>
        <row r="371">
          <cell r="D371" t="str">
            <v>1190497</v>
          </cell>
        </row>
        <row r="372">
          <cell r="D372" t="str">
            <v>1190498</v>
          </cell>
        </row>
        <row r="373">
          <cell r="D373" t="str">
            <v>1190499</v>
          </cell>
        </row>
        <row r="374">
          <cell r="D374" t="str">
            <v>1190500</v>
          </cell>
        </row>
        <row r="375">
          <cell r="D375" t="str">
            <v>1190501</v>
          </cell>
        </row>
        <row r="376">
          <cell r="D376" t="str">
            <v>1190502</v>
          </cell>
        </row>
        <row r="377">
          <cell r="D377" t="str">
            <v>1190503</v>
          </cell>
        </row>
        <row r="378">
          <cell r="D378" t="str">
            <v>1190504</v>
          </cell>
        </row>
        <row r="379">
          <cell r="D379" t="str">
            <v>1190505</v>
          </cell>
        </row>
        <row r="380">
          <cell r="D380" t="str">
            <v>1190506</v>
          </cell>
        </row>
        <row r="381">
          <cell r="D381" t="str">
            <v>1190507</v>
          </cell>
        </row>
        <row r="382">
          <cell r="D382" t="str">
            <v>1190508</v>
          </cell>
        </row>
        <row r="383">
          <cell r="D383" t="str">
            <v>1190509</v>
          </cell>
        </row>
        <row r="384">
          <cell r="D384" t="str">
            <v>1190510</v>
          </cell>
        </row>
        <row r="385">
          <cell r="D385" t="str">
            <v>1190512</v>
          </cell>
        </row>
        <row r="386">
          <cell r="D386" t="str">
            <v>1190516</v>
          </cell>
        </row>
        <row r="387">
          <cell r="D387" t="str">
            <v>1190517</v>
          </cell>
        </row>
        <row r="388">
          <cell r="D388" t="str">
            <v>1190518</v>
          </cell>
        </row>
        <row r="389">
          <cell r="D389" t="str">
            <v>1190519</v>
          </cell>
        </row>
        <row r="390">
          <cell r="D390" t="str">
            <v>1190520</v>
          </cell>
        </row>
        <row r="391">
          <cell r="D391" t="str">
            <v>1190521</v>
          </cell>
        </row>
        <row r="392">
          <cell r="D392" t="str">
            <v>1190522</v>
          </cell>
        </row>
        <row r="393">
          <cell r="D393" t="str">
            <v>1190523</v>
          </cell>
        </row>
        <row r="394">
          <cell r="D394" t="str">
            <v>1190524</v>
          </cell>
        </row>
        <row r="395">
          <cell r="D395" t="str">
            <v>1190525</v>
          </cell>
        </row>
        <row r="396">
          <cell r="D396" t="str">
            <v>1190526</v>
          </cell>
        </row>
        <row r="397">
          <cell r="D397" t="str">
            <v>1190528</v>
          </cell>
        </row>
        <row r="398">
          <cell r="D398" t="str">
            <v>1200045</v>
          </cell>
        </row>
        <row r="399">
          <cell r="D399" t="str">
            <v>1200049</v>
          </cell>
        </row>
        <row r="400">
          <cell r="D400" t="str">
            <v>1200051</v>
          </cell>
        </row>
        <row r="401">
          <cell r="D401" t="str">
            <v>1200052</v>
          </cell>
        </row>
        <row r="402">
          <cell r="D402" t="str">
            <v>1200053</v>
          </cell>
        </row>
        <row r="403">
          <cell r="D403" t="str">
            <v>1200054</v>
          </cell>
        </row>
        <row r="404">
          <cell r="D404" t="str">
            <v>1200055</v>
          </cell>
        </row>
        <row r="405">
          <cell r="D405" t="str">
            <v>1200056</v>
          </cell>
        </row>
        <row r="406">
          <cell r="D406" t="str">
            <v>1200057</v>
          </cell>
        </row>
        <row r="407">
          <cell r="D407" t="str">
            <v>1210002</v>
          </cell>
        </row>
        <row r="408">
          <cell r="D408" t="str">
            <v>1210004</v>
          </cell>
        </row>
        <row r="409">
          <cell r="D409" t="str">
            <v>1210006</v>
          </cell>
        </row>
        <row r="410">
          <cell r="D410" t="str">
            <v>1210024</v>
          </cell>
        </row>
        <row r="411">
          <cell r="D411" t="str">
            <v>1210032</v>
          </cell>
        </row>
        <row r="412">
          <cell r="D412" t="str">
            <v>1210036</v>
          </cell>
        </row>
        <row r="413">
          <cell r="D413" t="str">
            <v>1210068</v>
          </cell>
        </row>
        <row r="414">
          <cell r="D414" t="str">
            <v>1210076</v>
          </cell>
        </row>
        <row r="415">
          <cell r="D415" t="str">
            <v>1210079</v>
          </cell>
        </row>
        <row r="416">
          <cell r="D416" t="str">
            <v>1240021</v>
          </cell>
        </row>
        <row r="417">
          <cell r="D417" t="str">
            <v>1240049</v>
          </cell>
        </row>
        <row r="418">
          <cell r="D418" t="str">
            <v>1250091</v>
          </cell>
        </row>
        <row r="419">
          <cell r="D419" t="str">
            <v>1250092</v>
          </cell>
        </row>
        <row r="420">
          <cell r="D420" t="str">
            <v>1250093</v>
          </cell>
        </row>
        <row r="421">
          <cell r="D421" t="str">
            <v>1250094</v>
          </cell>
        </row>
        <row r="422">
          <cell r="D422" t="str">
            <v>1250095</v>
          </cell>
        </row>
        <row r="423">
          <cell r="D423" t="str">
            <v>1250096</v>
          </cell>
        </row>
        <row r="424">
          <cell r="D424" t="str">
            <v>1250097</v>
          </cell>
        </row>
        <row r="425">
          <cell r="D425" t="str">
            <v>1280001</v>
          </cell>
        </row>
        <row r="426">
          <cell r="D426" t="str">
            <v>1280002</v>
          </cell>
        </row>
        <row r="427">
          <cell r="D427" t="str">
            <v>1280003</v>
          </cell>
        </row>
        <row r="428">
          <cell r="D428" t="str">
            <v>1280004</v>
          </cell>
        </row>
        <row r="429">
          <cell r="D429" t="str">
            <v>1280005</v>
          </cell>
        </row>
        <row r="430">
          <cell r="D430" t="str">
            <v>1360023</v>
          </cell>
        </row>
        <row r="431">
          <cell r="D431" t="str">
            <v>1360029</v>
          </cell>
        </row>
        <row r="432">
          <cell r="D432" t="str">
            <v>1360040</v>
          </cell>
        </row>
        <row r="433">
          <cell r="D433" t="str">
            <v>1360043</v>
          </cell>
        </row>
        <row r="434">
          <cell r="D434" t="str">
            <v>1360044</v>
          </cell>
        </row>
        <row r="435">
          <cell r="D435" t="str">
            <v>1360045</v>
          </cell>
        </row>
        <row r="436">
          <cell r="D436" t="str">
            <v>1360046</v>
          </cell>
        </row>
        <row r="437">
          <cell r="D437" t="str">
            <v>1360047</v>
          </cell>
        </row>
        <row r="438">
          <cell r="D438" t="str">
            <v>1380008</v>
          </cell>
        </row>
        <row r="439">
          <cell r="D439" t="str">
            <v>1380009</v>
          </cell>
        </row>
        <row r="440">
          <cell r="D440" t="str">
            <v>1380010</v>
          </cell>
        </row>
        <row r="441">
          <cell r="D441" t="str">
            <v>1430037</v>
          </cell>
        </row>
        <row r="442">
          <cell r="D442" t="str">
            <v>1430038</v>
          </cell>
        </row>
        <row r="443">
          <cell r="D443" t="str">
            <v>1490001</v>
          </cell>
        </row>
        <row r="444">
          <cell r="D444" t="str">
            <v>1550063</v>
          </cell>
        </row>
        <row r="445">
          <cell r="D445" t="str">
            <v>15900010</v>
          </cell>
        </row>
        <row r="446">
          <cell r="D446" t="str">
            <v>1590004</v>
          </cell>
        </row>
        <row r="447">
          <cell r="D447" t="str">
            <v>1590012</v>
          </cell>
        </row>
        <row r="448">
          <cell r="D448" t="str">
            <v>1590016</v>
          </cell>
        </row>
        <row r="449">
          <cell r="D449" t="str">
            <v>1590017</v>
          </cell>
        </row>
        <row r="450">
          <cell r="D450" t="str">
            <v>1590018</v>
          </cell>
        </row>
        <row r="451">
          <cell r="D451" t="str">
            <v>1600043</v>
          </cell>
        </row>
        <row r="452">
          <cell r="D452" t="str">
            <v>1600061</v>
          </cell>
        </row>
        <row r="453">
          <cell r="D453" t="str">
            <v>1600063</v>
          </cell>
        </row>
        <row r="454">
          <cell r="D454" t="str">
            <v>1600110</v>
          </cell>
        </row>
        <row r="455">
          <cell r="D455" t="str">
            <v>1600119</v>
          </cell>
        </row>
        <row r="456">
          <cell r="D456" t="str">
            <v>1600120</v>
          </cell>
        </row>
        <row r="457">
          <cell r="D457" t="str">
            <v>1600123</v>
          </cell>
        </row>
        <row r="458">
          <cell r="D458" t="str">
            <v>1600125</v>
          </cell>
        </row>
        <row r="459">
          <cell r="D459" t="str">
            <v>1600127</v>
          </cell>
        </row>
        <row r="460">
          <cell r="D460" t="str">
            <v>1600128</v>
          </cell>
        </row>
        <row r="461">
          <cell r="D461" t="str">
            <v>1600131</v>
          </cell>
        </row>
        <row r="462">
          <cell r="D462" t="str">
            <v>1600139</v>
          </cell>
        </row>
        <row r="463">
          <cell r="D463" t="str">
            <v>1600149</v>
          </cell>
        </row>
        <row r="464">
          <cell r="D464" t="str">
            <v>1600152</v>
          </cell>
        </row>
        <row r="465">
          <cell r="D465" t="str">
            <v>1600153</v>
          </cell>
        </row>
        <row r="466">
          <cell r="D466" t="str">
            <v>1600158</v>
          </cell>
        </row>
        <row r="467">
          <cell r="D467" t="str">
            <v>1600162</v>
          </cell>
        </row>
        <row r="468">
          <cell r="D468" t="str">
            <v>1600163</v>
          </cell>
        </row>
        <row r="469">
          <cell r="D469" t="str">
            <v>1600164</v>
          </cell>
        </row>
        <row r="470">
          <cell r="D470" t="str">
            <v>1600165</v>
          </cell>
        </row>
        <row r="471">
          <cell r="D471" t="str">
            <v>1600166</v>
          </cell>
        </row>
        <row r="472">
          <cell r="D472" t="str">
            <v>1600167</v>
          </cell>
        </row>
        <row r="473">
          <cell r="D473" t="str">
            <v>1600168</v>
          </cell>
        </row>
        <row r="474">
          <cell r="D474" t="str">
            <v>1600169</v>
          </cell>
        </row>
        <row r="475">
          <cell r="D475" t="str">
            <v>1600170</v>
          </cell>
        </row>
        <row r="476">
          <cell r="D476" t="str">
            <v>1600171</v>
          </cell>
        </row>
        <row r="477">
          <cell r="D477" t="str">
            <v>1630043</v>
          </cell>
        </row>
        <row r="478">
          <cell r="D478" t="str">
            <v>1630058</v>
          </cell>
        </row>
        <row r="479">
          <cell r="D479" t="str">
            <v>1630059</v>
          </cell>
        </row>
        <row r="480">
          <cell r="D480" t="str">
            <v>1630060</v>
          </cell>
        </row>
        <row r="481">
          <cell r="D481" t="str">
            <v>1630061</v>
          </cell>
        </row>
        <row r="482">
          <cell r="D482" t="str">
            <v>1630062</v>
          </cell>
        </row>
        <row r="483">
          <cell r="D483" t="str">
            <v>1630063</v>
          </cell>
        </row>
        <row r="484">
          <cell r="D484" t="str">
            <v>1660020</v>
          </cell>
        </row>
        <row r="485">
          <cell r="D485" t="str">
            <v>1660043</v>
          </cell>
        </row>
        <row r="486">
          <cell r="D486" t="str">
            <v>1660046</v>
          </cell>
        </row>
        <row r="487">
          <cell r="D487" t="str">
            <v>1660047</v>
          </cell>
        </row>
        <row r="488">
          <cell r="D488" t="str">
            <v>1660048</v>
          </cell>
        </row>
        <row r="489">
          <cell r="D489" t="str">
            <v>1660049</v>
          </cell>
        </row>
        <row r="490">
          <cell r="D490" t="str">
            <v>1660050</v>
          </cell>
        </row>
        <row r="491">
          <cell r="D491" t="str">
            <v>1660051</v>
          </cell>
        </row>
        <row r="492">
          <cell r="D492" t="str">
            <v>1660052</v>
          </cell>
        </row>
        <row r="493">
          <cell r="D493" t="str">
            <v>1660053</v>
          </cell>
        </row>
        <row r="494">
          <cell r="D494" t="str">
            <v>1660055</v>
          </cell>
        </row>
        <row r="495">
          <cell r="D495" t="str">
            <v>1660056</v>
          </cell>
        </row>
        <row r="496">
          <cell r="D496" t="str">
            <v>1660057</v>
          </cell>
        </row>
        <row r="497">
          <cell r="D497" t="str">
            <v>1660058</v>
          </cell>
        </row>
        <row r="498">
          <cell r="D498" t="str">
            <v>1660059</v>
          </cell>
        </row>
        <row r="499">
          <cell r="D499" t="str">
            <v>1660060</v>
          </cell>
        </row>
        <row r="500">
          <cell r="D500" t="str">
            <v>1660061</v>
          </cell>
        </row>
        <row r="501">
          <cell r="D501" t="str">
            <v>1660062</v>
          </cell>
        </row>
        <row r="502">
          <cell r="D502" t="str">
            <v>1660063</v>
          </cell>
        </row>
        <row r="503">
          <cell r="D503" t="str">
            <v>1660064</v>
          </cell>
        </row>
        <row r="504">
          <cell r="D504" t="str">
            <v>1660065</v>
          </cell>
        </row>
        <row r="505">
          <cell r="D505" t="str">
            <v>1660066</v>
          </cell>
        </row>
        <row r="506">
          <cell r="D506" t="str">
            <v>1660067</v>
          </cell>
        </row>
        <row r="507">
          <cell r="D507" t="str">
            <v>1660069</v>
          </cell>
        </row>
        <row r="508">
          <cell r="D508" t="str">
            <v>1660073</v>
          </cell>
        </row>
        <row r="509">
          <cell r="D509" t="str">
            <v>1670028</v>
          </cell>
        </row>
        <row r="510">
          <cell r="D510" t="str">
            <v>1670029</v>
          </cell>
        </row>
        <row r="511">
          <cell r="D511" t="str">
            <v>1670030</v>
          </cell>
        </row>
        <row r="512">
          <cell r="D512" t="str">
            <v>1710051</v>
          </cell>
        </row>
        <row r="513">
          <cell r="D513" t="str">
            <v>1730106</v>
          </cell>
        </row>
        <row r="514">
          <cell r="D514" t="str">
            <v>1740046</v>
          </cell>
        </row>
        <row r="515">
          <cell r="D515" t="str">
            <v>1740075</v>
          </cell>
        </row>
        <row r="516">
          <cell r="D516" t="str">
            <v>1740076</v>
          </cell>
        </row>
        <row r="517">
          <cell r="D517" t="str">
            <v>1740077</v>
          </cell>
        </row>
        <row r="518">
          <cell r="D518" t="str">
            <v>1740078</v>
          </cell>
        </row>
        <row r="519">
          <cell r="D519" t="str">
            <v>1740079</v>
          </cell>
        </row>
        <row r="520">
          <cell r="D520" t="str">
            <v>1770020</v>
          </cell>
        </row>
        <row r="521">
          <cell r="D521" t="str">
            <v>1770021</v>
          </cell>
        </row>
        <row r="522">
          <cell r="D522" t="str">
            <v>1770022</v>
          </cell>
        </row>
        <row r="523">
          <cell r="D523" t="str">
            <v>1770025</v>
          </cell>
        </row>
        <row r="524">
          <cell r="D524" t="str">
            <v>1800023</v>
          </cell>
        </row>
        <row r="525">
          <cell r="D525" t="str">
            <v>1800027</v>
          </cell>
        </row>
        <row r="526">
          <cell r="D526" t="str">
            <v>1800028</v>
          </cell>
        </row>
        <row r="527">
          <cell r="D527" t="str">
            <v>1810009</v>
          </cell>
        </row>
        <row r="528">
          <cell r="D528" t="str">
            <v>1810018</v>
          </cell>
        </row>
        <row r="529">
          <cell r="D529" t="str">
            <v>1840017</v>
          </cell>
        </row>
        <row r="530">
          <cell r="D530" t="str">
            <v>1840034</v>
          </cell>
        </row>
        <row r="531">
          <cell r="D531" t="str">
            <v>1840061</v>
          </cell>
        </row>
        <row r="532">
          <cell r="D532" t="str">
            <v>1840072</v>
          </cell>
        </row>
        <row r="533">
          <cell r="D533" t="str">
            <v>1840135</v>
          </cell>
        </row>
        <row r="534">
          <cell r="D534" t="str">
            <v>1840140</v>
          </cell>
        </row>
        <row r="535">
          <cell r="D535" t="str">
            <v>1840141</v>
          </cell>
        </row>
        <row r="536">
          <cell r="D536" t="str">
            <v>1840154</v>
          </cell>
        </row>
        <row r="537">
          <cell r="D537" t="str">
            <v>1840157</v>
          </cell>
        </row>
        <row r="538">
          <cell r="D538" t="str">
            <v>1840158</v>
          </cell>
        </row>
        <row r="539">
          <cell r="D539" t="str">
            <v>1840187</v>
          </cell>
        </row>
        <row r="540">
          <cell r="D540" t="str">
            <v>1840201</v>
          </cell>
        </row>
        <row r="541">
          <cell r="D541" t="str">
            <v>1840212</v>
          </cell>
        </row>
        <row r="542">
          <cell r="D542" t="str">
            <v>1840214</v>
          </cell>
        </row>
        <row r="543">
          <cell r="D543" t="str">
            <v>1840224</v>
          </cell>
        </row>
        <row r="544">
          <cell r="D544" t="str">
            <v>1840227</v>
          </cell>
        </row>
        <row r="545">
          <cell r="D545" t="str">
            <v>1840230</v>
          </cell>
        </row>
        <row r="546">
          <cell r="D546" t="str">
            <v>1840231</v>
          </cell>
        </row>
        <row r="547">
          <cell r="D547" t="str">
            <v>1840232</v>
          </cell>
        </row>
        <row r="548">
          <cell r="D548" t="str">
            <v>1840233</v>
          </cell>
        </row>
        <row r="549">
          <cell r="D549" t="str">
            <v>1840234</v>
          </cell>
        </row>
        <row r="550">
          <cell r="D550" t="str">
            <v>1840238</v>
          </cell>
        </row>
        <row r="551">
          <cell r="D551" t="str">
            <v>1840240</v>
          </cell>
        </row>
        <row r="552">
          <cell r="D552" t="str">
            <v>1840244</v>
          </cell>
        </row>
        <row r="553">
          <cell r="D553" t="str">
            <v>1840245</v>
          </cell>
        </row>
        <row r="554">
          <cell r="D554" t="str">
            <v>1840248</v>
          </cell>
        </row>
        <row r="555">
          <cell r="D555" t="str">
            <v>1840250</v>
          </cell>
        </row>
        <row r="556">
          <cell r="D556" t="str">
            <v>1840259</v>
          </cell>
        </row>
        <row r="557">
          <cell r="D557" t="str">
            <v>1840265</v>
          </cell>
        </row>
        <row r="558">
          <cell r="D558" t="str">
            <v>1840277</v>
          </cell>
        </row>
        <row r="559">
          <cell r="D559" t="str">
            <v>1840278</v>
          </cell>
        </row>
        <row r="560">
          <cell r="D560" t="str">
            <v>1840280</v>
          </cell>
        </row>
        <row r="561">
          <cell r="D561" t="str">
            <v>1840283</v>
          </cell>
        </row>
        <row r="562">
          <cell r="D562" t="str">
            <v>1840290</v>
          </cell>
        </row>
        <row r="563">
          <cell r="D563" t="str">
            <v>1840292</v>
          </cell>
        </row>
        <row r="564">
          <cell r="D564" t="str">
            <v>1840293</v>
          </cell>
        </row>
        <row r="565">
          <cell r="D565" t="str">
            <v>1840294</v>
          </cell>
        </row>
        <row r="566">
          <cell r="D566" t="str">
            <v>1840295</v>
          </cell>
        </row>
        <row r="567">
          <cell r="D567" t="str">
            <v>1840297</v>
          </cell>
        </row>
        <row r="568">
          <cell r="D568" t="str">
            <v>1840298</v>
          </cell>
        </row>
        <row r="569">
          <cell r="D569" t="str">
            <v>1840299</v>
          </cell>
        </row>
        <row r="570">
          <cell r="D570" t="str">
            <v>1840300</v>
          </cell>
        </row>
        <row r="571">
          <cell r="D571" t="str">
            <v>1840301</v>
          </cell>
        </row>
        <row r="572">
          <cell r="D572" t="str">
            <v>1840302</v>
          </cell>
        </row>
        <row r="573">
          <cell r="D573" t="str">
            <v>1840303</v>
          </cell>
        </row>
        <row r="574">
          <cell r="D574" t="str">
            <v>1840304</v>
          </cell>
        </row>
        <row r="575">
          <cell r="D575" t="str">
            <v>1840306</v>
          </cell>
        </row>
        <row r="576">
          <cell r="D576" t="str">
            <v>1840309</v>
          </cell>
        </row>
        <row r="577">
          <cell r="D577" t="str">
            <v>1840310</v>
          </cell>
        </row>
        <row r="578">
          <cell r="D578" t="str">
            <v>1840317</v>
          </cell>
        </row>
        <row r="579">
          <cell r="D579" t="str">
            <v>1840319</v>
          </cell>
        </row>
        <row r="580">
          <cell r="D580" t="str">
            <v>1840321</v>
          </cell>
        </row>
        <row r="581">
          <cell r="D581" t="str">
            <v>1840322</v>
          </cell>
        </row>
        <row r="582">
          <cell r="D582" t="str">
            <v>1840323</v>
          </cell>
        </row>
        <row r="583">
          <cell r="D583" t="str">
            <v>1840325</v>
          </cell>
        </row>
        <row r="584">
          <cell r="D584" t="str">
            <v>1840326</v>
          </cell>
        </row>
        <row r="585">
          <cell r="D585" t="str">
            <v>1840327</v>
          </cell>
        </row>
        <row r="586">
          <cell r="D586" t="str">
            <v>1840328</v>
          </cell>
        </row>
        <row r="587">
          <cell r="D587" t="str">
            <v>1840329</v>
          </cell>
        </row>
        <row r="588">
          <cell r="D588" t="str">
            <v>1840331</v>
          </cell>
        </row>
        <row r="589">
          <cell r="D589" t="str">
            <v>1840332</v>
          </cell>
        </row>
        <row r="590">
          <cell r="D590" t="str">
            <v>1840333</v>
          </cell>
        </row>
        <row r="591">
          <cell r="D591" t="str">
            <v>1840334</v>
          </cell>
        </row>
        <row r="592">
          <cell r="D592" t="str">
            <v>1840336</v>
          </cell>
        </row>
        <row r="593">
          <cell r="D593" t="str">
            <v>1840340</v>
          </cell>
        </row>
        <row r="594">
          <cell r="D594" t="str">
            <v>1840341</v>
          </cell>
        </row>
        <row r="595">
          <cell r="D595" t="str">
            <v>1840347</v>
          </cell>
        </row>
        <row r="596">
          <cell r="D596" t="str">
            <v>1840348</v>
          </cell>
        </row>
        <row r="597">
          <cell r="D597" t="str">
            <v>1840355</v>
          </cell>
        </row>
        <row r="598">
          <cell r="D598" t="str">
            <v>1840356</v>
          </cell>
        </row>
        <row r="599">
          <cell r="D599" t="str">
            <v>1840357</v>
          </cell>
        </row>
        <row r="600">
          <cell r="D600" t="str">
            <v>1840358</v>
          </cell>
        </row>
        <row r="601">
          <cell r="D601" t="str">
            <v>1840365</v>
          </cell>
        </row>
        <row r="602">
          <cell r="D602" t="str">
            <v>1840366</v>
          </cell>
        </row>
        <row r="603">
          <cell r="D603" t="str">
            <v>1850004</v>
          </cell>
        </row>
        <row r="604">
          <cell r="D604" t="str">
            <v>1850040</v>
          </cell>
        </row>
        <row r="605">
          <cell r="D605" t="str">
            <v>1850045</v>
          </cell>
        </row>
        <row r="606">
          <cell r="D606" t="str">
            <v>1850055</v>
          </cell>
        </row>
        <row r="607">
          <cell r="D607" t="str">
            <v>1850071</v>
          </cell>
        </row>
        <row r="608">
          <cell r="D608" t="str">
            <v>1850116</v>
          </cell>
        </row>
        <row r="609">
          <cell r="D609" t="str">
            <v>1850118</v>
          </cell>
        </row>
        <row r="610">
          <cell r="D610" t="str">
            <v>1850122</v>
          </cell>
        </row>
        <row r="611">
          <cell r="D611" t="str">
            <v>1850129</v>
          </cell>
        </row>
        <row r="612">
          <cell r="D612" t="str">
            <v>1850131</v>
          </cell>
        </row>
        <row r="613">
          <cell r="D613" t="str">
            <v>1850134</v>
          </cell>
        </row>
        <row r="614">
          <cell r="D614" t="str">
            <v>1850142</v>
          </cell>
        </row>
        <row r="615">
          <cell r="D615" t="str">
            <v>1850148</v>
          </cell>
        </row>
        <row r="616">
          <cell r="D616" t="str">
            <v>1850150</v>
          </cell>
        </row>
        <row r="617">
          <cell r="D617" t="str">
            <v>1850155</v>
          </cell>
        </row>
        <row r="618">
          <cell r="D618" t="str">
            <v>1850161</v>
          </cell>
        </row>
        <row r="619">
          <cell r="D619" t="str">
            <v>1850171</v>
          </cell>
        </row>
        <row r="620">
          <cell r="D620" t="str">
            <v>1850177</v>
          </cell>
        </row>
        <row r="621">
          <cell r="D621" t="str">
            <v>1850182</v>
          </cell>
        </row>
        <row r="622">
          <cell r="D622" t="str">
            <v>1850191</v>
          </cell>
        </row>
        <row r="623">
          <cell r="D623" t="str">
            <v>1850193</v>
          </cell>
        </row>
        <row r="624">
          <cell r="D624" t="str">
            <v>1850199</v>
          </cell>
        </row>
        <row r="625">
          <cell r="D625" t="str">
            <v>1850200</v>
          </cell>
        </row>
        <row r="626">
          <cell r="D626" t="str">
            <v>1850202</v>
          </cell>
        </row>
        <row r="627">
          <cell r="D627" t="str">
            <v>1850204</v>
          </cell>
        </row>
        <row r="628">
          <cell r="D628" t="str">
            <v>1860007</v>
          </cell>
        </row>
        <row r="629">
          <cell r="D629" t="str">
            <v>1860008</v>
          </cell>
        </row>
        <row r="630">
          <cell r="D630" t="str">
            <v>1860009</v>
          </cell>
        </row>
        <row r="631">
          <cell r="D631" t="str">
            <v>1860010</v>
          </cell>
        </row>
        <row r="632">
          <cell r="D632" t="str">
            <v>1860011</v>
          </cell>
        </row>
        <row r="633">
          <cell r="D633" t="str">
            <v>1860012</v>
          </cell>
        </row>
        <row r="634">
          <cell r="D634" t="str">
            <v>1860013</v>
          </cell>
        </row>
        <row r="635">
          <cell r="D635" t="str">
            <v>1860014</v>
          </cell>
        </row>
        <row r="636">
          <cell r="D636" t="str">
            <v>1870001</v>
          </cell>
        </row>
        <row r="637">
          <cell r="D637" t="str">
            <v>1870054</v>
          </cell>
        </row>
        <row r="638">
          <cell r="D638" t="str">
            <v>1870055</v>
          </cell>
        </row>
        <row r="639">
          <cell r="D639" t="str">
            <v>1870056</v>
          </cell>
        </row>
        <row r="640">
          <cell r="D640" t="str">
            <v>1870057</v>
          </cell>
        </row>
        <row r="641">
          <cell r="D641" t="str">
            <v>1870062</v>
          </cell>
        </row>
        <row r="642">
          <cell r="D642" t="str">
            <v>1870063</v>
          </cell>
        </row>
        <row r="643">
          <cell r="D643" t="str">
            <v>1870064</v>
          </cell>
        </row>
        <row r="644">
          <cell r="D644" t="str">
            <v>1870065</v>
          </cell>
        </row>
        <row r="645">
          <cell r="D645" t="str">
            <v>1870066</v>
          </cell>
        </row>
        <row r="646">
          <cell r="D646" t="str">
            <v>1870067</v>
          </cell>
        </row>
        <row r="647">
          <cell r="D647" t="str">
            <v>1870068</v>
          </cell>
        </row>
        <row r="648">
          <cell r="D648" t="str">
            <v>1870069</v>
          </cell>
        </row>
        <row r="649">
          <cell r="D649" t="str">
            <v>1870070</v>
          </cell>
        </row>
        <row r="650">
          <cell r="D650" t="str">
            <v>1870071</v>
          </cell>
        </row>
        <row r="651">
          <cell r="D651" t="str">
            <v>1870072</v>
          </cell>
        </row>
        <row r="652">
          <cell r="D652" t="str">
            <v>1870073</v>
          </cell>
        </row>
        <row r="653">
          <cell r="D653" t="str">
            <v>1870074</v>
          </cell>
        </row>
        <row r="654">
          <cell r="D654" t="str">
            <v>1870075</v>
          </cell>
        </row>
        <row r="655">
          <cell r="D655" t="str">
            <v>1870076</v>
          </cell>
        </row>
        <row r="656">
          <cell r="D656" t="str">
            <v>1900032</v>
          </cell>
        </row>
        <row r="657">
          <cell r="D657" t="str">
            <v>1900034</v>
          </cell>
        </row>
        <row r="658">
          <cell r="D658" t="str">
            <v>1900039</v>
          </cell>
        </row>
        <row r="659">
          <cell r="D659" t="str">
            <v>1900040</v>
          </cell>
        </row>
        <row r="660">
          <cell r="D660" t="str">
            <v>1900041</v>
          </cell>
        </row>
        <row r="661">
          <cell r="D661" t="str">
            <v>1900043</v>
          </cell>
        </row>
        <row r="662">
          <cell r="D662" t="str">
            <v>1900044</v>
          </cell>
        </row>
        <row r="663">
          <cell r="D663" t="str">
            <v>1920002</v>
          </cell>
        </row>
        <row r="664">
          <cell r="D664" t="str">
            <v>1950012</v>
          </cell>
        </row>
        <row r="665">
          <cell r="D665" t="str">
            <v>1950019</v>
          </cell>
        </row>
        <row r="666">
          <cell r="D666" t="str">
            <v>1950025</v>
          </cell>
        </row>
        <row r="667">
          <cell r="D667" t="str">
            <v>1950036</v>
          </cell>
        </row>
        <row r="668">
          <cell r="D668" t="str">
            <v>1950037</v>
          </cell>
        </row>
        <row r="669">
          <cell r="D669" t="str">
            <v>1950038</v>
          </cell>
        </row>
        <row r="670">
          <cell r="D670" t="str">
            <v>1950039</v>
          </cell>
        </row>
        <row r="671">
          <cell r="D671" t="str">
            <v>1950040</v>
          </cell>
        </row>
        <row r="672">
          <cell r="D672" t="str">
            <v>1960002</v>
          </cell>
        </row>
        <row r="673">
          <cell r="D673" t="str">
            <v>1960004</v>
          </cell>
        </row>
        <row r="674">
          <cell r="D674" t="str">
            <v>1960008</v>
          </cell>
        </row>
        <row r="675">
          <cell r="D675" t="str">
            <v>1960009</v>
          </cell>
        </row>
        <row r="676">
          <cell r="D676" t="str">
            <v>1960010</v>
          </cell>
        </row>
        <row r="677">
          <cell r="D677" t="str">
            <v>1960011</v>
          </cell>
        </row>
        <row r="678">
          <cell r="D678" t="str">
            <v>1990001</v>
          </cell>
        </row>
        <row r="679">
          <cell r="D679" t="str">
            <v>1990002</v>
          </cell>
        </row>
        <row r="680">
          <cell r="D680" t="str">
            <v>1990003</v>
          </cell>
        </row>
        <row r="681">
          <cell r="D681" t="str">
            <v>1990004</v>
          </cell>
        </row>
        <row r="682">
          <cell r="D682" t="str">
            <v>1990005</v>
          </cell>
        </row>
        <row r="683">
          <cell r="D683" t="str">
            <v>1990006</v>
          </cell>
        </row>
        <row r="684">
          <cell r="D684" t="str">
            <v>1990007</v>
          </cell>
        </row>
        <row r="685">
          <cell r="D685" t="str">
            <v>1990008</v>
          </cell>
        </row>
        <row r="686">
          <cell r="D686" t="str">
            <v>1990009</v>
          </cell>
        </row>
        <row r="687">
          <cell r="D687" t="str">
            <v>2000006</v>
          </cell>
        </row>
        <row r="688">
          <cell r="D688" t="str">
            <v>2000007</v>
          </cell>
        </row>
        <row r="689">
          <cell r="D689" t="str">
            <v>2000009</v>
          </cell>
        </row>
        <row r="690">
          <cell r="D690" t="str">
            <v>2000010</v>
          </cell>
        </row>
        <row r="691">
          <cell r="D691" t="str">
            <v>2000013</v>
          </cell>
        </row>
        <row r="692">
          <cell r="D692" t="str">
            <v>2010008</v>
          </cell>
        </row>
        <row r="693">
          <cell r="D693" t="str">
            <v>2010009</v>
          </cell>
        </row>
        <row r="694">
          <cell r="D694" t="str">
            <v>2010012</v>
          </cell>
        </row>
        <row r="695">
          <cell r="D695" t="str">
            <v>2010015</v>
          </cell>
        </row>
        <row r="696">
          <cell r="D696" t="str">
            <v>2010016</v>
          </cell>
        </row>
        <row r="697">
          <cell r="D697" t="str">
            <v>2010018</v>
          </cell>
        </row>
        <row r="698">
          <cell r="D698" t="str">
            <v>2010020</v>
          </cell>
        </row>
        <row r="699">
          <cell r="D699" t="str">
            <v>2010028</v>
          </cell>
        </row>
        <row r="700">
          <cell r="D700" t="str">
            <v>2010047</v>
          </cell>
        </row>
        <row r="701">
          <cell r="D701" t="str">
            <v>2010052</v>
          </cell>
        </row>
        <row r="702">
          <cell r="D702" t="str">
            <v>2010055</v>
          </cell>
        </row>
        <row r="703">
          <cell r="D703" t="str">
            <v>2010063</v>
          </cell>
        </row>
        <row r="704">
          <cell r="D704" t="str">
            <v>2010066</v>
          </cell>
        </row>
        <row r="705">
          <cell r="D705" t="str">
            <v>2010068</v>
          </cell>
        </row>
        <row r="706">
          <cell r="D706" t="str">
            <v>2010071</v>
          </cell>
        </row>
        <row r="707">
          <cell r="D707" t="str">
            <v>2010073</v>
          </cell>
        </row>
        <row r="708">
          <cell r="D708" t="str">
            <v>2010074</v>
          </cell>
        </row>
        <row r="709">
          <cell r="D709" t="str">
            <v>2010083</v>
          </cell>
        </row>
        <row r="710">
          <cell r="D710" t="str">
            <v>2010090</v>
          </cell>
        </row>
        <row r="711">
          <cell r="D711" t="str">
            <v>2010099</v>
          </cell>
        </row>
        <row r="712">
          <cell r="D712" t="str">
            <v>2010101</v>
          </cell>
        </row>
        <row r="713">
          <cell r="D713" t="str">
            <v>2010103</v>
          </cell>
        </row>
        <row r="714">
          <cell r="D714" t="str">
            <v>2010105</v>
          </cell>
        </row>
        <row r="715">
          <cell r="D715" t="str">
            <v>2010107</v>
          </cell>
        </row>
        <row r="716">
          <cell r="D716" t="str">
            <v>2010109</v>
          </cell>
        </row>
        <row r="717">
          <cell r="D717" t="str">
            <v>2010111</v>
          </cell>
        </row>
        <row r="718">
          <cell r="D718" t="str">
            <v>2050024</v>
          </cell>
        </row>
        <row r="719">
          <cell r="D719" t="str">
            <v>2050025</v>
          </cell>
        </row>
        <row r="720">
          <cell r="D720" t="str">
            <v>2050028</v>
          </cell>
        </row>
        <row r="721">
          <cell r="D721" t="str">
            <v>2050029</v>
          </cell>
        </row>
        <row r="722">
          <cell r="D722" t="str">
            <v>2050030</v>
          </cell>
        </row>
        <row r="723">
          <cell r="D723" t="str">
            <v>2050031</v>
          </cell>
        </row>
        <row r="724">
          <cell r="D724" t="str">
            <v>2050032</v>
          </cell>
        </row>
        <row r="725">
          <cell r="D725" t="str">
            <v>2050033</v>
          </cell>
        </row>
        <row r="726">
          <cell r="D726" t="str">
            <v>2050036</v>
          </cell>
        </row>
        <row r="727">
          <cell r="D727" t="str">
            <v>2050037</v>
          </cell>
        </row>
        <row r="728">
          <cell r="D728" t="str">
            <v>2050038</v>
          </cell>
        </row>
        <row r="729">
          <cell r="D729" t="str">
            <v>2050042</v>
          </cell>
        </row>
        <row r="730">
          <cell r="D730" t="str">
            <v>2050049</v>
          </cell>
        </row>
        <row r="731">
          <cell r="D731" t="str">
            <v>2080007</v>
          </cell>
        </row>
        <row r="732">
          <cell r="D732" t="str">
            <v>2080010</v>
          </cell>
        </row>
        <row r="733">
          <cell r="D733" t="str">
            <v>2080011</v>
          </cell>
        </row>
        <row r="734">
          <cell r="D734" t="str">
            <v>2090005</v>
          </cell>
        </row>
        <row r="735">
          <cell r="D735" t="str">
            <v>2090006</v>
          </cell>
        </row>
        <row r="736">
          <cell r="D736" t="str">
            <v>2090007</v>
          </cell>
        </row>
        <row r="737">
          <cell r="D737" t="str">
            <v>2090008</v>
          </cell>
        </row>
        <row r="738">
          <cell r="D738" t="str">
            <v>2110007</v>
          </cell>
        </row>
        <row r="739">
          <cell r="D739" t="str">
            <v>2110011</v>
          </cell>
        </row>
        <row r="740">
          <cell r="D740" t="str">
            <v>2110012</v>
          </cell>
        </row>
        <row r="741">
          <cell r="D741" t="str">
            <v>2110013</v>
          </cell>
        </row>
        <row r="742">
          <cell r="D742" t="str">
            <v>2130047</v>
          </cell>
        </row>
        <row r="743">
          <cell r="D743" t="str">
            <v>2130049</v>
          </cell>
        </row>
        <row r="744">
          <cell r="D744" t="str">
            <v>2130050</v>
          </cell>
        </row>
        <row r="745">
          <cell r="D745" t="str">
            <v>2130051</v>
          </cell>
        </row>
        <row r="746">
          <cell r="D746" t="str">
            <v>2130052</v>
          </cell>
        </row>
        <row r="747">
          <cell r="D747" t="str">
            <v>2130053</v>
          </cell>
        </row>
        <row r="748">
          <cell r="D748" t="str">
            <v>2130054</v>
          </cell>
        </row>
        <row r="749">
          <cell r="D749" t="str">
            <v>2130055</v>
          </cell>
        </row>
        <row r="750">
          <cell r="D750" t="str">
            <v>2130056</v>
          </cell>
        </row>
        <row r="751">
          <cell r="D751" t="str">
            <v>2130057</v>
          </cell>
        </row>
        <row r="752">
          <cell r="D752" t="str">
            <v>2130058</v>
          </cell>
        </row>
        <row r="753">
          <cell r="D753" t="str">
            <v>2130059</v>
          </cell>
        </row>
        <row r="754">
          <cell r="D754" t="str">
            <v>2130060</v>
          </cell>
        </row>
        <row r="755">
          <cell r="D755" t="str">
            <v>2130061</v>
          </cell>
        </row>
        <row r="756">
          <cell r="D756" t="str">
            <v>2130062</v>
          </cell>
        </row>
        <row r="757">
          <cell r="D757" t="str">
            <v>2130063</v>
          </cell>
        </row>
        <row r="758">
          <cell r="D758" t="str">
            <v>2130064</v>
          </cell>
        </row>
        <row r="759">
          <cell r="D759" t="str">
            <v>2130065</v>
          </cell>
        </row>
        <row r="760">
          <cell r="D760" t="str">
            <v>2130066</v>
          </cell>
        </row>
        <row r="761">
          <cell r="D761" t="str">
            <v>2130067</v>
          </cell>
        </row>
        <row r="762">
          <cell r="D762" t="str">
            <v>2130068</v>
          </cell>
        </row>
        <row r="763">
          <cell r="D763" t="str">
            <v>2130069</v>
          </cell>
        </row>
        <row r="764">
          <cell r="D764" t="str">
            <v>2130070</v>
          </cell>
        </row>
        <row r="765">
          <cell r="D765" t="str">
            <v>2130071</v>
          </cell>
        </row>
        <row r="766">
          <cell r="D766" t="str">
            <v>2130072</v>
          </cell>
        </row>
        <row r="767">
          <cell r="D767" t="str">
            <v>2130073</v>
          </cell>
        </row>
        <row r="768">
          <cell r="D768" t="str">
            <v>2130074</v>
          </cell>
        </row>
        <row r="769">
          <cell r="D769" t="str">
            <v>2130075</v>
          </cell>
        </row>
        <row r="770">
          <cell r="D770" t="str">
            <v>2130076</v>
          </cell>
        </row>
        <row r="771">
          <cell r="D771" t="str">
            <v>2130077</v>
          </cell>
        </row>
        <row r="772">
          <cell r="D772" t="str">
            <v>2140001</v>
          </cell>
        </row>
        <row r="773">
          <cell r="D773" t="str">
            <v>2140002</v>
          </cell>
        </row>
        <row r="774">
          <cell r="D774" t="str">
            <v>2140010</v>
          </cell>
        </row>
        <row r="775">
          <cell r="D775" t="str">
            <v>2140011</v>
          </cell>
        </row>
        <row r="776">
          <cell r="D776" t="str">
            <v>2160007</v>
          </cell>
        </row>
        <row r="777">
          <cell r="D777" t="str">
            <v>2170002</v>
          </cell>
        </row>
        <row r="778">
          <cell r="D778" t="str">
            <v>2170004</v>
          </cell>
        </row>
        <row r="779">
          <cell r="D779" t="str">
            <v>2180008</v>
          </cell>
        </row>
        <row r="780">
          <cell r="D780" t="str">
            <v>2180012</v>
          </cell>
        </row>
        <row r="781">
          <cell r="D781" t="str">
            <v>2180015</v>
          </cell>
        </row>
        <row r="782">
          <cell r="D782" t="str">
            <v>2180017</v>
          </cell>
        </row>
        <row r="783">
          <cell r="D783" t="str">
            <v>2180018</v>
          </cell>
        </row>
        <row r="784">
          <cell r="D784" t="str">
            <v>2180019</v>
          </cell>
        </row>
        <row r="785">
          <cell r="D785" t="str">
            <v>2180020</v>
          </cell>
        </row>
        <row r="786">
          <cell r="D786" t="str">
            <v>2180021</v>
          </cell>
        </row>
        <row r="787">
          <cell r="D787" t="str">
            <v>2180022</v>
          </cell>
        </row>
        <row r="788">
          <cell r="D788" t="str">
            <v>2180023</v>
          </cell>
        </row>
        <row r="789">
          <cell r="D789" t="str">
            <v>2180024</v>
          </cell>
        </row>
        <row r="790">
          <cell r="D790" t="str">
            <v>2180025</v>
          </cell>
        </row>
        <row r="791">
          <cell r="D791" t="str">
            <v>2180026</v>
          </cell>
        </row>
        <row r="792">
          <cell r="D792" t="str">
            <v>2180028</v>
          </cell>
        </row>
        <row r="793">
          <cell r="D793" t="str">
            <v>2180029</v>
          </cell>
        </row>
        <row r="794">
          <cell r="D794" t="str">
            <v>2180030</v>
          </cell>
        </row>
        <row r="795">
          <cell r="D795" t="str">
            <v>2190020</v>
          </cell>
        </row>
        <row r="796">
          <cell r="D796" t="str">
            <v>2190021</v>
          </cell>
        </row>
        <row r="797">
          <cell r="D797" t="str">
            <v>2210008</v>
          </cell>
        </row>
        <row r="798">
          <cell r="D798" t="str">
            <v>2210009</v>
          </cell>
        </row>
        <row r="799">
          <cell r="D799" t="str">
            <v>2210010</v>
          </cell>
        </row>
        <row r="800">
          <cell r="D800" t="str">
            <v>2210011</v>
          </cell>
        </row>
        <row r="801">
          <cell r="D801" t="str">
            <v>2250002</v>
          </cell>
        </row>
        <row r="802">
          <cell r="D802" t="str">
            <v>2250003</v>
          </cell>
        </row>
        <row r="803">
          <cell r="D803" t="str">
            <v>2270002</v>
          </cell>
        </row>
        <row r="804">
          <cell r="D804" t="str">
            <v>2270006</v>
          </cell>
        </row>
        <row r="805">
          <cell r="D805" t="str">
            <v>2270008</v>
          </cell>
        </row>
        <row r="806">
          <cell r="D806" t="str">
            <v>2270011</v>
          </cell>
        </row>
        <row r="807">
          <cell r="D807" t="str">
            <v>2310005</v>
          </cell>
        </row>
        <row r="808">
          <cell r="D808" t="str">
            <v>2310006</v>
          </cell>
        </row>
        <row r="809">
          <cell r="D809" t="str">
            <v>2310013</v>
          </cell>
        </row>
        <row r="810">
          <cell r="D810" t="str">
            <v>2310021</v>
          </cell>
        </row>
        <row r="811">
          <cell r="D811" t="str">
            <v>2310030</v>
          </cell>
        </row>
        <row r="812">
          <cell r="D812" t="str">
            <v>2310037</v>
          </cell>
        </row>
        <row r="813">
          <cell r="D813" t="str">
            <v>2310038</v>
          </cell>
        </row>
        <row r="814">
          <cell r="D814" t="str">
            <v>2310040</v>
          </cell>
        </row>
        <row r="815">
          <cell r="D815" t="str">
            <v>2310041</v>
          </cell>
        </row>
        <row r="816">
          <cell r="D816" t="str">
            <v>2310042</v>
          </cell>
        </row>
        <row r="817">
          <cell r="D817" t="str">
            <v>2310043</v>
          </cell>
        </row>
        <row r="818">
          <cell r="D818" t="str">
            <v>2310044</v>
          </cell>
        </row>
        <row r="819">
          <cell r="D819" t="str">
            <v>2310045</v>
          </cell>
        </row>
        <row r="820">
          <cell r="D820" t="str">
            <v>2310047</v>
          </cell>
        </row>
        <row r="821">
          <cell r="D821" t="str">
            <v>2310048</v>
          </cell>
        </row>
        <row r="822">
          <cell r="D822" t="str">
            <v>2310049</v>
          </cell>
        </row>
        <row r="823">
          <cell r="D823" t="str">
            <v>2310050</v>
          </cell>
        </row>
        <row r="824">
          <cell r="D824" t="str">
            <v>2310054</v>
          </cell>
        </row>
        <row r="825">
          <cell r="D825" t="str">
            <v>2310055</v>
          </cell>
        </row>
        <row r="826">
          <cell r="D826" t="str">
            <v>2360003</v>
          </cell>
        </row>
        <row r="827">
          <cell r="D827" t="str">
            <v>2370028</v>
          </cell>
        </row>
        <row r="828">
          <cell r="D828" t="str">
            <v>2370031</v>
          </cell>
        </row>
        <row r="829">
          <cell r="D829" t="str">
            <v>2370038</v>
          </cell>
        </row>
        <row r="830">
          <cell r="D830" t="str">
            <v>2370039</v>
          </cell>
        </row>
        <row r="831">
          <cell r="D831" t="str">
            <v>2370040</v>
          </cell>
        </row>
        <row r="832">
          <cell r="D832" t="str">
            <v>2370041</v>
          </cell>
        </row>
        <row r="833">
          <cell r="D833" t="str">
            <v>2370042</v>
          </cell>
        </row>
        <row r="834">
          <cell r="D834" t="str">
            <v>2370043</v>
          </cell>
        </row>
        <row r="835">
          <cell r="D835" t="str">
            <v>2370044</v>
          </cell>
        </row>
        <row r="836">
          <cell r="D836" t="str">
            <v>2370045</v>
          </cell>
        </row>
        <row r="837">
          <cell r="D837" t="str">
            <v>2390006</v>
          </cell>
        </row>
        <row r="838">
          <cell r="D838" t="str">
            <v>2390007</v>
          </cell>
        </row>
        <row r="839">
          <cell r="D839" t="str">
            <v>2390008</v>
          </cell>
        </row>
        <row r="840">
          <cell r="D840" t="str">
            <v>2390009</v>
          </cell>
        </row>
        <row r="841">
          <cell r="D841" t="str">
            <v>2390010</v>
          </cell>
        </row>
        <row r="842">
          <cell r="D842" t="str">
            <v>2390011</v>
          </cell>
        </row>
        <row r="843">
          <cell r="D843" t="str">
            <v>2420003</v>
          </cell>
        </row>
        <row r="844">
          <cell r="D844" t="str">
            <v>2420004</v>
          </cell>
        </row>
        <row r="845">
          <cell r="D845" t="str">
            <v>2430001</v>
          </cell>
        </row>
        <row r="846">
          <cell r="D846" t="str">
            <v>2430003</v>
          </cell>
        </row>
        <row r="847">
          <cell r="D847" t="str">
            <v>2490001</v>
          </cell>
        </row>
        <row r="848">
          <cell r="D848" t="str">
            <v>2490007</v>
          </cell>
        </row>
        <row r="849">
          <cell r="D849" t="str">
            <v>2490010</v>
          </cell>
        </row>
        <row r="850">
          <cell r="D850" t="str">
            <v>2490024</v>
          </cell>
        </row>
        <row r="851">
          <cell r="D851" t="str">
            <v>2490025</v>
          </cell>
        </row>
        <row r="852">
          <cell r="D852" t="str">
            <v>2490027</v>
          </cell>
        </row>
        <row r="853">
          <cell r="D853" t="str">
            <v>2490030</v>
          </cell>
        </row>
        <row r="854">
          <cell r="D854" t="str">
            <v>2490031</v>
          </cell>
        </row>
        <row r="855">
          <cell r="D855" t="str">
            <v>2490033</v>
          </cell>
        </row>
        <row r="856">
          <cell r="D856" t="str">
            <v>2490034</v>
          </cell>
        </row>
        <row r="857">
          <cell r="D857" t="str">
            <v>2490035</v>
          </cell>
        </row>
        <row r="858">
          <cell r="D858" t="str">
            <v>2510001</v>
          </cell>
        </row>
        <row r="859">
          <cell r="D859" t="str">
            <v>2510003</v>
          </cell>
        </row>
        <row r="860">
          <cell r="D860" t="str">
            <v>2520002</v>
          </cell>
        </row>
        <row r="861">
          <cell r="D861" t="str">
            <v>2530006</v>
          </cell>
        </row>
        <row r="862">
          <cell r="D862" t="str">
            <v>2530009</v>
          </cell>
        </row>
        <row r="863">
          <cell r="D863" t="str">
            <v>2530015</v>
          </cell>
        </row>
        <row r="864">
          <cell r="D864" t="str">
            <v>2530018</v>
          </cell>
        </row>
        <row r="865">
          <cell r="D865" t="str">
            <v>2530019</v>
          </cell>
        </row>
        <row r="866">
          <cell r="D866" t="str">
            <v>2530021</v>
          </cell>
        </row>
        <row r="867">
          <cell r="D867" t="str">
            <v>2530022</v>
          </cell>
        </row>
        <row r="868">
          <cell r="D868" t="str">
            <v>2530023</v>
          </cell>
        </row>
        <row r="869">
          <cell r="D869" t="str">
            <v>2530024</v>
          </cell>
        </row>
        <row r="870">
          <cell r="D870" t="str">
            <v>2530025</v>
          </cell>
        </row>
        <row r="871">
          <cell r="D871" t="str">
            <v>2530027</v>
          </cell>
        </row>
        <row r="872">
          <cell r="D872" t="str">
            <v>2530029</v>
          </cell>
        </row>
        <row r="873">
          <cell r="D873" t="str">
            <v>2540001</v>
          </cell>
        </row>
        <row r="874">
          <cell r="D874" t="str">
            <v>2540090</v>
          </cell>
        </row>
        <row r="875">
          <cell r="D875" t="str">
            <v>2540091</v>
          </cell>
        </row>
        <row r="876">
          <cell r="D876" t="str">
            <v>2540092</v>
          </cell>
        </row>
        <row r="877">
          <cell r="D877" t="str">
            <v>2560001</v>
          </cell>
        </row>
        <row r="878">
          <cell r="D878" t="str">
            <v>2560002</v>
          </cell>
        </row>
        <row r="879">
          <cell r="D879" t="str">
            <v>2610002</v>
          </cell>
        </row>
        <row r="880">
          <cell r="D880" t="str">
            <v>2670003</v>
          </cell>
        </row>
        <row r="881">
          <cell r="D881" t="str">
            <v>2680001</v>
          </cell>
        </row>
        <row r="882">
          <cell r="D882" t="str">
            <v>2680002</v>
          </cell>
        </row>
        <row r="883">
          <cell r="D883" t="str">
            <v>2680003</v>
          </cell>
        </row>
        <row r="884">
          <cell r="D884" t="str">
            <v>2680004</v>
          </cell>
        </row>
        <row r="885">
          <cell r="D885" t="str">
            <v>2680005</v>
          </cell>
        </row>
        <row r="886">
          <cell r="D886" t="str">
            <v>2700002</v>
          </cell>
        </row>
        <row r="887">
          <cell r="D887" t="str">
            <v>2720003</v>
          </cell>
        </row>
        <row r="888">
          <cell r="D888" t="str">
            <v>2720005</v>
          </cell>
        </row>
        <row r="889">
          <cell r="D889" t="str">
            <v>2720006</v>
          </cell>
        </row>
        <row r="890">
          <cell r="D890" t="str">
            <v>2720007</v>
          </cell>
        </row>
        <row r="891">
          <cell r="D891" t="str">
            <v>2720009</v>
          </cell>
        </row>
        <row r="892">
          <cell r="D892" t="str">
            <v>2720014</v>
          </cell>
        </row>
        <row r="893">
          <cell r="D893" t="str">
            <v>2720018</v>
          </cell>
        </row>
        <row r="894">
          <cell r="D894" t="str">
            <v>2720019</v>
          </cell>
        </row>
        <row r="895">
          <cell r="D895" t="str">
            <v>2720021</v>
          </cell>
        </row>
        <row r="896">
          <cell r="D896" t="str">
            <v>2720023</v>
          </cell>
        </row>
        <row r="897">
          <cell r="D897" t="str">
            <v>2720025</v>
          </cell>
        </row>
        <row r="898">
          <cell r="D898" t="str">
            <v>2720026</v>
          </cell>
        </row>
        <row r="899">
          <cell r="D899" t="str">
            <v>2720027</v>
          </cell>
        </row>
        <row r="900">
          <cell r="D900" t="str">
            <v>2720031</v>
          </cell>
        </row>
        <row r="901">
          <cell r="D901" t="str">
            <v>2720033</v>
          </cell>
        </row>
        <row r="902">
          <cell r="D902" t="str">
            <v>2720035</v>
          </cell>
        </row>
        <row r="903">
          <cell r="D903" t="str">
            <v>2720037</v>
          </cell>
        </row>
        <row r="904">
          <cell r="D904" t="str">
            <v>2720038</v>
          </cell>
        </row>
        <row r="905">
          <cell r="D905" t="str">
            <v>2720041</v>
          </cell>
        </row>
        <row r="906">
          <cell r="D906" t="str">
            <v>2720042</v>
          </cell>
        </row>
        <row r="907">
          <cell r="D907" t="str">
            <v>2720044</v>
          </cell>
        </row>
        <row r="908">
          <cell r="D908" t="str">
            <v>2730005</v>
          </cell>
        </row>
        <row r="909">
          <cell r="D909" t="str">
            <v>2730011</v>
          </cell>
        </row>
        <row r="910">
          <cell r="D910" t="str">
            <v>2730018</v>
          </cell>
        </row>
        <row r="911">
          <cell r="D911" t="str">
            <v>2730020</v>
          </cell>
        </row>
        <row r="912">
          <cell r="D912" t="str">
            <v>2730021</v>
          </cell>
        </row>
        <row r="913">
          <cell r="D913" t="str">
            <v>2730023</v>
          </cell>
        </row>
        <row r="914">
          <cell r="D914" t="str">
            <v>2730024</v>
          </cell>
        </row>
        <row r="915">
          <cell r="D915" t="str">
            <v>2730025</v>
          </cell>
        </row>
        <row r="916">
          <cell r="D916" t="str">
            <v>2730026</v>
          </cell>
        </row>
        <row r="917">
          <cell r="D917" t="str">
            <v>2730027</v>
          </cell>
        </row>
        <row r="918">
          <cell r="D918" t="str">
            <v>2730028</v>
          </cell>
        </row>
        <row r="919">
          <cell r="D919" t="str">
            <v>2730029</v>
          </cell>
        </row>
        <row r="920">
          <cell r="D920" t="str">
            <v>2730030</v>
          </cell>
        </row>
        <row r="921">
          <cell r="D921" t="str">
            <v>2730031</v>
          </cell>
        </row>
        <row r="922">
          <cell r="D922" t="str">
            <v>2730032</v>
          </cell>
        </row>
        <row r="923">
          <cell r="D923" t="str">
            <v>2730033</v>
          </cell>
        </row>
        <row r="924">
          <cell r="D924" t="str">
            <v>2730038</v>
          </cell>
        </row>
        <row r="925">
          <cell r="D925" t="str">
            <v>2730039</v>
          </cell>
        </row>
        <row r="926">
          <cell r="D926" t="str">
            <v>2730040</v>
          </cell>
        </row>
        <row r="927">
          <cell r="D927" t="str">
            <v>2730041</v>
          </cell>
        </row>
        <row r="928">
          <cell r="D928" t="str">
            <v>2770005</v>
          </cell>
        </row>
        <row r="929">
          <cell r="D929" t="str">
            <v>2770006</v>
          </cell>
        </row>
        <row r="930">
          <cell r="D930" t="str">
            <v>2770007</v>
          </cell>
        </row>
        <row r="931">
          <cell r="D931" t="str">
            <v>2780001</v>
          </cell>
        </row>
        <row r="932">
          <cell r="D932" t="str">
            <v>2790001</v>
          </cell>
        </row>
        <row r="933">
          <cell r="D933" t="str">
            <v>2790005</v>
          </cell>
        </row>
        <row r="934">
          <cell r="D934" t="str">
            <v>2790006</v>
          </cell>
        </row>
        <row r="935">
          <cell r="D935" t="str">
            <v>2790007</v>
          </cell>
        </row>
        <row r="936">
          <cell r="D936" t="str">
            <v>2810001</v>
          </cell>
        </row>
        <row r="937">
          <cell r="D937" t="str">
            <v>2810002</v>
          </cell>
        </row>
        <row r="938">
          <cell r="D938" t="str">
            <v>2810003</v>
          </cell>
        </row>
        <row r="939">
          <cell r="D939" t="str">
            <v>2810006</v>
          </cell>
        </row>
        <row r="940">
          <cell r="D940" t="str">
            <v>2830003</v>
          </cell>
        </row>
        <row r="941">
          <cell r="D941" t="str">
            <v>2830004</v>
          </cell>
        </row>
        <row r="942">
          <cell r="D942" t="str">
            <v>2830005</v>
          </cell>
        </row>
        <row r="943">
          <cell r="D943" t="str">
            <v>2850001</v>
          </cell>
        </row>
        <row r="944">
          <cell r="D944" t="str">
            <v>2870008</v>
          </cell>
        </row>
        <row r="945">
          <cell r="D945" t="str">
            <v>2870009</v>
          </cell>
        </row>
        <row r="946">
          <cell r="D946" t="str">
            <v>2870011</v>
          </cell>
        </row>
        <row r="947">
          <cell r="D947" t="str">
            <v>2870012</v>
          </cell>
        </row>
        <row r="948">
          <cell r="D948" t="str">
            <v>2870013</v>
          </cell>
        </row>
        <row r="949">
          <cell r="D949" t="str">
            <v>2870014</v>
          </cell>
        </row>
        <row r="950">
          <cell r="D950" t="str">
            <v>2870016</v>
          </cell>
        </row>
        <row r="951">
          <cell r="D951" t="str">
            <v>2870017</v>
          </cell>
        </row>
        <row r="952">
          <cell r="D952" t="str">
            <v>2870018</v>
          </cell>
        </row>
        <row r="953">
          <cell r="D953" t="str">
            <v>2880004</v>
          </cell>
        </row>
        <row r="954">
          <cell r="D954" t="str">
            <v>2880005</v>
          </cell>
        </row>
        <row r="955">
          <cell r="D955" t="str">
            <v>2900006</v>
          </cell>
        </row>
        <row r="956">
          <cell r="D956" t="str">
            <v>2900007</v>
          </cell>
        </row>
        <row r="957">
          <cell r="D957" t="str">
            <v>2900008</v>
          </cell>
        </row>
        <row r="958">
          <cell r="D958" t="str">
            <v>2900009</v>
          </cell>
        </row>
        <row r="959">
          <cell r="D959" t="str">
            <v>2900010</v>
          </cell>
        </row>
        <row r="960">
          <cell r="D960" t="str">
            <v>2940001</v>
          </cell>
        </row>
        <row r="961">
          <cell r="D961" t="str">
            <v>2950005</v>
          </cell>
        </row>
        <row r="962">
          <cell r="D962" t="str">
            <v>2950006</v>
          </cell>
        </row>
        <row r="963">
          <cell r="D963" t="str">
            <v>2970002</v>
          </cell>
        </row>
        <row r="964">
          <cell r="D964" t="str">
            <v>2970007</v>
          </cell>
        </row>
        <row r="965">
          <cell r="D965" t="str">
            <v>2970008</v>
          </cell>
        </row>
        <row r="966">
          <cell r="D966" t="str">
            <v>2980003</v>
          </cell>
        </row>
        <row r="967">
          <cell r="D967" t="str">
            <v>2980004</v>
          </cell>
        </row>
        <row r="968">
          <cell r="D968" t="str">
            <v>2980005</v>
          </cell>
        </row>
        <row r="969">
          <cell r="D969" t="str">
            <v>2990002</v>
          </cell>
        </row>
        <row r="970">
          <cell r="D970" t="str">
            <v>2990004</v>
          </cell>
        </row>
        <row r="971">
          <cell r="D971" t="str">
            <v>3000001</v>
          </cell>
        </row>
        <row r="972">
          <cell r="D972" t="str">
            <v>3000003</v>
          </cell>
        </row>
        <row r="973">
          <cell r="D973" t="str">
            <v>3010001</v>
          </cell>
        </row>
        <row r="974">
          <cell r="D974" t="str">
            <v>3010002</v>
          </cell>
        </row>
        <row r="975">
          <cell r="D975" t="str">
            <v>3010003</v>
          </cell>
        </row>
        <row r="976">
          <cell r="D976" t="str">
            <v>3010004</v>
          </cell>
        </row>
        <row r="977">
          <cell r="D977" t="str">
            <v>3010005</v>
          </cell>
        </row>
        <row r="978">
          <cell r="D978" t="str">
            <v>3010006</v>
          </cell>
        </row>
        <row r="979">
          <cell r="D979" t="str">
            <v>3010007</v>
          </cell>
        </row>
        <row r="980">
          <cell r="D980" t="str">
            <v>3010008</v>
          </cell>
        </row>
        <row r="981">
          <cell r="D981" t="str">
            <v>3020001</v>
          </cell>
        </row>
        <row r="982">
          <cell r="D982" t="str">
            <v>3020002</v>
          </cell>
        </row>
        <row r="983">
          <cell r="D983" t="str">
            <v>3020003</v>
          </cell>
        </row>
        <row r="984">
          <cell r="D984" t="str">
            <v>3020004</v>
          </cell>
        </row>
        <row r="985">
          <cell r="D985" t="str">
            <v>3030001</v>
          </cell>
        </row>
        <row r="986">
          <cell r="D986" t="str">
            <v>3030003</v>
          </cell>
        </row>
        <row r="987">
          <cell r="D987" t="str">
            <v>3030004</v>
          </cell>
        </row>
        <row r="988">
          <cell r="D988" t="str">
            <v>3040001</v>
          </cell>
        </row>
        <row r="989">
          <cell r="D989" t="str">
            <v>3040002</v>
          </cell>
        </row>
        <row r="990">
          <cell r="D990" t="str">
            <v>3050001</v>
          </cell>
        </row>
        <row r="991">
          <cell r="D991" t="str">
            <v>3060001</v>
          </cell>
        </row>
        <row r="992">
          <cell r="D992" t="str">
            <v>3070001</v>
          </cell>
        </row>
        <row r="993">
          <cell r="D993" t="str">
            <v>3070002</v>
          </cell>
        </row>
        <row r="994">
          <cell r="D994" t="str">
            <v>30800001</v>
          </cell>
        </row>
        <row r="995">
          <cell r="D995" t="str">
            <v>3080002</v>
          </cell>
        </row>
        <row r="996">
          <cell r="D996" t="str">
            <v>3080003</v>
          </cell>
        </row>
        <row r="997">
          <cell r="D997" t="str">
            <v>3090001</v>
          </cell>
        </row>
        <row r="998">
          <cell r="D998" t="str">
            <v>3090006</v>
          </cell>
        </row>
        <row r="999">
          <cell r="D999" t="str">
            <v>3100001</v>
          </cell>
        </row>
        <row r="1000">
          <cell r="D1000" t="str">
            <v>3100002</v>
          </cell>
        </row>
        <row r="1001">
          <cell r="D1001" t="str">
            <v>3100003</v>
          </cell>
        </row>
        <row r="1002">
          <cell r="D1002" t="str">
            <v>3100004</v>
          </cell>
        </row>
        <row r="1003">
          <cell r="D1003" t="str">
            <v>3100005</v>
          </cell>
        </row>
        <row r="1004">
          <cell r="D1004" t="str">
            <v>3100006</v>
          </cell>
        </row>
        <row r="1005">
          <cell r="D1005" t="str">
            <v>3100007</v>
          </cell>
        </row>
        <row r="1006">
          <cell r="D1006" t="str">
            <v>3100008</v>
          </cell>
        </row>
        <row r="1007">
          <cell r="D1007" t="str">
            <v>3100009</v>
          </cell>
        </row>
        <row r="1008">
          <cell r="D1008" t="str">
            <v>3100010</v>
          </cell>
        </row>
        <row r="1009">
          <cell r="D1009" t="str">
            <v>3100011</v>
          </cell>
        </row>
        <row r="1010">
          <cell r="D1010" t="str">
            <v>3100013</v>
          </cell>
        </row>
        <row r="1011">
          <cell r="D1011" t="str">
            <v>3100014</v>
          </cell>
        </row>
        <row r="1012">
          <cell r="D1012" t="str">
            <v>3100015</v>
          </cell>
        </row>
        <row r="1013">
          <cell r="D1013" t="str">
            <v>3100016</v>
          </cell>
        </row>
        <row r="1014">
          <cell r="D1014" t="str">
            <v>3100017</v>
          </cell>
        </row>
        <row r="1015">
          <cell r="D1015" t="str">
            <v>3100018</v>
          </cell>
        </row>
        <row r="1016">
          <cell r="D1016" t="str">
            <v>3100019</v>
          </cell>
        </row>
        <row r="1017">
          <cell r="D1017" t="str">
            <v>3100020</v>
          </cell>
        </row>
        <row r="1018">
          <cell r="D1018" t="str">
            <v>3110001</v>
          </cell>
        </row>
        <row r="1019">
          <cell r="D1019" t="str">
            <v>3130002</v>
          </cell>
        </row>
        <row r="1020">
          <cell r="D1020" t="str">
            <v>3130003</v>
          </cell>
        </row>
        <row r="1021">
          <cell r="D1021" t="str">
            <v>3130007</v>
          </cell>
        </row>
        <row r="1022">
          <cell r="D1022" t="str">
            <v>3130008</v>
          </cell>
        </row>
        <row r="1023">
          <cell r="D1023" t="str">
            <v>3140001</v>
          </cell>
        </row>
        <row r="1024">
          <cell r="D1024" t="str">
            <v>3140002</v>
          </cell>
        </row>
        <row r="1025">
          <cell r="D1025" t="str">
            <v>3140003</v>
          </cell>
        </row>
        <row r="1026">
          <cell r="D1026" t="str">
            <v>3140004</v>
          </cell>
        </row>
        <row r="1027">
          <cell r="D1027" t="str">
            <v>3140005</v>
          </cell>
        </row>
        <row r="1028">
          <cell r="D1028" t="str">
            <v>3140006</v>
          </cell>
        </row>
        <row r="1029">
          <cell r="D1029" t="str">
            <v>3140007</v>
          </cell>
        </row>
        <row r="1030">
          <cell r="D1030" t="str">
            <v>3140008</v>
          </cell>
        </row>
        <row r="1031">
          <cell r="D1031" t="str">
            <v>3140009</v>
          </cell>
        </row>
        <row r="1032">
          <cell r="D1032" t="str">
            <v>3140013</v>
          </cell>
        </row>
        <row r="1033">
          <cell r="D1033" t="str">
            <v>3140014</v>
          </cell>
        </row>
        <row r="1034">
          <cell r="D1034" t="str">
            <v>3140015</v>
          </cell>
        </row>
        <row r="1035">
          <cell r="D1035" t="str">
            <v>3140016</v>
          </cell>
        </row>
        <row r="1036">
          <cell r="D1036" t="str">
            <v>3140017</v>
          </cell>
        </row>
        <row r="1037">
          <cell r="D1037" t="str">
            <v>3140018</v>
          </cell>
        </row>
        <row r="1038">
          <cell r="D1038" t="str">
            <v>3140019</v>
          </cell>
        </row>
        <row r="1039">
          <cell r="D1039" t="str">
            <v>3140020</v>
          </cell>
        </row>
        <row r="1040">
          <cell r="D1040" t="str">
            <v>3140024</v>
          </cell>
        </row>
        <row r="1041">
          <cell r="D1041" t="str">
            <v>3140025</v>
          </cell>
        </row>
        <row r="1042">
          <cell r="D1042" t="str">
            <v>3140026</v>
          </cell>
        </row>
        <row r="1043">
          <cell r="D1043" t="str">
            <v>3140027</v>
          </cell>
        </row>
        <row r="1044">
          <cell r="D1044" t="str">
            <v>3140028</v>
          </cell>
        </row>
        <row r="1045">
          <cell r="D1045" t="str">
            <v>3140029</v>
          </cell>
        </row>
        <row r="1046">
          <cell r="D1046" t="str">
            <v>3140030</v>
          </cell>
        </row>
        <row r="1047">
          <cell r="D1047" t="str">
            <v>3140031</v>
          </cell>
        </row>
        <row r="1048">
          <cell r="D1048" t="str">
            <v>3140032</v>
          </cell>
        </row>
        <row r="1049">
          <cell r="D1049" t="str">
            <v>3140033</v>
          </cell>
        </row>
        <row r="1050">
          <cell r="D1050" t="str">
            <v>3140034</v>
          </cell>
        </row>
        <row r="1051">
          <cell r="D1051" t="str">
            <v>3160001</v>
          </cell>
        </row>
        <row r="1052">
          <cell r="D1052" t="str">
            <v>3160002</v>
          </cell>
        </row>
        <row r="1053">
          <cell r="D1053" t="str">
            <v>3160003</v>
          </cell>
        </row>
        <row r="1054">
          <cell r="D1054" t="str">
            <v>3160004</v>
          </cell>
        </row>
        <row r="1055">
          <cell r="D1055" t="str">
            <v>3160005</v>
          </cell>
        </row>
        <row r="1056">
          <cell r="D1056" t="str">
            <v>3160006</v>
          </cell>
        </row>
        <row r="1057">
          <cell r="D1057" t="str">
            <v>3160007</v>
          </cell>
        </row>
        <row r="1058">
          <cell r="D1058" t="str">
            <v>3160012</v>
          </cell>
        </row>
        <row r="1059">
          <cell r="D1059" t="str">
            <v>3170001</v>
          </cell>
        </row>
        <row r="1060">
          <cell r="D1060" t="str">
            <v>3170002</v>
          </cell>
        </row>
        <row r="1061">
          <cell r="D1061" t="str">
            <v>3170003</v>
          </cell>
        </row>
        <row r="1062">
          <cell r="D1062" t="str">
            <v>3170005</v>
          </cell>
        </row>
        <row r="1063">
          <cell r="D1063" t="str">
            <v>3180001</v>
          </cell>
        </row>
        <row r="1064">
          <cell r="D1064" t="str">
            <v>3180002</v>
          </cell>
        </row>
        <row r="1065">
          <cell r="D1065" t="str">
            <v>3180003</v>
          </cell>
        </row>
        <row r="1066">
          <cell r="D1066" t="str">
            <v>3180005</v>
          </cell>
        </row>
        <row r="1067">
          <cell r="D1067" t="str">
            <v>3180006</v>
          </cell>
        </row>
        <row r="1068">
          <cell r="D1068" t="str">
            <v>3180007</v>
          </cell>
        </row>
        <row r="1069">
          <cell r="D1069" t="str">
            <v>3180008</v>
          </cell>
        </row>
        <row r="1070">
          <cell r="D1070" t="str">
            <v>3190001</v>
          </cell>
        </row>
        <row r="1071">
          <cell r="D1071" t="str">
            <v>3190002</v>
          </cell>
        </row>
        <row r="1072">
          <cell r="D1072" t="str">
            <v>3200001</v>
          </cell>
        </row>
        <row r="1073">
          <cell r="D1073" t="str">
            <v>3210001</v>
          </cell>
        </row>
        <row r="1074">
          <cell r="D1074" t="str">
            <v>3210002</v>
          </cell>
        </row>
        <row r="1075">
          <cell r="D1075" t="str">
            <v>3210003</v>
          </cell>
        </row>
        <row r="1076">
          <cell r="D1076" t="str">
            <v>3210004</v>
          </cell>
        </row>
        <row r="1077">
          <cell r="D1077" t="str">
            <v>3210005</v>
          </cell>
        </row>
        <row r="1078">
          <cell r="D1078" t="str">
            <v>3210006</v>
          </cell>
        </row>
        <row r="1079">
          <cell r="D1079" t="str">
            <v>3210009</v>
          </cell>
        </row>
        <row r="1080">
          <cell r="D1080" t="str">
            <v>3210010</v>
          </cell>
        </row>
        <row r="1081">
          <cell r="D1081" t="str">
            <v>3210012</v>
          </cell>
        </row>
        <row r="1082">
          <cell r="D1082" t="str">
            <v>3210013</v>
          </cell>
        </row>
        <row r="1083">
          <cell r="D1083" t="str">
            <v>3210014</v>
          </cell>
        </row>
        <row r="1084">
          <cell r="D1084" t="str">
            <v>3210015</v>
          </cell>
        </row>
        <row r="1085">
          <cell r="D1085" t="str">
            <v>3210016</v>
          </cell>
        </row>
        <row r="1086">
          <cell r="D1086" t="str">
            <v>3210017</v>
          </cell>
        </row>
        <row r="1087">
          <cell r="D1087" t="str">
            <v>3210018</v>
          </cell>
        </row>
        <row r="1088">
          <cell r="D1088" t="str">
            <v>3210019</v>
          </cell>
        </row>
        <row r="1089">
          <cell r="D1089" t="str">
            <v>3210020</v>
          </cell>
        </row>
        <row r="1090">
          <cell r="D1090" t="str">
            <v>3210021</v>
          </cell>
        </row>
        <row r="1091">
          <cell r="D1091" t="str">
            <v>3210022</v>
          </cell>
        </row>
        <row r="1092">
          <cell r="D1092" t="str">
            <v>3210023</v>
          </cell>
        </row>
        <row r="1093">
          <cell r="D1093" t="str">
            <v>3210024</v>
          </cell>
        </row>
        <row r="1094">
          <cell r="D1094" t="str">
            <v>3210027</v>
          </cell>
        </row>
        <row r="1095">
          <cell r="D1095" t="str">
            <v>3220001</v>
          </cell>
        </row>
        <row r="1096">
          <cell r="D1096" t="str">
            <v>3220002</v>
          </cell>
        </row>
        <row r="1097">
          <cell r="D1097" t="str">
            <v>3220003</v>
          </cell>
        </row>
        <row r="1098">
          <cell r="D1098" t="str">
            <v>3230001</v>
          </cell>
        </row>
        <row r="1099">
          <cell r="D1099" t="str">
            <v>3240001</v>
          </cell>
        </row>
        <row r="1100">
          <cell r="D1100" t="str">
            <v>3240002</v>
          </cell>
        </row>
        <row r="1101">
          <cell r="D1101" t="str">
            <v>3240003</v>
          </cell>
        </row>
        <row r="1102">
          <cell r="D1102" t="str">
            <v>3240004</v>
          </cell>
        </row>
        <row r="1103">
          <cell r="D1103" t="str">
            <v>3240005</v>
          </cell>
        </row>
        <row r="1104">
          <cell r="D1104" t="str">
            <v>3240006</v>
          </cell>
        </row>
        <row r="1105">
          <cell r="D1105" t="str">
            <v>3240007</v>
          </cell>
        </row>
        <row r="1106">
          <cell r="D1106" t="str">
            <v>3240008</v>
          </cell>
        </row>
        <row r="1107">
          <cell r="D1107" t="str">
            <v>3240009</v>
          </cell>
        </row>
        <row r="1108">
          <cell r="D1108" t="str">
            <v>3250001</v>
          </cell>
        </row>
        <row r="1109">
          <cell r="D1109" t="str">
            <v>3260002</v>
          </cell>
        </row>
        <row r="1110">
          <cell r="D1110" t="str">
            <v>3270001</v>
          </cell>
        </row>
        <row r="1111">
          <cell r="D1111" t="str">
            <v>3270002</v>
          </cell>
        </row>
        <row r="1112">
          <cell r="D1112" t="str">
            <v>3270003</v>
          </cell>
        </row>
        <row r="1113">
          <cell r="D1113" t="str">
            <v>3270005</v>
          </cell>
        </row>
        <row r="1114">
          <cell r="D1114" t="str">
            <v>3270006</v>
          </cell>
        </row>
        <row r="1115">
          <cell r="D1115" t="str">
            <v>3270010</v>
          </cell>
        </row>
        <row r="1116">
          <cell r="D1116" t="str">
            <v>3290001</v>
          </cell>
        </row>
        <row r="1117">
          <cell r="D1117" t="str">
            <v>3290002</v>
          </cell>
        </row>
        <row r="1118">
          <cell r="D1118" t="str">
            <v>3290003</v>
          </cell>
        </row>
        <row r="1119">
          <cell r="D1119" t="str">
            <v>3290004</v>
          </cell>
        </row>
        <row r="1120">
          <cell r="D1120" t="str">
            <v>3300001</v>
          </cell>
        </row>
        <row r="1121">
          <cell r="D1121" t="str">
            <v>3310001</v>
          </cell>
        </row>
        <row r="1122">
          <cell r="D1122" t="str">
            <v>3310003</v>
          </cell>
        </row>
        <row r="1123">
          <cell r="D1123" t="str">
            <v>3310006</v>
          </cell>
        </row>
        <row r="1124">
          <cell r="D1124" t="str">
            <v>3310007</v>
          </cell>
        </row>
        <row r="1125">
          <cell r="D1125" t="str">
            <v>3320002</v>
          </cell>
        </row>
        <row r="1126">
          <cell r="D1126" t="str">
            <v>3320004</v>
          </cell>
        </row>
        <row r="1127">
          <cell r="D1127" t="str">
            <v>332001</v>
          </cell>
        </row>
        <row r="1128">
          <cell r="D1128" t="str">
            <v>332002</v>
          </cell>
        </row>
        <row r="1129">
          <cell r="D1129" t="str">
            <v>332003</v>
          </cell>
        </row>
        <row r="1130">
          <cell r="D1130" t="str">
            <v>3330002</v>
          </cell>
        </row>
        <row r="1131">
          <cell r="D1131" t="str">
            <v>3330004</v>
          </cell>
        </row>
        <row r="1132">
          <cell r="D1132" t="str">
            <v>3330005</v>
          </cell>
        </row>
        <row r="1133">
          <cell r="D1133" t="str">
            <v>3330006</v>
          </cell>
        </row>
        <row r="1134">
          <cell r="D1134" t="str">
            <v>3330007</v>
          </cell>
        </row>
        <row r="1135">
          <cell r="D1135" t="str">
            <v>3330008</v>
          </cell>
        </row>
        <row r="1136">
          <cell r="D1136" t="str">
            <v>3330009</v>
          </cell>
        </row>
        <row r="1137">
          <cell r="D1137" t="str">
            <v>3330011</v>
          </cell>
        </row>
        <row r="1138">
          <cell r="D1138" t="str">
            <v>3330012</v>
          </cell>
        </row>
        <row r="1139">
          <cell r="D1139" t="str">
            <v>3350001</v>
          </cell>
        </row>
        <row r="1140">
          <cell r="D1140" t="str">
            <v>3350002</v>
          </cell>
        </row>
        <row r="1141">
          <cell r="D1141" t="str">
            <v>3350003</v>
          </cell>
        </row>
        <row r="1142">
          <cell r="D1142" t="str">
            <v>3350004</v>
          </cell>
        </row>
        <row r="1143">
          <cell r="D1143" t="str">
            <v>3350005</v>
          </cell>
        </row>
        <row r="1144">
          <cell r="D1144" t="str">
            <v>3350006</v>
          </cell>
        </row>
        <row r="1145">
          <cell r="D1145" t="str">
            <v>3360001</v>
          </cell>
        </row>
        <row r="1146">
          <cell r="D1146" t="str">
            <v>3370001</v>
          </cell>
        </row>
        <row r="1147">
          <cell r="D1147" t="str">
            <v>3370004</v>
          </cell>
        </row>
        <row r="1148">
          <cell r="D1148" t="str">
            <v>3380001</v>
          </cell>
        </row>
        <row r="1149">
          <cell r="D1149" t="str">
            <v>3390001</v>
          </cell>
        </row>
        <row r="1150">
          <cell r="D1150" t="str">
            <v>3400001</v>
          </cell>
        </row>
        <row r="1151">
          <cell r="D1151" t="str">
            <v>3400002</v>
          </cell>
        </row>
        <row r="1152">
          <cell r="D1152" t="str">
            <v>3400003</v>
          </cell>
        </row>
        <row r="1153">
          <cell r="D1153" t="str">
            <v>3410001</v>
          </cell>
        </row>
        <row r="1154">
          <cell r="D1154" t="str">
            <v>3410002</v>
          </cell>
        </row>
        <row r="1155">
          <cell r="D1155" t="str">
            <v>3410003</v>
          </cell>
        </row>
        <row r="1156">
          <cell r="D1156" t="str">
            <v>3410004</v>
          </cell>
        </row>
        <row r="1157">
          <cell r="D1157" t="str">
            <v>3440001</v>
          </cell>
        </row>
        <row r="1158">
          <cell r="D1158" t="str">
            <v>690925</v>
          </cell>
        </row>
        <row r="1159">
          <cell r="D1159" t="str">
            <v>690936</v>
          </cell>
        </row>
        <row r="1160">
          <cell r="D1160" t="str">
            <v>70007</v>
          </cell>
        </row>
        <row r="1161">
          <cell r="D1161" t="str">
            <v>70013</v>
          </cell>
        </row>
        <row r="1162">
          <cell r="D1162" t="str">
            <v>70016</v>
          </cell>
        </row>
        <row r="1163">
          <cell r="D1163" t="str">
            <v>70018</v>
          </cell>
        </row>
        <row r="1164">
          <cell r="D1164" t="str">
            <v>70026</v>
          </cell>
        </row>
        <row r="1165">
          <cell r="D1165" t="str">
            <v>70047</v>
          </cell>
        </row>
        <row r="1166">
          <cell r="D1166" t="str">
            <v>70090</v>
          </cell>
        </row>
        <row r="1167">
          <cell r="D1167" t="str">
            <v>70107</v>
          </cell>
        </row>
        <row r="1168">
          <cell r="D1168" t="str">
            <v>70134</v>
          </cell>
        </row>
        <row r="1169">
          <cell r="D1169" t="str">
            <v>70159</v>
          </cell>
        </row>
        <row r="1170">
          <cell r="D1170" t="str">
            <v>70171</v>
          </cell>
        </row>
        <row r="1171">
          <cell r="D1171" t="str">
            <v>70178</v>
          </cell>
        </row>
        <row r="1172">
          <cell r="D1172" t="str">
            <v>70180</v>
          </cell>
        </row>
        <row r="1173">
          <cell r="D1173" t="str">
            <v>70182</v>
          </cell>
        </row>
        <row r="1174">
          <cell r="D1174" t="str">
            <v>70183</v>
          </cell>
        </row>
        <row r="1175">
          <cell r="D1175" t="str">
            <v>70188</v>
          </cell>
        </row>
        <row r="1176">
          <cell r="D1176" t="str">
            <v>70189</v>
          </cell>
        </row>
        <row r="1177">
          <cell r="D1177" t="str">
            <v>70190</v>
          </cell>
        </row>
        <row r="1178">
          <cell r="D1178" t="str">
            <v>70191</v>
          </cell>
        </row>
        <row r="1179">
          <cell r="D1179" t="str">
            <v>70192</v>
          </cell>
        </row>
        <row r="1180">
          <cell r="D1180" t="str">
            <v>70193</v>
          </cell>
        </row>
        <row r="1181">
          <cell r="D1181" t="str">
            <v>70194</v>
          </cell>
        </row>
        <row r="1182">
          <cell r="D1182" t="str">
            <v>70195</v>
          </cell>
        </row>
        <row r="1183">
          <cell r="D1183" t="str">
            <v>70196</v>
          </cell>
        </row>
        <row r="1184">
          <cell r="D1184" t="str">
            <v>70197</v>
          </cell>
        </row>
        <row r="1185">
          <cell r="D1185" t="str">
            <v>70198</v>
          </cell>
        </row>
        <row r="1186">
          <cell r="D1186" t="str">
            <v>70199</v>
          </cell>
        </row>
        <row r="1187">
          <cell r="D1187" t="str">
            <v>70200</v>
          </cell>
        </row>
        <row r="1188">
          <cell r="D1188" t="str">
            <v>70201</v>
          </cell>
        </row>
        <row r="1189">
          <cell r="D1189" t="str">
            <v>70202</v>
          </cell>
        </row>
        <row r="1190">
          <cell r="D1190" t="str">
            <v>70204</v>
          </cell>
        </row>
        <row r="1191">
          <cell r="D1191" t="str">
            <v>70206</v>
          </cell>
        </row>
        <row r="1192">
          <cell r="D1192" t="str">
            <v>70207</v>
          </cell>
        </row>
        <row r="1193">
          <cell r="D1193" t="str">
            <v>710506</v>
          </cell>
        </row>
        <row r="1194">
          <cell r="D1194" t="str">
            <v>710515</v>
          </cell>
        </row>
        <row r="1195">
          <cell r="D1195" t="str">
            <v>710519</v>
          </cell>
        </row>
        <row r="1196">
          <cell r="D1196" t="str">
            <v>710533</v>
          </cell>
        </row>
        <row r="1197">
          <cell r="D1197" t="str">
            <v>710854</v>
          </cell>
        </row>
        <row r="1198">
          <cell r="D1198" t="str">
            <v>710857</v>
          </cell>
        </row>
        <row r="1199">
          <cell r="D1199" t="str">
            <v>710861</v>
          </cell>
        </row>
        <row r="1200">
          <cell r="D1200" t="str">
            <v>710862</v>
          </cell>
        </row>
        <row r="1201">
          <cell r="D1201" t="str">
            <v>710864</v>
          </cell>
        </row>
        <row r="1202">
          <cell r="D1202" t="str">
            <v>710875</v>
          </cell>
        </row>
        <row r="1203">
          <cell r="D1203" t="str">
            <v>710881</v>
          </cell>
        </row>
        <row r="1204">
          <cell r="D1204" t="str">
            <v>710884</v>
          </cell>
        </row>
        <row r="1205">
          <cell r="D1205" t="str">
            <v>710885</v>
          </cell>
        </row>
        <row r="1206">
          <cell r="D1206" t="str">
            <v>710893</v>
          </cell>
        </row>
        <row r="1207">
          <cell r="D1207" t="str">
            <v>710895</v>
          </cell>
        </row>
        <row r="1208">
          <cell r="D1208" t="str">
            <v>710896</v>
          </cell>
        </row>
        <row r="1209">
          <cell r="D1209" t="str">
            <v>710897</v>
          </cell>
        </row>
        <row r="1210">
          <cell r="D1210" t="str">
            <v>710899</v>
          </cell>
        </row>
        <row r="1211">
          <cell r="D1211" t="str">
            <v>710900</v>
          </cell>
        </row>
        <row r="1212">
          <cell r="D1212" t="str">
            <v>710902</v>
          </cell>
        </row>
        <row r="1213">
          <cell r="D1213" t="str">
            <v>710904</v>
          </cell>
        </row>
        <row r="1214">
          <cell r="D1214" t="str">
            <v>710905</v>
          </cell>
        </row>
        <row r="1215">
          <cell r="D1215" t="str">
            <v>710906</v>
          </cell>
        </row>
        <row r="1216">
          <cell r="D1216" t="str">
            <v>710907</v>
          </cell>
        </row>
        <row r="1217">
          <cell r="D1217" t="str">
            <v>710908</v>
          </cell>
        </row>
        <row r="1218">
          <cell r="D1218" t="str">
            <v>710909</v>
          </cell>
        </row>
        <row r="1219">
          <cell r="D1219" t="str">
            <v>710910</v>
          </cell>
        </row>
        <row r="1220">
          <cell r="D1220" t="str">
            <v>710912</v>
          </cell>
        </row>
        <row r="1221">
          <cell r="D1221" t="str">
            <v>710915</v>
          </cell>
        </row>
        <row r="1222">
          <cell r="D1222" t="str">
            <v>710916</v>
          </cell>
        </row>
        <row r="1223">
          <cell r="D1223" t="str">
            <v>710918</v>
          </cell>
        </row>
        <row r="1224">
          <cell r="D1224" t="str">
            <v>710919</v>
          </cell>
        </row>
        <row r="1225">
          <cell r="D1225" t="str">
            <v>710921</v>
          </cell>
        </row>
        <row r="1226">
          <cell r="D1226" t="str">
            <v>710923</v>
          </cell>
        </row>
        <row r="1227">
          <cell r="D1227" t="str">
            <v>710924</v>
          </cell>
        </row>
        <row r="1228">
          <cell r="D1228" t="str">
            <v>710926</v>
          </cell>
        </row>
        <row r="1229">
          <cell r="D1229" t="str">
            <v>714358</v>
          </cell>
        </row>
        <row r="1230">
          <cell r="D1230" t="str">
            <v>720518</v>
          </cell>
        </row>
        <row r="1231">
          <cell r="D1231" t="str">
            <v>720524</v>
          </cell>
        </row>
        <row r="1232">
          <cell r="D1232" t="str">
            <v>720547</v>
          </cell>
        </row>
        <row r="1233">
          <cell r="D1233" t="str">
            <v>720554</v>
          </cell>
        </row>
        <row r="1234">
          <cell r="D1234" t="str">
            <v>721126</v>
          </cell>
        </row>
        <row r="1235">
          <cell r="D1235" t="str">
            <v>721153</v>
          </cell>
        </row>
        <row r="1236">
          <cell r="D1236" t="str">
            <v>721172</v>
          </cell>
        </row>
        <row r="1237">
          <cell r="D1237" t="str">
            <v>721173</v>
          </cell>
        </row>
        <row r="1238">
          <cell r="D1238" t="str">
            <v>721178</v>
          </cell>
        </row>
        <row r="1239">
          <cell r="D1239" t="str">
            <v>721185</v>
          </cell>
        </row>
        <row r="1240">
          <cell r="D1240" t="str">
            <v>721199</v>
          </cell>
        </row>
        <row r="1241">
          <cell r="D1241" t="str">
            <v>721206</v>
          </cell>
        </row>
        <row r="1242">
          <cell r="D1242" t="str">
            <v>721210</v>
          </cell>
        </row>
        <row r="1243">
          <cell r="D1243" t="str">
            <v>721212</v>
          </cell>
        </row>
        <row r="1244">
          <cell r="D1244" t="str">
            <v>721213</v>
          </cell>
        </row>
        <row r="1245">
          <cell r="D1245" t="str">
            <v>721214</v>
          </cell>
        </row>
        <row r="1246">
          <cell r="D1246" t="str">
            <v>721215</v>
          </cell>
        </row>
        <row r="1247">
          <cell r="D1247" t="str">
            <v>721216</v>
          </cell>
        </row>
        <row r="1248">
          <cell r="D1248" t="str">
            <v>721217</v>
          </cell>
        </row>
        <row r="1249">
          <cell r="D1249" t="str">
            <v>721218</v>
          </cell>
        </row>
        <row r="1250">
          <cell r="D1250" t="str">
            <v>721219</v>
          </cell>
        </row>
        <row r="1251">
          <cell r="D1251" t="str">
            <v>721220</v>
          </cell>
        </row>
        <row r="1252">
          <cell r="D1252" t="str">
            <v>721226</v>
          </cell>
        </row>
        <row r="1253">
          <cell r="D1253" t="str">
            <v>721227</v>
          </cell>
        </row>
        <row r="1254">
          <cell r="D1254" t="str">
            <v>730017</v>
          </cell>
        </row>
        <row r="1255">
          <cell r="D1255" t="str">
            <v>730023</v>
          </cell>
        </row>
        <row r="1256">
          <cell r="D1256" t="str">
            <v>740005</v>
          </cell>
        </row>
        <row r="1257">
          <cell r="D1257" t="str">
            <v>740008</v>
          </cell>
        </row>
        <row r="1258">
          <cell r="D1258" t="str">
            <v>740015</v>
          </cell>
        </row>
        <row r="1259">
          <cell r="D1259" t="str">
            <v>740016</v>
          </cell>
        </row>
        <row r="1260">
          <cell r="D1260" t="str">
            <v>740061</v>
          </cell>
        </row>
        <row r="1261">
          <cell r="D1261" t="str">
            <v>740092</v>
          </cell>
        </row>
        <row r="1262">
          <cell r="D1262" t="str">
            <v>740132</v>
          </cell>
        </row>
        <row r="1263">
          <cell r="D1263" t="str">
            <v>740154</v>
          </cell>
        </row>
        <row r="1264">
          <cell r="D1264" t="str">
            <v>740161</v>
          </cell>
        </row>
        <row r="1265">
          <cell r="D1265" t="str">
            <v>740166</v>
          </cell>
        </row>
        <row r="1266">
          <cell r="D1266" t="str">
            <v>740169</v>
          </cell>
        </row>
        <row r="1267">
          <cell r="D1267" t="str">
            <v>740173</v>
          </cell>
        </row>
        <row r="1268">
          <cell r="D1268" t="str">
            <v>740177</v>
          </cell>
        </row>
        <row r="1269">
          <cell r="D1269" t="str">
            <v>740178</v>
          </cell>
        </row>
        <row r="1270">
          <cell r="D1270" t="str">
            <v>740179</v>
          </cell>
        </row>
        <row r="1271">
          <cell r="D1271" t="str">
            <v>740182</v>
          </cell>
        </row>
        <row r="1272">
          <cell r="D1272" t="str">
            <v>740186</v>
          </cell>
        </row>
        <row r="1273">
          <cell r="D1273" t="str">
            <v>740187</v>
          </cell>
        </row>
        <row r="1274">
          <cell r="D1274" t="str">
            <v>750017</v>
          </cell>
        </row>
        <row r="1275">
          <cell r="D1275" t="str">
            <v>750039</v>
          </cell>
        </row>
        <row r="1276">
          <cell r="D1276" t="str">
            <v>750045</v>
          </cell>
        </row>
        <row r="1277">
          <cell r="D1277" t="str">
            <v>750067</v>
          </cell>
        </row>
        <row r="1278">
          <cell r="D1278" t="str">
            <v>750184</v>
          </cell>
        </row>
        <row r="1279">
          <cell r="D1279" t="str">
            <v>750205</v>
          </cell>
        </row>
        <row r="1280">
          <cell r="D1280" t="str">
            <v>750208</v>
          </cell>
        </row>
        <row r="1281">
          <cell r="D1281" t="str">
            <v>750265</v>
          </cell>
        </row>
        <row r="1282">
          <cell r="D1282" t="str">
            <v>750274</v>
          </cell>
        </row>
        <row r="1283">
          <cell r="D1283" t="str">
            <v>750285</v>
          </cell>
        </row>
        <row r="1284">
          <cell r="D1284" t="str">
            <v>750298</v>
          </cell>
        </row>
        <row r="1285">
          <cell r="D1285" t="str">
            <v>750301</v>
          </cell>
        </row>
        <row r="1286">
          <cell r="D1286" t="str">
            <v>750302</v>
          </cell>
        </row>
        <row r="1287">
          <cell r="D1287" t="str">
            <v>750303</v>
          </cell>
        </row>
        <row r="1288">
          <cell r="D1288" t="str">
            <v>750304</v>
          </cell>
        </row>
        <row r="1289">
          <cell r="D1289" t="str">
            <v>750305</v>
          </cell>
        </row>
        <row r="1290">
          <cell r="D1290" t="str">
            <v>750306</v>
          </cell>
        </row>
        <row r="1291">
          <cell r="D1291" t="str">
            <v>750307</v>
          </cell>
        </row>
        <row r="1292">
          <cell r="D1292" t="str">
            <v>750308</v>
          </cell>
        </row>
        <row r="1293">
          <cell r="D1293" t="str">
            <v>750309</v>
          </cell>
        </row>
        <row r="1294">
          <cell r="D1294" t="str">
            <v>750310</v>
          </cell>
        </row>
        <row r="1295">
          <cell r="D1295" t="str">
            <v>750311</v>
          </cell>
        </row>
        <row r="1296">
          <cell r="D1296" t="str">
            <v>750312</v>
          </cell>
        </row>
        <row r="1297">
          <cell r="D1297" t="str">
            <v>750313</v>
          </cell>
        </row>
        <row r="1298">
          <cell r="D1298" t="str">
            <v>750314</v>
          </cell>
        </row>
        <row r="1299">
          <cell r="D1299" t="str">
            <v>750316</v>
          </cell>
        </row>
        <row r="1300">
          <cell r="D1300" t="str">
            <v>750317</v>
          </cell>
        </row>
        <row r="1301">
          <cell r="D1301" t="str">
            <v>750318</v>
          </cell>
        </row>
        <row r="1302">
          <cell r="D1302" t="str">
            <v>750320</v>
          </cell>
        </row>
        <row r="1303">
          <cell r="D1303" t="str">
            <v>750321</v>
          </cell>
        </row>
        <row r="1304">
          <cell r="D1304" t="str">
            <v>750322</v>
          </cell>
        </row>
        <row r="1305">
          <cell r="D1305" t="str">
            <v>750323</v>
          </cell>
        </row>
        <row r="1306">
          <cell r="D1306" t="str">
            <v>750324</v>
          </cell>
        </row>
        <row r="1307">
          <cell r="D1307" t="str">
            <v>750325</v>
          </cell>
        </row>
        <row r="1308">
          <cell r="D1308" t="str">
            <v>750326</v>
          </cell>
        </row>
        <row r="1309">
          <cell r="D1309" t="str">
            <v>750327</v>
          </cell>
        </row>
        <row r="1310">
          <cell r="D1310" t="str">
            <v>750328</v>
          </cell>
        </row>
        <row r="1311">
          <cell r="D1311" t="str">
            <v>750329</v>
          </cell>
        </row>
        <row r="1312">
          <cell r="D1312" t="str">
            <v>750330</v>
          </cell>
        </row>
        <row r="1313">
          <cell r="D1313" t="str">
            <v>750331</v>
          </cell>
        </row>
        <row r="1314">
          <cell r="D1314" t="str">
            <v>750333</v>
          </cell>
        </row>
        <row r="1315">
          <cell r="D1315" t="str">
            <v>750334</v>
          </cell>
        </row>
        <row r="1316">
          <cell r="D1316" t="str">
            <v>750337</v>
          </cell>
        </row>
        <row r="1317">
          <cell r="D1317" t="str">
            <v>750338</v>
          </cell>
        </row>
        <row r="1318">
          <cell r="D1318" t="str">
            <v>750339</v>
          </cell>
        </row>
        <row r="1319">
          <cell r="D1319" t="str">
            <v>750340</v>
          </cell>
        </row>
        <row r="1320">
          <cell r="D1320" t="str">
            <v>750342</v>
          </cell>
        </row>
        <row r="1321">
          <cell r="D1321" t="str">
            <v>750343</v>
          </cell>
        </row>
        <row r="1322">
          <cell r="D1322" t="str">
            <v>750344</v>
          </cell>
        </row>
        <row r="1323">
          <cell r="D1323" t="str">
            <v>750347</v>
          </cell>
        </row>
        <row r="1324">
          <cell r="D1324" t="str">
            <v>750348</v>
          </cell>
        </row>
        <row r="1325">
          <cell r="D1325" t="str">
            <v>750353</v>
          </cell>
        </row>
        <row r="1326">
          <cell r="D1326" t="str">
            <v>750355</v>
          </cell>
        </row>
        <row r="1327">
          <cell r="D1327" t="str">
            <v>750357</v>
          </cell>
        </row>
        <row r="1328">
          <cell r="D1328" t="str">
            <v>790086</v>
          </cell>
        </row>
        <row r="1329">
          <cell r="D1329" t="str">
            <v>830063</v>
          </cell>
        </row>
        <row r="1330">
          <cell r="D1330" t="str">
            <v>840015</v>
          </cell>
        </row>
        <row r="1331">
          <cell r="D1331" t="str">
            <v>840170</v>
          </cell>
        </row>
        <row r="1332">
          <cell r="D1332" t="str">
            <v>860007</v>
          </cell>
        </row>
        <row r="1333">
          <cell r="D1333" t="str">
            <v>860011</v>
          </cell>
        </row>
        <row r="1334">
          <cell r="D1334" t="str">
            <v>860012</v>
          </cell>
        </row>
        <row r="1335">
          <cell r="D1335" t="str">
            <v>860013</v>
          </cell>
        </row>
        <row r="1336">
          <cell r="D1336" t="str">
            <v>890001</v>
          </cell>
        </row>
        <row r="1337">
          <cell r="D1337" t="str">
            <v>890012</v>
          </cell>
        </row>
        <row r="1338">
          <cell r="D1338" t="str">
            <v>890073</v>
          </cell>
        </row>
        <row r="1339">
          <cell r="D1339" t="str">
            <v>890076</v>
          </cell>
        </row>
        <row r="1340">
          <cell r="D1340" t="str">
            <v>890077</v>
          </cell>
        </row>
        <row r="1341">
          <cell r="D1341" t="str">
            <v>890078</v>
          </cell>
        </row>
        <row r="1342">
          <cell r="D1342" t="str">
            <v>890081</v>
          </cell>
        </row>
        <row r="1343">
          <cell r="D1343" t="str">
            <v>9000001</v>
          </cell>
        </row>
        <row r="1344">
          <cell r="D1344" t="str">
            <v>903654</v>
          </cell>
        </row>
        <row r="1345">
          <cell r="D1345" t="str">
            <v>910228</v>
          </cell>
        </row>
        <row r="1346">
          <cell r="D1346" t="str">
            <v>910229</v>
          </cell>
        </row>
        <row r="1347">
          <cell r="D1347" t="str">
            <v>910238</v>
          </cell>
        </row>
        <row r="1348">
          <cell r="D1348" t="str">
            <v>910242</v>
          </cell>
        </row>
        <row r="1349">
          <cell r="D1349" t="str">
            <v>910245</v>
          </cell>
        </row>
        <row r="1350">
          <cell r="D1350" t="str">
            <v>910254</v>
          </cell>
        </row>
        <row r="1351">
          <cell r="D1351" t="str">
            <v>910255</v>
          </cell>
        </row>
        <row r="1352">
          <cell r="D1352" t="str">
            <v>910262</v>
          </cell>
        </row>
        <row r="1353">
          <cell r="D1353" t="str">
            <v>910263</v>
          </cell>
        </row>
        <row r="1354">
          <cell r="D1354" t="str">
            <v>910264</v>
          </cell>
        </row>
        <row r="1355">
          <cell r="D1355" t="str">
            <v>910268</v>
          </cell>
        </row>
        <row r="1356">
          <cell r="D1356" t="str">
            <v>910270</v>
          </cell>
        </row>
        <row r="1357">
          <cell r="D1357" t="str">
            <v>910271</v>
          </cell>
        </row>
        <row r="1358">
          <cell r="D1358" t="str">
            <v>910274</v>
          </cell>
        </row>
        <row r="1359">
          <cell r="D1359" t="str">
            <v>910275</v>
          </cell>
        </row>
        <row r="1360">
          <cell r="D1360" t="str">
            <v>910277</v>
          </cell>
        </row>
        <row r="1361">
          <cell r="D1361" t="str">
            <v>910278</v>
          </cell>
        </row>
        <row r="1362">
          <cell r="D1362" t="str">
            <v>910279</v>
          </cell>
        </row>
        <row r="1363">
          <cell r="D1363" t="str">
            <v>910280</v>
          </cell>
        </row>
        <row r="1364">
          <cell r="D1364" t="str">
            <v>910281</v>
          </cell>
        </row>
        <row r="1365">
          <cell r="D1365" t="str">
            <v>910282</v>
          </cell>
        </row>
        <row r="1366">
          <cell r="D1366" t="str">
            <v>910283</v>
          </cell>
        </row>
        <row r="1367">
          <cell r="D1367" t="str">
            <v>910285</v>
          </cell>
        </row>
        <row r="1368">
          <cell r="D1368" t="str">
            <v>910290</v>
          </cell>
        </row>
        <row r="1369">
          <cell r="D1369" t="str">
            <v>910293</v>
          </cell>
        </row>
        <row r="1370">
          <cell r="D1370" t="str">
            <v>910294</v>
          </cell>
        </row>
        <row r="1371">
          <cell r="D1371" t="str">
            <v>910295</v>
          </cell>
        </row>
        <row r="1372">
          <cell r="D1372" t="str">
            <v>910298</v>
          </cell>
        </row>
        <row r="1373">
          <cell r="D1373" t="str">
            <v>910299</v>
          </cell>
        </row>
        <row r="1374">
          <cell r="D1374" t="str">
            <v>910300</v>
          </cell>
        </row>
        <row r="1375">
          <cell r="D1375" t="str">
            <v>910301</v>
          </cell>
        </row>
        <row r="1376">
          <cell r="D1376" t="str">
            <v>910302</v>
          </cell>
        </row>
        <row r="1377">
          <cell r="D1377" t="str">
            <v>910303</v>
          </cell>
        </row>
        <row r="1378">
          <cell r="D1378" t="str">
            <v>910305</v>
          </cell>
        </row>
        <row r="1379">
          <cell r="D1379" t="str">
            <v>910306</v>
          </cell>
        </row>
        <row r="1380">
          <cell r="D1380" t="str">
            <v>910307</v>
          </cell>
        </row>
        <row r="1381">
          <cell r="D1381" t="str">
            <v>910309</v>
          </cell>
        </row>
        <row r="1382">
          <cell r="D1382" t="str">
            <v>910310</v>
          </cell>
        </row>
        <row r="1383">
          <cell r="D1383" t="str">
            <v>910311</v>
          </cell>
        </row>
        <row r="1384">
          <cell r="D1384" t="str">
            <v>910312</v>
          </cell>
        </row>
        <row r="1385">
          <cell r="D1385" t="str">
            <v>910316</v>
          </cell>
        </row>
        <row r="1386">
          <cell r="D1386" t="str">
            <v>910317</v>
          </cell>
        </row>
        <row r="1387">
          <cell r="D1387" t="str">
            <v>910319</v>
          </cell>
        </row>
        <row r="1388">
          <cell r="D1388" t="str">
            <v>910324</v>
          </cell>
        </row>
        <row r="1389">
          <cell r="D1389" t="str">
            <v>940066</v>
          </cell>
        </row>
        <row r="1390">
          <cell r="D1390" t="str">
            <v>940078</v>
          </cell>
        </row>
        <row r="1391">
          <cell r="D1391" t="str">
            <v>940086</v>
          </cell>
        </row>
        <row r="1392">
          <cell r="D1392" t="str">
            <v>940092</v>
          </cell>
        </row>
        <row r="1393">
          <cell r="D1393" t="str">
            <v>940143</v>
          </cell>
        </row>
        <row r="1394">
          <cell r="D1394" t="str">
            <v>940144</v>
          </cell>
        </row>
        <row r="1395">
          <cell r="D1395" t="str">
            <v>940169</v>
          </cell>
        </row>
        <row r="1396">
          <cell r="D1396" t="str">
            <v>940179</v>
          </cell>
        </row>
        <row r="1397">
          <cell r="D1397" t="str">
            <v>940348</v>
          </cell>
        </row>
        <row r="1398">
          <cell r="D1398" t="str">
            <v>940399</v>
          </cell>
        </row>
        <row r="1399">
          <cell r="D1399" t="str">
            <v>940413</v>
          </cell>
        </row>
        <row r="1400">
          <cell r="D1400" t="str">
            <v>940432</v>
          </cell>
        </row>
        <row r="1401">
          <cell r="D1401" t="str">
            <v>940456</v>
          </cell>
        </row>
        <row r="1402">
          <cell r="D1402" t="str">
            <v>940480</v>
          </cell>
        </row>
        <row r="1403">
          <cell r="D1403" t="str">
            <v>940612</v>
          </cell>
        </row>
        <row r="1404">
          <cell r="D1404" t="str">
            <v>940652</v>
          </cell>
        </row>
        <row r="1405">
          <cell r="D1405" t="str">
            <v>940656</v>
          </cell>
        </row>
        <row r="1406">
          <cell r="D1406" t="str">
            <v>940660</v>
          </cell>
        </row>
        <row r="1407">
          <cell r="D1407" t="str">
            <v>940681</v>
          </cell>
        </row>
        <row r="1408">
          <cell r="D1408" t="str">
            <v>940776</v>
          </cell>
        </row>
        <row r="1409">
          <cell r="D1409" t="str">
            <v>940781</v>
          </cell>
        </row>
        <row r="1410">
          <cell r="D1410" t="str">
            <v>940785</v>
          </cell>
        </row>
        <row r="1411">
          <cell r="D1411" t="str">
            <v>940786</v>
          </cell>
        </row>
        <row r="1412">
          <cell r="D1412" t="str">
            <v>940787</v>
          </cell>
        </row>
        <row r="1413">
          <cell r="D1413" t="str">
            <v>940788</v>
          </cell>
        </row>
        <row r="1414">
          <cell r="D1414" t="str">
            <v>940789</v>
          </cell>
        </row>
        <row r="1415">
          <cell r="D1415" t="str">
            <v>940790</v>
          </cell>
        </row>
        <row r="1416">
          <cell r="D1416" t="str">
            <v>940791</v>
          </cell>
        </row>
        <row r="1417">
          <cell r="D1417" t="str">
            <v>940792</v>
          </cell>
        </row>
        <row r="1418">
          <cell r="D1418" t="str">
            <v>940793</v>
          </cell>
        </row>
        <row r="1419">
          <cell r="D1419" t="str">
            <v>940794</v>
          </cell>
        </row>
        <row r="1420">
          <cell r="D1420" t="str">
            <v>940796</v>
          </cell>
        </row>
        <row r="1421">
          <cell r="D1421" t="str">
            <v>940797</v>
          </cell>
        </row>
        <row r="1422">
          <cell r="D1422" t="str">
            <v>940799</v>
          </cell>
        </row>
        <row r="1423">
          <cell r="D1423" t="str">
            <v>940800</v>
          </cell>
        </row>
        <row r="1424">
          <cell r="D1424" t="str">
            <v>940801</v>
          </cell>
        </row>
        <row r="1425">
          <cell r="D1425" t="str">
            <v>940802</v>
          </cell>
        </row>
        <row r="1426">
          <cell r="D1426" t="str">
            <v>940803</v>
          </cell>
        </row>
        <row r="1427">
          <cell r="D1427" t="str">
            <v>940804</v>
          </cell>
        </row>
        <row r="1428">
          <cell r="D1428" t="str">
            <v>940805</v>
          </cell>
        </row>
        <row r="1429">
          <cell r="D1429" t="str">
            <v>940806</v>
          </cell>
        </row>
        <row r="1430">
          <cell r="D1430" t="str">
            <v>940807</v>
          </cell>
        </row>
        <row r="1431">
          <cell r="D1431" t="str">
            <v>940808</v>
          </cell>
        </row>
        <row r="1432">
          <cell r="D1432" t="str">
            <v>940809</v>
          </cell>
        </row>
        <row r="1433">
          <cell r="D1433" t="str">
            <v>940812</v>
          </cell>
        </row>
        <row r="1434">
          <cell r="D1434" t="str">
            <v>940813</v>
          </cell>
        </row>
        <row r="1435">
          <cell r="D1435" t="str">
            <v>940814</v>
          </cell>
        </row>
        <row r="1436">
          <cell r="D1436" t="str">
            <v>940815</v>
          </cell>
        </row>
        <row r="1437">
          <cell r="D1437" t="str">
            <v>940821</v>
          </cell>
        </row>
        <row r="1438">
          <cell r="D1438" t="str">
            <v>940825</v>
          </cell>
        </row>
        <row r="1439">
          <cell r="D1439" t="str">
            <v>940826</v>
          </cell>
        </row>
        <row r="1440">
          <cell r="D1440" t="str">
            <v>940827</v>
          </cell>
        </row>
        <row r="1441">
          <cell r="D1441" t="str">
            <v>940835</v>
          </cell>
        </row>
        <row r="1442">
          <cell r="D1442" t="str">
            <v>940836</v>
          </cell>
        </row>
        <row r="1443">
          <cell r="D1443" t="str">
            <v>940841</v>
          </cell>
        </row>
        <row r="1444">
          <cell r="D1444" t="str">
            <v>940842</v>
          </cell>
        </row>
        <row r="1445">
          <cell r="D1445" t="str">
            <v>940843</v>
          </cell>
        </row>
        <row r="1446">
          <cell r="D1446" t="str">
            <v>940845</v>
          </cell>
        </row>
        <row r="1447">
          <cell r="D1447" t="str">
            <v>940846</v>
          </cell>
        </row>
        <row r="1448">
          <cell r="D1448" t="str">
            <v>940847</v>
          </cell>
        </row>
        <row r="1449">
          <cell r="D1449" t="str">
            <v>940848</v>
          </cell>
        </row>
        <row r="1450">
          <cell r="D1450" t="str">
            <v>940849</v>
          </cell>
        </row>
        <row r="1451">
          <cell r="D1451" t="str">
            <v>940850</v>
          </cell>
        </row>
        <row r="1452">
          <cell r="D1452" t="str">
            <v>940851</v>
          </cell>
        </row>
        <row r="1453">
          <cell r="D1453" t="str">
            <v>940852</v>
          </cell>
        </row>
        <row r="1454">
          <cell r="D1454" t="str">
            <v>940853</v>
          </cell>
        </row>
        <row r="1455">
          <cell r="D1455" t="str">
            <v>940854</v>
          </cell>
        </row>
        <row r="1456">
          <cell r="D1456" t="str">
            <v>940855</v>
          </cell>
        </row>
        <row r="1457">
          <cell r="D1457" t="str">
            <v>940857</v>
          </cell>
        </row>
        <row r="1458">
          <cell r="D1458" t="str">
            <v>940863</v>
          </cell>
        </row>
        <row r="1459">
          <cell r="D1459" t="str">
            <v>950011</v>
          </cell>
        </row>
        <row r="1460">
          <cell r="D1460" t="str">
            <v>950015</v>
          </cell>
        </row>
        <row r="1461">
          <cell r="D1461" t="str">
            <v>950042</v>
          </cell>
        </row>
        <row r="1462">
          <cell r="D1462" t="str">
            <v>950174</v>
          </cell>
        </row>
        <row r="1463">
          <cell r="D1463" t="str">
            <v>950188</v>
          </cell>
        </row>
        <row r="1464">
          <cell r="D1464" t="str">
            <v>950201</v>
          </cell>
        </row>
        <row r="1465">
          <cell r="D1465" t="str">
            <v>950206</v>
          </cell>
        </row>
        <row r="1466">
          <cell r="D1466" t="str">
            <v>950208</v>
          </cell>
        </row>
        <row r="1467">
          <cell r="D1467" t="str">
            <v>950211</v>
          </cell>
        </row>
        <row r="1468">
          <cell r="D1468" t="str">
            <v>950212</v>
          </cell>
        </row>
        <row r="1469">
          <cell r="D1469" t="str">
            <v>950219</v>
          </cell>
        </row>
        <row r="1470">
          <cell r="D1470" t="str">
            <v>950220</v>
          </cell>
        </row>
        <row r="1471">
          <cell r="D1471" t="str">
            <v>950239</v>
          </cell>
        </row>
        <row r="1472">
          <cell r="D1472" t="str">
            <v>950392</v>
          </cell>
        </row>
        <row r="1473">
          <cell r="D1473" t="str">
            <v>950462</v>
          </cell>
        </row>
        <row r="1474">
          <cell r="D1474" t="str">
            <v>950500</v>
          </cell>
        </row>
        <row r="1475">
          <cell r="D1475" t="str">
            <v>950615</v>
          </cell>
        </row>
        <row r="1476">
          <cell r="D1476" t="str">
            <v>950625</v>
          </cell>
        </row>
        <row r="1477">
          <cell r="D1477" t="str">
            <v>950634</v>
          </cell>
        </row>
        <row r="1478">
          <cell r="D1478" t="str">
            <v>950652</v>
          </cell>
        </row>
        <row r="1479">
          <cell r="D1479" t="str">
            <v>950655</v>
          </cell>
        </row>
        <row r="1480">
          <cell r="D1480" t="str">
            <v>950668</v>
          </cell>
        </row>
        <row r="1481">
          <cell r="D1481" t="str">
            <v>950678</v>
          </cell>
        </row>
        <row r="1482">
          <cell r="D1482" t="str">
            <v>950686</v>
          </cell>
        </row>
        <row r="1483">
          <cell r="D1483" t="str">
            <v>950691</v>
          </cell>
        </row>
        <row r="1484">
          <cell r="D1484" t="str">
            <v>950700</v>
          </cell>
        </row>
        <row r="1485">
          <cell r="D1485" t="str">
            <v>950702</v>
          </cell>
        </row>
        <row r="1486">
          <cell r="D1486" t="str">
            <v>950704</v>
          </cell>
        </row>
        <row r="1487">
          <cell r="D1487" t="str">
            <v>950705</v>
          </cell>
        </row>
        <row r="1488">
          <cell r="D1488" t="str">
            <v>950706</v>
          </cell>
        </row>
        <row r="1489">
          <cell r="D1489" t="str">
            <v>950709</v>
          </cell>
        </row>
        <row r="1490">
          <cell r="D1490" t="str">
            <v>950711</v>
          </cell>
        </row>
        <row r="1491">
          <cell r="D1491" t="str">
            <v>950712</v>
          </cell>
        </row>
        <row r="1492">
          <cell r="D1492" t="str">
            <v>950714</v>
          </cell>
        </row>
        <row r="1493">
          <cell r="D1493" t="str">
            <v>950715</v>
          </cell>
        </row>
        <row r="1494">
          <cell r="D1494" t="str">
            <v>950716</v>
          </cell>
        </row>
        <row r="1495">
          <cell r="D1495" t="str">
            <v>950718</v>
          </cell>
        </row>
        <row r="1496">
          <cell r="D1496" t="str">
            <v>950719</v>
          </cell>
        </row>
        <row r="1497">
          <cell r="D1497" t="str">
            <v>950720</v>
          </cell>
        </row>
        <row r="1498">
          <cell r="D1498" t="str">
            <v>950724</v>
          </cell>
        </row>
        <row r="1499">
          <cell r="D1499" t="str">
            <v>950726</v>
          </cell>
        </row>
        <row r="1500">
          <cell r="D1500" t="str">
            <v>950727</v>
          </cell>
        </row>
        <row r="1501">
          <cell r="D1501" t="str">
            <v>950728</v>
          </cell>
        </row>
        <row r="1502">
          <cell r="D1502" t="str">
            <v>950729</v>
          </cell>
        </row>
        <row r="1503">
          <cell r="D1503" t="str">
            <v>950731</v>
          </cell>
        </row>
        <row r="1504">
          <cell r="D1504" t="str">
            <v>950732</v>
          </cell>
        </row>
        <row r="1505">
          <cell r="D1505" t="str">
            <v>950733</v>
          </cell>
        </row>
        <row r="1506">
          <cell r="D1506" t="str">
            <v>950734</v>
          </cell>
        </row>
        <row r="1507">
          <cell r="D1507" t="str">
            <v>950735</v>
          </cell>
        </row>
        <row r="1508">
          <cell r="D1508" t="str">
            <v>950736</v>
          </cell>
        </row>
        <row r="1509">
          <cell r="D1509" t="str">
            <v>950737</v>
          </cell>
        </row>
        <row r="1510">
          <cell r="D1510" t="str">
            <v>950738</v>
          </cell>
        </row>
        <row r="1511">
          <cell r="D1511" t="str">
            <v>950739</v>
          </cell>
        </row>
        <row r="1512">
          <cell r="D1512" t="str">
            <v>960074</v>
          </cell>
        </row>
        <row r="1513">
          <cell r="D1513" t="str">
            <v>960079</v>
          </cell>
        </row>
        <row r="1514">
          <cell r="D1514" t="str">
            <v>960080</v>
          </cell>
        </row>
        <row r="1515">
          <cell r="D1515" t="str">
            <v>960086</v>
          </cell>
        </row>
        <row r="1516">
          <cell r="D1516" t="str">
            <v>960090</v>
          </cell>
        </row>
        <row r="1517">
          <cell r="D1517" t="str">
            <v>960091</v>
          </cell>
        </row>
        <row r="1518">
          <cell r="D1518" t="str">
            <v>970004</v>
          </cell>
        </row>
        <row r="1519">
          <cell r="D1519" t="str">
            <v>970009</v>
          </cell>
        </row>
        <row r="1520">
          <cell r="D1520" t="str">
            <v>970025</v>
          </cell>
        </row>
        <row r="1521">
          <cell r="D1521" t="str">
            <v>980041</v>
          </cell>
        </row>
        <row r="1522">
          <cell r="D1522" t="str">
            <v>980042</v>
          </cell>
        </row>
        <row r="1523">
          <cell r="D1523" t="str">
            <v>980043</v>
          </cell>
        </row>
        <row r="1524">
          <cell r="D1524" t="str">
            <v>980044</v>
          </cell>
        </row>
        <row r="1525">
          <cell r="D1525" t="str">
            <v>980045</v>
          </cell>
        </row>
        <row r="1526">
          <cell r="D1526" t="str">
            <v>980046</v>
          </cell>
        </row>
        <row r="1527">
          <cell r="D1527" t="str">
            <v>980048</v>
          </cell>
        </row>
        <row r="1528">
          <cell r="D1528" t="str">
            <v>AK0183</v>
          </cell>
        </row>
        <row r="1529">
          <cell r="D1529" t="str">
            <v>AK0252</v>
          </cell>
        </row>
        <row r="1530">
          <cell r="D1530" t="str">
            <v>AK0265</v>
          </cell>
        </row>
        <row r="1531">
          <cell r="D1531" t="str">
            <v>AK0426</v>
          </cell>
        </row>
        <row r="1532">
          <cell r="D1532" t="str">
            <v>AK0631</v>
          </cell>
        </row>
        <row r="1533">
          <cell r="D1533" t="str">
            <v>AK0640</v>
          </cell>
        </row>
        <row r="1534">
          <cell r="D1534" t="str">
            <v>AK0696</v>
          </cell>
        </row>
        <row r="1535">
          <cell r="D1535" t="str">
            <v>AK0736</v>
          </cell>
        </row>
        <row r="1536">
          <cell r="D1536" t="str">
            <v>AK0739</v>
          </cell>
        </row>
        <row r="1537">
          <cell r="D1537" t="str">
            <v>AK0810</v>
          </cell>
        </row>
        <row r="1538">
          <cell r="D1538" t="str">
            <v>AK0825</v>
          </cell>
        </row>
        <row r="1539">
          <cell r="D1539" t="str">
            <v>AK0875</v>
          </cell>
        </row>
        <row r="1540">
          <cell r="D1540" t="str">
            <v>AK0884</v>
          </cell>
        </row>
        <row r="1541">
          <cell r="D1541" t="str">
            <v>AK0939</v>
          </cell>
        </row>
        <row r="1542">
          <cell r="D1542" t="str">
            <v>AK1113</v>
          </cell>
        </row>
        <row r="1543">
          <cell r="D1543" t="str">
            <v>AK1156</v>
          </cell>
        </row>
        <row r="1544">
          <cell r="D1544" t="str">
            <v>AK1178</v>
          </cell>
        </row>
        <row r="1545">
          <cell r="D1545" t="str">
            <v>AK1184</v>
          </cell>
        </row>
        <row r="1546">
          <cell r="D1546" t="str">
            <v>AK1199</v>
          </cell>
        </row>
        <row r="1547">
          <cell r="D1547" t="str">
            <v>AK1205</v>
          </cell>
        </row>
        <row r="1548">
          <cell r="D1548" t="str">
            <v>AK1206</v>
          </cell>
        </row>
        <row r="1549">
          <cell r="D1549" t="str">
            <v>AK1209</v>
          </cell>
        </row>
        <row r="1550">
          <cell r="D1550" t="str">
            <v>AK1212</v>
          </cell>
        </row>
        <row r="1551">
          <cell r="D1551" t="str">
            <v>AK1214</v>
          </cell>
        </row>
        <row r="1552">
          <cell r="D1552" t="str">
            <v>AK1215</v>
          </cell>
        </row>
        <row r="1553">
          <cell r="D1553" t="str">
            <v>AK1217</v>
          </cell>
        </row>
        <row r="1554">
          <cell r="D1554" t="str">
            <v>AK1218</v>
          </cell>
        </row>
        <row r="1555">
          <cell r="D1555" t="str">
            <v>AK1219</v>
          </cell>
        </row>
        <row r="1556">
          <cell r="D1556" t="str">
            <v>AK1220</v>
          </cell>
        </row>
        <row r="1557">
          <cell r="D1557" t="str">
            <v>AK1222</v>
          </cell>
        </row>
        <row r="1558">
          <cell r="D1558" t="str">
            <v>AK1223</v>
          </cell>
        </row>
        <row r="1559">
          <cell r="D1559" t="str">
            <v>BM0001</v>
          </cell>
        </row>
        <row r="1560">
          <cell r="D1560" t="str">
            <v>BM0002</v>
          </cell>
        </row>
        <row r="1561">
          <cell r="D1561" t="str">
            <v>BM0003</v>
          </cell>
        </row>
        <row r="1562">
          <cell r="D1562" t="str">
            <v>BM0004</v>
          </cell>
        </row>
        <row r="1563">
          <cell r="D1563" t="str">
            <v>BM0005</v>
          </cell>
        </row>
        <row r="1564">
          <cell r="D1564" t="str">
            <v>BM0006</v>
          </cell>
        </row>
        <row r="1565">
          <cell r="D1565" t="str">
            <v>BM0007</v>
          </cell>
        </row>
        <row r="1566">
          <cell r="D1566" t="str">
            <v>BM0008</v>
          </cell>
        </row>
        <row r="1567">
          <cell r="D1567" t="str">
            <v>BM0009</v>
          </cell>
        </row>
        <row r="1568">
          <cell r="D1568" t="str">
            <v>BM0010</v>
          </cell>
        </row>
        <row r="1569">
          <cell r="D1569" t="str">
            <v>BM0011</v>
          </cell>
        </row>
        <row r="1570">
          <cell r="D1570" t="str">
            <v>BM0013</v>
          </cell>
        </row>
        <row r="1571">
          <cell r="D1571" t="str">
            <v>BM0018</v>
          </cell>
        </row>
        <row r="1572">
          <cell r="D1572" t="str">
            <v>CI0006</v>
          </cell>
        </row>
        <row r="1573">
          <cell r="D1573" t="str">
            <v>CI0010</v>
          </cell>
        </row>
        <row r="1574">
          <cell r="D1574" t="str">
            <v>CI0011</v>
          </cell>
        </row>
        <row r="1575">
          <cell r="D1575" t="str">
            <v>CI0013</v>
          </cell>
        </row>
        <row r="1576">
          <cell r="D1576" t="str">
            <v>IPF0001</v>
          </cell>
        </row>
        <row r="1577">
          <cell r="D1577" t="str">
            <v>IPF0002</v>
          </cell>
        </row>
        <row r="1578">
          <cell r="D1578" t="str">
            <v>IPF0003</v>
          </cell>
        </row>
        <row r="1579">
          <cell r="D1579" t="str">
            <v>IPF0004</v>
          </cell>
        </row>
        <row r="1580">
          <cell r="D1580" t="str">
            <v>IPF0005</v>
          </cell>
        </row>
        <row r="1581">
          <cell r="D1581" t="str">
            <v>IPF0006</v>
          </cell>
        </row>
        <row r="1582">
          <cell r="D1582" t="str">
            <v>IPF0007</v>
          </cell>
        </row>
        <row r="1583">
          <cell r="D1583" t="str">
            <v>IPF0008</v>
          </cell>
        </row>
        <row r="1584">
          <cell r="D1584" t="str">
            <v>IPF0009</v>
          </cell>
        </row>
        <row r="1585">
          <cell r="D1585" t="str">
            <v>IPF0010</v>
          </cell>
        </row>
        <row r="1586">
          <cell r="D1586" t="str">
            <v>IPF0011</v>
          </cell>
        </row>
        <row r="1587">
          <cell r="D1587" t="str">
            <v>IPF0012</v>
          </cell>
        </row>
        <row r="1588">
          <cell r="D1588" t="str">
            <v>IPF0015</v>
          </cell>
        </row>
        <row r="1589">
          <cell r="D1589" t="str">
            <v>IPF0016</v>
          </cell>
        </row>
        <row r="1590">
          <cell r="D1590" t="str">
            <v>IPF0017</v>
          </cell>
        </row>
        <row r="1591">
          <cell r="D1591" t="str">
            <v>KK0224</v>
          </cell>
        </row>
        <row r="1592">
          <cell r="D1592" t="str">
            <v>KK0228</v>
          </cell>
        </row>
        <row r="1593">
          <cell r="D1593" t="str">
            <v>KK0352</v>
          </cell>
        </row>
        <row r="1594">
          <cell r="D1594" t="str">
            <v>KK0361</v>
          </cell>
        </row>
        <row r="1595">
          <cell r="D1595" t="str">
            <v>KK0382</v>
          </cell>
        </row>
        <row r="1596">
          <cell r="D1596" t="str">
            <v>KK0491</v>
          </cell>
        </row>
        <row r="1597">
          <cell r="D1597" t="str">
            <v>KK0677</v>
          </cell>
        </row>
        <row r="1598">
          <cell r="D1598" t="str">
            <v>KK0713</v>
          </cell>
        </row>
        <row r="1599">
          <cell r="D1599" t="str">
            <v>KK0960</v>
          </cell>
        </row>
        <row r="1600">
          <cell r="D1600" t="str">
            <v>KK0964</v>
          </cell>
        </row>
        <row r="1601">
          <cell r="D1601" t="str">
            <v>KK0967</v>
          </cell>
        </row>
        <row r="1602">
          <cell r="D1602" t="str">
            <v>KK0970</v>
          </cell>
        </row>
        <row r="1603">
          <cell r="D1603" t="str">
            <v>KK1018</v>
          </cell>
        </row>
        <row r="1604">
          <cell r="D1604" t="str">
            <v>KK1171</v>
          </cell>
        </row>
        <row r="1605">
          <cell r="D1605" t="str">
            <v>KK1184</v>
          </cell>
        </row>
        <row r="1606">
          <cell r="D1606" t="str">
            <v>KK1200</v>
          </cell>
        </row>
        <row r="1607">
          <cell r="D1607" t="str">
            <v>KK1222</v>
          </cell>
        </row>
        <row r="1608">
          <cell r="D1608" t="str">
            <v>KK1294</v>
          </cell>
        </row>
        <row r="1609">
          <cell r="D1609" t="str">
            <v>KK1305</v>
          </cell>
        </row>
        <row r="1610">
          <cell r="D1610" t="str">
            <v>KK1426</v>
          </cell>
        </row>
        <row r="1611">
          <cell r="D1611" t="str">
            <v>KK1440</v>
          </cell>
        </row>
        <row r="1612">
          <cell r="D1612" t="str">
            <v>KK1453</v>
          </cell>
        </row>
        <row r="1613">
          <cell r="D1613" t="str">
            <v>KK1497</v>
          </cell>
        </row>
        <row r="1614">
          <cell r="D1614" t="str">
            <v>KK1505</v>
          </cell>
        </row>
        <row r="1615">
          <cell r="D1615" t="str">
            <v>KK1506</v>
          </cell>
        </row>
        <row r="1616">
          <cell r="D1616" t="str">
            <v>KK1511</v>
          </cell>
        </row>
        <row r="1617">
          <cell r="D1617" t="str">
            <v>KK1512</v>
          </cell>
        </row>
        <row r="1618">
          <cell r="D1618" t="str">
            <v>KK1513</v>
          </cell>
        </row>
        <row r="1619">
          <cell r="D1619" t="str">
            <v>KK1516</v>
          </cell>
        </row>
        <row r="1620">
          <cell r="D1620" t="str">
            <v>KK1517</v>
          </cell>
        </row>
        <row r="1621">
          <cell r="D1621" t="str">
            <v>KK1518</v>
          </cell>
        </row>
        <row r="1622">
          <cell r="D1622" t="str">
            <v>KK1519</v>
          </cell>
        </row>
        <row r="1623">
          <cell r="D1623" t="str">
            <v>KK1523</v>
          </cell>
        </row>
        <row r="1624">
          <cell r="D1624" t="str">
            <v>KK1525</v>
          </cell>
        </row>
        <row r="1625">
          <cell r="D1625" t="str">
            <v>KK1526</v>
          </cell>
        </row>
        <row r="1626">
          <cell r="D1626" t="str">
            <v>KK1527</v>
          </cell>
        </row>
        <row r="1627">
          <cell r="D1627" t="str">
            <v>KK1529</v>
          </cell>
        </row>
        <row r="1628">
          <cell r="D1628" t="str">
            <v>KK1534</v>
          </cell>
        </row>
        <row r="1629">
          <cell r="D1629" t="str">
            <v>KK1535</v>
          </cell>
        </row>
        <row r="1630">
          <cell r="D1630" t="str">
            <v>KK1538</v>
          </cell>
        </row>
        <row r="1631">
          <cell r="D1631" t="str">
            <v>KK1539</v>
          </cell>
        </row>
        <row r="1632">
          <cell r="D1632" t="str">
            <v>KK1540</v>
          </cell>
        </row>
        <row r="1633">
          <cell r="D1633" t="str">
            <v>KK1541</v>
          </cell>
        </row>
        <row r="1634">
          <cell r="D1634" t="str">
            <v>KK1542</v>
          </cell>
        </row>
        <row r="1635">
          <cell r="D1635" t="str">
            <v>KK1543</v>
          </cell>
        </row>
        <row r="1636">
          <cell r="D1636" t="str">
            <v>KK1544</v>
          </cell>
        </row>
        <row r="1637">
          <cell r="D1637" t="str">
            <v>KK1549</v>
          </cell>
        </row>
        <row r="1638">
          <cell r="D1638" t="str">
            <v>KK1552</v>
          </cell>
        </row>
        <row r="1639">
          <cell r="D1639" t="str">
            <v>KK1553</v>
          </cell>
        </row>
        <row r="1640">
          <cell r="D1640" t="str">
            <v>KK1554</v>
          </cell>
        </row>
        <row r="1641">
          <cell r="D1641" t="str">
            <v>KK1558</v>
          </cell>
        </row>
        <row r="1642">
          <cell r="D1642" t="str">
            <v>KK1559</v>
          </cell>
        </row>
        <row r="1643">
          <cell r="D1643" t="str">
            <v>KK1560</v>
          </cell>
        </row>
        <row r="1644">
          <cell r="D1644" t="str">
            <v>KK1565</v>
          </cell>
        </row>
        <row r="1645">
          <cell r="D1645" t="str">
            <v>KK1567</v>
          </cell>
        </row>
        <row r="1646">
          <cell r="D1646" t="str">
            <v>KK1571</v>
          </cell>
        </row>
        <row r="1647">
          <cell r="D1647" t="str">
            <v>KK1573</v>
          </cell>
        </row>
        <row r="1648">
          <cell r="D1648" t="str">
            <v>KK1575</v>
          </cell>
        </row>
        <row r="1649">
          <cell r="D1649" t="str">
            <v>KK1577</v>
          </cell>
        </row>
        <row r="1650">
          <cell r="D1650" t="str">
            <v>LD0001</v>
          </cell>
        </row>
        <row r="1651">
          <cell r="D1651" t="str">
            <v>LD0004</v>
          </cell>
        </row>
        <row r="1652">
          <cell r="D1652" t="str">
            <v>LD0008</v>
          </cell>
        </row>
        <row r="1653">
          <cell r="D1653" t="str">
            <v>LD0009</v>
          </cell>
        </row>
        <row r="1654">
          <cell r="D1654" t="str">
            <v>LD0010</v>
          </cell>
        </row>
        <row r="1655">
          <cell r="D1655" t="str">
            <v>LD0012</v>
          </cell>
        </row>
        <row r="1656">
          <cell r="D1656" t="str">
            <v>LD0014</v>
          </cell>
        </row>
        <row r="1657">
          <cell r="D1657" t="str">
            <v>LD0015</v>
          </cell>
        </row>
        <row r="1658">
          <cell r="D1658" t="str">
            <v>LD0019</v>
          </cell>
        </row>
        <row r="1659">
          <cell r="D1659" t="str">
            <v>LN0004</v>
          </cell>
        </row>
        <row r="1660">
          <cell r="D1660" t="str">
            <v>LN0080</v>
          </cell>
        </row>
        <row r="1661">
          <cell r="D1661" t="str">
            <v>LN0085</v>
          </cell>
        </row>
        <row r="1662">
          <cell r="D1662" t="str">
            <v>LN0086</v>
          </cell>
        </row>
        <row r="1663">
          <cell r="D1663" t="str">
            <v>LN0213</v>
          </cell>
        </row>
        <row r="1664">
          <cell r="D1664" t="str">
            <v>LN0242</v>
          </cell>
        </row>
        <row r="1665">
          <cell r="D1665" t="str">
            <v>LN0251</v>
          </cell>
        </row>
        <row r="1666">
          <cell r="D1666" t="str">
            <v>LN0279</v>
          </cell>
        </row>
        <row r="1667">
          <cell r="D1667" t="str">
            <v>LN0280</v>
          </cell>
        </row>
        <row r="1668">
          <cell r="D1668" t="str">
            <v>LN0334</v>
          </cell>
        </row>
        <row r="1669">
          <cell r="D1669" t="str">
            <v>LN0420</v>
          </cell>
        </row>
        <row r="1670">
          <cell r="D1670" t="str">
            <v>LN0442</v>
          </cell>
        </row>
        <row r="1671">
          <cell r="D1671" t="str">
            <v>LN0461</v>
          </cell>
        </row>
        <row r="1672">
          <cell r="D1672" t="str">
            <v>LN0462</v>
          </cell>
        </row>
        <row r="1673">
          <cell r="D1673" t="str">
            <v>LN0472</v>
          </cell>
        </row>
        <row r="1674">
          <cell r="D1674" t="str">
            <v>LN0479</v>
          </cell>
        </row>
        <row r="1675">
          <cell r="D1675" t="str">
            <v>LN0488</v>
          </cell>
        </row>
        <row r="1676">
          <cell r="D1676" t="str">
            <v>LN0517</v>
          </cell>
        </row>
        <row r="1677">
          <cell r="D1677" t="str">
            <v>LN0534</v>
          </cell>
        </row>
        <row r="1678">
          <cell r="D1678" t="str">
            <v>LN0535</v>
          </cell>
        </row>
        <row r="1679">
          <cell r="D1679" t="str">
            <v>LN0590</v>
          </cell>
        </row>
        <row r="1680">
          <cell r="D1680" t="str">
            <v>LN0591</v>
          </cell>
        </row>
        <row r="1681">
          <cell r="D1681" t="str">
            <v>LN0610</v>
          </cell>
        </row>
        <row r="1682">
          <cell r="D1682" t="str">
            <v>LN0627</v>
          </cell>
        </row>
        <row r="1683">
          <cell r="D1683" t="str">
            <v>LN0630</v>
          </cell>
        </row>
        <row r="1684">
          <cell r="D1684" t="str">
            <v>LN0636</v>
          </cell>
        </row>
        <row r="1685">
          <cell r="D1685" t="str">
            <v>LN0640</v>
          </cell>
        </row>
        <row r="1686">
          <cell r="D1686" t="str">
            <v>LN0641</v>
          </cell>
        </row>
        <row r="1687">
          <cell r="D1687" t="str">
            <v>LN0642</v>
          </cell>
        </row>
        <row r="1688">
          <cell r="D1688" t="str">
            <v>LN0661</v>
          </cell>
        </row>
        <row r="1689">
          <cell r="D1689" t="str">
            <v>LN0666</v>
          </cell>
        </row>
        <row r="1690">
          <cell r="D1690" t="str">
            <v>LN0675</v>
          </cell>
        </row>
        <row r="1691">
          <cell r="D1691" t="str">
            <v>LN0677</v>
          </cell>
        </row>
        <row r="1692">
          <cell r="D1692" t="str">
            <v>LN0678</v>
          </cell>
        </row>
        <row r="1693">
          <cell r="D1693" t="str">
            <v>LN0691</v>
          </cell>
        </row>
        <row r="1694">
          <cell r="D1694" t="str">
            <v>LN0695</v>
          </cell>
        </row>
        <row r="1695">
          <cell r="D1695" t="str">
            <v>LN0712</v>
          </cell>
        </row>
        <row r="1696">
          <cell r="D1696" t="str">
            <v>LN0716</v>
          </cell>
        </row>
        <row r="1697">
          <cell r="D1697" t="str">
            <v>LN0732</v>
          </cell>
        </row>
        <row r="1698">
          <cell r="D1698" t="str">
            <v>LN0736</v>
          </cell>
        </row>
        <row r="1699">
          <cell r="D1699" t="str">
            <v>LN0742</v>
          </cell>
        </row>
        <row r="1700">
          <cell r="D1700" t="str">
            <v>LN0758</v>
          </cell>
        </row>
        <row r="1701">
          <cell r="D1701" t="str">
            <v>LN0765</v>
          </cell>
        </row>
        <row r="1702">
          <cell r="D1702" t="str">
            <v>LN0779</v>
          </cell>
        </row>
        <row r="1703">
          <cell r="D1703" t="str">
            <v>LN0804</v>
          </cell>
        </row>
        <row r="1704">
          <cell r="D1704" t="str">
            <v>LN0814</v>
          </cell>
        </row>
        <row r="1705">
          <cell r="D1705" t="str">
            <v>LN0815</v>
          </cell>
        </row>
        <row r="1706">
          <cell r="D1706" t="str">
            <v>LN0816</v>
          </cell>
        </row>
        <row r="1707">
          <cell r="D1707" t="str">
            <v>LN0817</v>
          </cell>
        </row>
        <row r="1708">
          <cell r="D1708" t="str">
            <v>LN0820</v>
          </cell>
        </row>
        <row r="1709">
          <cell r="D1709" t="str">
            <v>LN0831</v>
          </cell>
        </row>
        <row r="1710">
          <cell r="D1710" t="str">
            <v>LN0841</v>
          </cell>
        </row>
        <row r="1711">
          <cell r="D1711" t="str">
            <v>LN0844</v>
          </cell>
        </row>
        <row r="1712">
          <cell r="D1712" t="str">
            <v>LN0847</v>
          </cell>
        </row>
        <row r="1713">
          <cell r="D1713" t="str">
            <v>LN0858</v>
          </cell>
        </row>
        <row r="1714">
          <cell r="D1714" t="str">
            <v>LN0859</v>
          </cell>
        </row>
        <row r="1715">
          <cell r="D1715" t="str">
            <v>LN0861</v>
          </cell>
        </row>
        <row r="1716">
          <cell r="D1716" t="str">
            <v>LN0866</v>
          </cell>
        </row>
        <row r="1717">
          <cell r="D1717" t="str">
            <v>LN0867</v>
          </cell>
        </row>
        <row r="1718">
          <cell r="D1718" t="str">
            <v>LN0869</v>
          </cell>
        </row>
        <row r="1719">
          <cell r="D1719" t="str">
            <v>LN0870</v>
          </cell>
        </row>
        <row r="1720">
          <cell r="D1720" t="str">
            <v>LN0898</v>
          </cell>
        </row>
        <row r="1721">
          <cell r="D1721" t="str">
            <v>LN0905</v>
          </cell>
        </row>
        <row r="1722">
          <cell r="D1722" t="str">
            <v>LN0910</v>
          </cell>
        </row>
        <row r="1723">
          <cell r="D1723" t="str">
            <v>LN0912</v>
          </cell>
        </row>
        <row r="1724">
          <cell r="D1724" t="str">
            <v>LN0913</v>
          </cell>
        </row>
        <row r="1725">
          <cell r="D1725" t="str">
            <v>LN0918</v>
          </cell>
        </row>
        <row r="1726">
          <cell r="D1726" t="str">
            <v>LN0921</v>
          </cell>
        </row>
        <row r="1727">
          <cell r="D1727" t="str">
            <v>LN0922</v>
          </cell>
        </row>
        <row r="1728">
          <cell r="D1728" t="str">
            <v>LN0926</v>
          </cell>
        </row>
        <row r="1729">
          <cell r="D1729" t="str">
            <v>LN0934</v>
          </cell>
        </row>
        <row r="1730">
          <cell r="D1730" t="str">
            <v>LN0945</v>
          </cell>
        </row>
        <row r="1731">
          <cell r="D1731" t="str">
            <v>LN0950</v>
          </cell>
        </row>
        <row r="1732">
          <cell r="D1732" t="str">
            <v>LN0952</v>
          </cell>
        </row>
        <row r="1733">
          <cell r="D1733" t="str">
            <v>LN0953</v>
          </cell>
        </row>
        <row r="1734">
          <cell r="D1734" t="str">
            <v>LN0955</v>
          </cell>
        </row>
        <row r="1735">
          <cell r="D1735" t="str">
            <v>LN0956</v>
          </cell>
        </row>
        <row r="1736">
          <cell r="D1736" t="str">
            <v>LN0957</v>
          </cell>
        </row>
        <row r="1737">
          <cell r="D1737" t="str">
            <v>LN0958</v>
          </cell>
        </row>
        <row r="1738">
          <cell r="D1738" t="str">
            <v>LN0961</v>
          </cell>
        </row>
        <row r="1739">
          <cell r="D1739" t="str">
            <v>LN0963</v>
          </cell>
        </row>
        <row r="1740">
          <cell r="D1740" t="str">
            <v>LN0965</v>
          </cell>
        </row>
        <row r="1741">
          <cell r="D1741" t="str">
            <v>LN0967</v>
          </cell>
        </row>
        <row r="1742">
          <cell r="D1742" t="str">
            <v>LN0968</v>
          </cell>
        </row>
        <row r="1743">
          <cell r="D1743" t="str">
            <v>LN0970</v>
          </cell>
        </row>
        <row r="1744">
          <cell r="D1744" t="str">
            <v>LN0971</v>
          </cell>
        </row>
        <row r="1745">
          <cell r="D1745" t="str">
            <v>LN0972</v>
          </cell>
        </row>
        <row r="1746">
          <cell r="D1746" t="str">
            <v>LN0973</v>
          </cell>
        </row>
        <row r="1747">
          <cell r="D1747" t="str">
            <v>LN0975</v>
          </cell>
        </row>
        <row r="1748">
          <cell r="D1748" t="str">
            <v>LN0976</v>
          </cell>
        </row>
        <row r="1749">
          <cell r="D1749" t="str">
            <v>LN0978</v>
          </cell>
        </row>
        <row r="1750">
          <cell r="D1750" t="str">
            <v>LN0979</v>
          </cell>
        </row>
        <row r="1751">
          <cell r="D1751" t="str">
            <v>LN0980</v>
          </cell>
        </row>
        <row r="1752">
          <cell r="D1752" t="str">
            <v>LN0981</v>
          </cell>
        </row>
        <row r="1753">
          <cell r="D1753" t="str">
            <v>LN0982</v>
          </cell>
        </row>
        <row r="1754">
          <cell r="D1754" t="str">
            <v>LN0983</v>
          </cell>
        </row>
        <row r="1755">
          <cell r="D1755" t="str">
            <v>LN0984</v>
          </cell>
        </row>
        <row r="1756">
          <cell r="D1756" t="str">
            <v>LN0985</v>
          </cell>
        </row>
        <row r="1757">
          <cell r="D1757" t="str">
            <v>LN0986</v>
          </cell>
        </row>
        <row r="1758">
          <cell r="D1758" t="str">
            <v>LN0987</v>
          </cell>
        </row>
        <row r="1759">
          <cell r="D1759" t="str">
            <v>LN0988</v>
          </cell>
        </row>
        <row r="1760">
          <cell r="D1760" t="str">
            <v>LN0989</v>
          </cell>
        </row>
        <row r="1761">
          <cell r="D1761" t="str">
            <v>LN0990</v>
          </cell>
        </row>
        <row r="1762">
          <cell r="D1762" t="str">
            <v>LN0991</v>
          </cell>
        </row>
        <row r="1763">
          <cell r="D1763" t="str">
            <v>LN0993</v>
          </cell>
        </row>
        <row r="1764">
          <cell r="D1764" t="str">
            <v>LN0994</v>
          </cell>
        </row>
        <row r="1765">
          <cell r="D1765" t="str">
            <v>LN0995</v>
          </cell>
        </row>
        <row r="1766">
          <cell r="D1766" t="str">
            <v>LN0996</v>
          </cell>
        </row>
        <row r="1767">
          <cell r="D1767" t="str">
            <v>LN0998</v>
          </cell>
        </row>
        <row r="1768">
          <cell r="D1768" t="str">
            <v>LN0999</v>
          </cell>
        </row>
        <row r="1769">
          <cell r="D1769" t="str">
            <v>LN1000</v>
          </cell>
        </row>
        <row r="1770">
          <cell r="D1770" t="str">
            <v>LN1001</v>
          </cell>
        </row>
        <row r="1771">
          <cell r="D1771" t="str">
            <v>LN1002</v>
          </cell>
        </row>
        <row r="1772">
          <cell r="D1772" t="str">
            <v>LN1003</v>
          </cell>
        </row>
        <row r="1773">
          <cell r="D1773" t="str">
            <v>LN1004</v>
          </cell>
        </row>
        <row r="1774">
          <cell r="D1774" t="str">
            <v>LN1005</v>
          </cell>
        </row>
        <row r="1775">
          <cell r="D1775" t="str">
            <v>LN1006</v>
          </cell>
        </row>
        <row r="1776">
          <cell r="D1776" t="str">
            <v>LN1007</v>
          </cell>
        </row>
        <row r="1777">
          <cell r="D1777" t="str">
            <v>LN1008</v>
          </cell>
        </row>
        <row r="1778">
          <cell r="D1778" t="str">
            <v>LN1009</v>
          </cell>
        </row>
        <row r="1779">
          <cell r="D1779" t="str">
            <v>LN1010</v>
          </cell>
        </row>
        <row r="1780">
          <cell r="D1780" t="str">
            <v>LN1011</v>
          </cell>
        </row>
        <row r="1781">
          <cell r="D1781" t="str">
            <v>LN1013</v>
          </cell>
        </row>
        <row r="1782">
          <cell r="D1782" t="str">
            <v>LN1016</v>
          </cell>
        </row>
        <row r="1783">
          <cell r="D1783" t="str">
            <v>LN1017</v>
          </cell>
        </row>
        <row r="1784">
          <cell r="D1784" t="str">
            <v>LN1018</v>
          </cell>
        </row>
        <row r="1785">
          <cell r="D1785" t="str">
            <v>LN1019</v>
          </cell>
        </row>
        <row r="1786">
          <cell r="D1786" t="str">
            <v>LN1020</v>
          </cell>
        </row>
        <row r="1787">
          <cell r="D1787" t="str">
            <v>LN1021</v>
          </cell>
        </row>
        <row r="1788">
          <cell r="D1788" t="str">
            <v>LN1022</v>
          </cell>
        </row>
        <row r="1789">
          <cell r="D1789" t="str">
            <v>LN1023</v>
          </cell>
        </row>
        <row r="1790">
          <cell r="D1790" t="str">
            <v>LN1024</v>
          </cell>
        </row>
        <row r="1791">
          <cell r="D1791" t="str">
            <v>LN1025</v>
          </cell>
        </row>
        <row r="1792">
          <cell r="D1792" t="str">
            <v>LN1026</v>
          </cell>
        </row>
        <row r="1793">
          <cell r="D1793" t="str">
            <v>LN1028</v>
          </cell>
        </row>
        <row r="1794">
          <cell r="D1794" t="str">
            <v>LN1029</v>
          </cell>
        </row>
        <row r="1795">
          <cell r="D1795" t="str">
            <v>LN1030</v>
          </cell>
        </row>
        <row r="1796">
          <cell r="D1796" t="str">
            <v>LN1031</v>
          </cell>
        </row>
        <row r="1797">
          <cell r="D1797" t="str">
            <v>LN1032</v>
          </cell>
        </row>
        <row r="1798">
          <cell r="D1798" t="str">
            <v>LN1033</v>
          </cell>
        </row>
        <row r="1799">
          <cell r="D1799" t="str">
            <v>LN1036</v>
          </cell>
        </row>
        <row r="1800">
          <cell r="D1800" t="str">
            <v>LN1038</v>
          </cell>
        </row>
        <row r="1801">
          <cell r="D1801" t="str">
            <v>LN1039</v>
          </cell>
        </row>
        <row r="1802">
          <cell r="D1802" t="str">
            <v>LN1040</v>
          </cell>
        </row>
        <row r="1803">
          <cell r="D1803" t="str">
            <v>LN1041</v>
          </cell>
        </row>
        <row r="1804">
          <cell r="D1804" t="str">
            <v>LN1042</v>
          </cell>
        </row>
        <row r="1805">
          <cell r="D1805" t="str">
            <v>LN1043</v>
          </cell>
        </row>
        <row r="1806">
          <cell r="D1806" t="str">
            <v>LN1044</v>
          </cell>
        </row>
        <row r="1807">
          <cell r="D1807" t="str">
            <v>LN1045</v>
          </cell>
        </row>
        <row r="1808">
          <cell r="D1808" t="str">
            <v>LN1047</v>
          </cell>
        </row>
        <row r="1809">
          <cell r="D1809" t="str">
            <v>LN1048</v>
          </cell>
        </row>
        <row r="1810">
          <cell r="D1810" t="str">
            <v>LN1049</v>
          </cell>
        </row>
        <row r="1811">
          <cell r="D1811" t="str">
            <v>LN1050</v>
          </cell>
        </row>
        <row r="1812">
          <cell r="D1812" t="str">
            <v>LN1051</v>
          </cell>
        </row>
        <row r="1813">
          <cell r="D1813" t="str">
            <v>LN1052</v>
          </cell>
        </row>
        <row r="1814">
          <cell r="D1814" t="str">
            <v>LN1053</v>
          </cell>
        </row>
        <row r="1815">
          <cell r="D1815" t="str">
            <v>LN1054</v>
          </cell>
        </row>
        <row r="1816">
          <cell r="D1816" t="str">
            <v>LN1056</v>
          </cell>
        </row>
        <row r="1817">
          <cell r="D1817" t="str">
            <v>LN1057</v>
          </cell>
        </row>
        <row r="1818">
          <cell r="D1818" t="str">
            <v>LN1058</v>
          </cell>
        </row>
        <row r="1819">
          <cell r="D1819" t="str">
            <v>LN1059</v>
          </cell>
        </row>
        <row r="1820">
          <cell r="D1820" t="str">
            <v>LN1060</v>
          </cell>
        </row>
        <row r="1821">
          <cell r="D1821" t="str">
            <v>LN1061</v>
          </cell>
        </row>
        <row r="1822">
          <cell r="D1822" t="str">
            <v>LN1062</v>
          </cell>
        </row>
        <row r="1823">
          <cell r="D1823" t="str">
            <v>LN1063</v>
          </cell>
        </row>
        <row r="1824">
          <cell r="D1824" t="str">
            <v>LN1064</v>
          </cell>
        </row>
        <row r="1825">
          <cell r="D1825" t="str">
            <v>LN1065</v>
          </cell>
        </row>
        <row r="1826">
          <cell r="D1826" t="str">
            <v>LN1066</v>
          </cell>
        </row>
        <row r="1827">
          <cell r="D1827" t="str">
            <v>LN1067</v>
          </cell>
        </row>
        <row r="1828">
          <cell r="D1828" t="str">
            <v>LN1068</v>
          </cell>
        </row>
        <row r="1829">
          <cell r="D1829" t="str">
            <v>LN1069</v>
          </cell>
        </row>
        <row r="1830">
          <cell r="D1830" t="str">
            <v>LN1070</v>
          </cell>
        </row>
        <row r="1831">
          <cell r="D1831" t="str">
            <v>LN1071</v>
          </cell>
        </row>
        <row r="1832">
          <cell r="D1832" t="str">
            <v>LN1075</v>
          </cell>
        </row>
        <row r="1833">
          <cell r="D1833" t="str">
            <v>LN1076</v>
          </cell>
        </row>
        <row r="1834">
          <cell r="D1834" t="str">
            <v>LN1077</v>
          </cell>
        </row>
        <row r="1835">
          <cell r="D1835" t="str">
            <v>LN1078</v>
          </cell>
        </row>
        <row r="1836">
          <cell r="D1836" t="str">
            <v>LN1079</v>
          </cell>
        </row>
        <row r="1837">
          <cell r="D1837" t="str">
            <v>LN1080</v>
          </cell>
        </row>
        <row r="1838">
          <cell r="D1838" t="str">
            <v>LN1081</v>
          </cell>
        </row>
        <row r="1839">
          <cell r="D1839" t="str">
            <v>LN1082</v>
          </cell>
        </row>
        <row r="1840">
          <cell r="D1840" t="str">
            <v>LN1083</v>
          </cell>
        </row>
        <row r="1841">
          <cell r="D1841" t="str">
            <v>LN1084</v>
          </cell>
        </row>
        <row r="1842">
          <cell r="D1842" t="str">
            <v>LN1085</v>
          </cell>
        </row>
        <row r="1843">
          <cell r="D1843" t="str">
            <v>LN1086</v>
          </cell>
        </row>
        <row r="1844">
          <cell r="D1844" t="str">
            <v>LN1087</v>
          </cell>
        </row>
        <row r="1845">
          <cell r="D1845" t="str">
            <v>LN1088</v>
          </cell>
        </row>
        <row r="1846">
          <cell r="D1846" t="str">
            <v>LN1089</v>
          </cell>
        </row>
        <row r="1847">
          <cell r="D1847" t="str">
            <v>LN1090</v>
          </cell>
        </row>
        <row r="1848">
          <cell r="D1848" t="str">
            <v>LN1091</v>
          </cell>
        </row>
        <row r="1849">
          <cell r="D1849" t="str">
            <v>LN1093</v>
          </cell>
        </row>
        <row r="1850">
          <cell r="D1850" t="str">
            <v>LN1095</v>
          </cell>
        </row>
        <row r="1851">
          <cell r="D1851" t="str">
            <v>LN1096</v>
          </cell>
        </row>
        <row r="1852">
          <cell r="D1852" t="str">
            <v>LN1097</v>
          </cell>
        </row>
        <row r="1853">
          <cell r="D1853" t="str">
            <v>LN1098</v>
          </cell>
        </row>
        <row r="1854">
          <cell r="D1854" t="str">
            <v>LN1100</v>
          </cell>
        </row>
        <row r="1855">
          <cell r="D1855" t="str">
            <v>LN1102</v>
          </cell>
        </row>
        <row r="1856">
          <cell r="D1856" t="str">
            <v>LN1103</v>
          </cell>
        </row>
        <row r="1857">
          <cell r="D1857" t="str">
            <v>LN1104</v>
          </cell>
        </row>
        <row r="1858">
          <cell r="D1858" t="str">
            <v>LN1106</v>
          </cell>
        </row>
        <row r="1859">
          <cell r="D1859" t="str">
            <v>LN1107</v>
          </cell>
        </row>
        <row r="1860">
          <cell r="D1860" t="str">
            <v>LN1108</v>
          </cell>
        </row>
        <row r="1861">
          <cell r="D1861" t="str">
            <v>LN1109</v>
          </cell>
        </row>
        <row r="1862">
          <cell r="D1862" t="str">
            <v>LN1110</v>
          </cell>
        </row>
        <row r="1863">
          <cell r="D1863" t="str">
            <v>LN1111</v>
          </cell>
        </row>
        <row r="1864">
          <cell r="D1864" t="str">
            <v>LN1112</v>
          </cell>
        </row>
        <row r="1865">
          <cell r="D1865" t="str">
            <v>LN1113</v>
          </cell>
        </row>
        <row r="1866">
          <cell r="D1866" t="str">
            <v>LN1114</v>
          </cell>
        </row>
        <row r="1867">
          <cell r="D1867" t="str">
            <v>LN1115</v>
          </cell>
        </row>
        <row r="1868">
          <cell r="D1868" t="str">
            <v>LN1116</v>
          </cell>
        </row>
        <row r="1869">
          <cell r="D1869" t="str">
            <v>LN1117</v>
          </cell>
        </row>
        <row r="1870">
          <cell r="D1870" t="str">
            <v>LN1118</v>
          </cell>
        </row>
        <row r="1871">
          <cell r="D1871" t="str">
            <v>LN1119</v>
          </cell>
        </row>
        <row r="1872">
          <cell r="D1872" t="str">
            <v>LN1120</v>
          </cell>
        </row>
        <row r="1873">
          <cell r="D1873" t="str">
            <v>LN1123</v>
          </cell>
        </row>
        <row r="1874">
          <cell r="D1874" t="str">
            <v>LN1124</v>
          </cell>
        </row>
        <row r="1875">
          <cell r="D1875" t="str">
            <v>LN1125</v>
          </cell>
        </row>
        <row r="1876">
          <cell r="D1876" t="str">
            <v>LN1128</v>
          </cell>
        </row>
        <row r="1877">
          <cell r="D1877" t="str">
            <v>LN1129</v>
          </cell>
        </row>
        <row r="1878">
          <cell r="D1878" t="str">
            <v>LN1130</v>
          </cell>
        </row>
        <row r="1879">
          <cell r="D1879" t="str">
            <v>LN1131</v>
          </cell>
        </row>
        <row r="1880">
          <cell r="D1880" t="str">
            <v>LN1132</v>
          </cell>
        </row>
        <row r="1881">
          <cell r="D1881" t="str">
            <v>LN1133</v>
          </cell>
        </row>
        <row r="1882">
          <cell r="D1882" t="str">
            <v>LN1135</v>
          </cell>
        </row>
        <row r="1883">
          <cell r="D1883" t="str">
            <v>LN1136</v>
          </cell>
        </row>
        <row r="1884">
          <cell r="D1884" t="str">
            <v>LN1138</v>
          </cell>
        </row>
        <row r="1885">
          <cell r="D1885" t="str">
            <v>LN1140</v>
          </cell>
        </row>
        <row r="1886">
          <cell r="D1886" t="str">
            <v>LN1141</v>
          </cell>
        </row>
        <row r="1887">
          <cell r="D1887" t="str">
            <v>LN1142</v>
          </cell>
        </row>
        <row r="1888">
          <cell r="D1888" t="str">
            <v>LN1143</v>
          </cell>
        </row>
        <row r="1889">
          <cell r="D1889" t="str">
            <v>LN1144</v>
          </cell>
        </row>
        <row r="1890">
          <cell r="D1890" t="str">
            <v>LN1145</v>
          </cell>
        </row>
        <row r="1891">
          <cell r="D1891" t="str">
            <v>LN1146</v>
          </cell>
        </row>
        <row r="1892">
          <cell r="D1892" t="str">
            <v>LN1147</v>
          </cell>
        </row>
        <row r="1893">
          <cell r="D1893" t="str">
            <v>LN1148</v>
          </cell>
        </row>
        <row r="1894">
          <cell r="D1894" t="str">
            <v>LN1149</v>
          </cell>
        </row>
        <row r="1895">
          <cell r="D1895" t="str">
            <v>LN1150</v>
          </cell>
        </row>
        <row r="1896">
          <cell r="D1896" t="str">
            <v>LN1151</v>
          </cell>
        </row>
        <row r="1897">
          <cell r="D1897" t="str">
            <v>LN1152</v>
          </cell>
        </row>
        <row r="1898">
          <cell r="D1898" t="str">
            <v>LN1153</v>
          </cell>
        </row>
        <row r="1899">
          <cell r="D1899" t="str">
            <v>LN1154</v>
          </cell>
        </row>
        <row r="1900">
          <cell r="D1900" t="str">
            <v>LN1155</v>
          </cell>
        </row>
        <row r="1901">
          <cell r="D1901" t="str">
            <v>LN1156</v>
          </cell>
        </row>
        <row r="1902">
          <cell r="D1902" t="str">
            <v>LN1157</v>
          </cell>
        </row>
        <row r="1903">
          <cell r="D1903" t="str">
            <v>LN1158</v>
          </cell>
        </row>
        <row r="1904">
          <cell r="D1904" t="str">
            <v>LN1159</v>
          </cell>
        </row>
        <row r="1905">
          <cell r="D1905" t="str">
            <v>LN1160</v>
          </cell>
        </row>
        <row r="1906">
          <cell r="D1906" t="str">
            <v>LN1161</v>
          </cell>
        </row>
        <row r="1907">
          <cell r="D1907" t="str">
            <v>LN1162</v>
          </cell>
        </row>
        <row r="1908">
          <cell r="D1908" t="str">
            <v>LN1163</v>
          </cell>
        </row>
        <row r="1909">
          <cell r="D1909" t="str">
            <v>LN1164</v>
          </cell>
        </row>
        <row r="1910">
          <cell r="D1910" t="str">
            <v>LN1165</v>
          </cell>
        </row>
        <row r="1911">
          <cell r="D1911" t="str">
            <v>LN1168</v>
          </cell>
        </row>
        <row r="1912">
          <cell r="D1912" t="str">
            <v>LN1169</v>
          </cell>
        </row>
        <row r="1913">
          <cell r="D1913" t="str">
            <v>LN1170</v>
          </cell>
        </row>
        <row r="1914">
          <cell r="D1914" t="str">
            <v>LN1171</v>
          </cell>
        </row>
        <row r="1915">
          <cell r="D1915" t="str">
            <v>LN1172</v>
          </cell>
        </row>
        <row r="1916">
          <cell r="D1916" t="str">
            <v>LN1173</v>
          </cell>
        </row>
        <row r="1917">
          <cell r="D1917" t="str">
            <v>LN1174</v>
          </cell>
        </row>
        <row r="1918">
          <cell r="D1918" t="str">
            <v>LN1175</v>
          </cell>
        </row>
        <row r="1919">
          <cell r="D1919" t="str">
            <v>LN1176</v>
          </cell>
        </row>
        <row r="1920">
          <cell r="D1920" t="str">
            <v>LN1177</v>
          </cell>
        </row>
        <row r="1921">
          <cell r="D1921" t="str">
            <v>LN1178</v>
          </cell>
        </row>
        <row r="1922">
          <cell r="D1922" t="str">
            <v>LN1179</v>
          </cell>
        </row>
        <row r="1923">
          <cell r="D1923" t="str">
            <v>LN1180</v>
          </cell>
        </row>
        <row r="1924">
          <cell r="D1924" t="str">
            <v>LN1181</v>
          </cell>
        </row>
        <row r="1925">
          <cell r="D1925" t="str">
            <v>LN1182</v>
          </cell>
        </row>
        <row r="1926">
          <cell r="D1926" t="str">
            <v>LN1184</v>
          </cell>
        </row>
        <row r="1927">
          <cell r="D1927" t="str">
            <v>LN1185</v>
          </cell>
        </row>
        <row r="1928">
          <cell r="D1928" t="str">
            <v>LN1186</v>
          </cell>
        </row>
        <row r="1929">
          <cell r="D1929" t="str">
            <v>LN1187</v>
          </cell>
        </row>
        <row r="1930">
          <cell r="D1930" t="str">
            <v>LN1188</v>
          </cell>
        </row>
        <row r="1931">
          <cell r="D1931" t="str">
            <v>LN1189</v>
          </cell>
        </row>
        <row r="1932">
          <cell r="D1932" t="str">
            <v>LN1190</v>
          </cell>
        </row>
        <row r="1933">
          <cell r="D1933" t="str">
            <v>LN1191</v>
          </cell>
        </row>
        <row r="1934">
          <cell r="D1934" t="str">
            <v>LN1193</v>
          </cell>
        </row>
        <row r="1935">
          <cell r="D1935" t="str">
            <v>LN1194</v>
          </cell>
        </row>
        <row r="1936">
          <cell r="D1936" t="str">
            <v>LN1196</v>
          </cell>
        </row>
        <row r="1937">
          <cell r="D1937" t="str">
            <v>LN1197</v>
          </cell>
        </row>
        <row r="1938">
          <cell r="D1938" t="str">
            <v>LN1198</v>
          </cell>
        </row>
        <row r="1939">
          <cell r="D1939" t="str">
            <v>LN1199</v>
          </cell>
        </row>
        <row r="1940">
          <cell r="D1940" t="str">
            <v>LN1200</v>
          </cell>
        </row>
        <row r="1941">
          <cell r="D1941" t="str">
            <v>LN1201</v>
          </cell>
        </row>
        <row r="1942">
          <cell r="D1942" t="str">
            <v>LN1202</v>
          </cell>
        </row>
        <row r="1943">
          <cell r="D1943" t="str">
            <v>LN1203</v>
          </cell>
        </row>
        <row r="1944">
          <cell r="D1944" t="str">
            <v>LN1204</v>
          </cell>
        </row>
        <row r="1945">
          <cell r="D1945" t="str">
            <v>LN1208</v>
          </cell>
        </row>
        <row r="1946">
          <cell r="D1946" t="str">
            <v>LN1210</v>
          </cell>
        </row>
        <row r="1947">
          <cell r="D1947" t="str">
            <v>LN1214</v>
          </cell>
        </row>
        <row r="1948">
          <cell r="D1948" t="str">
            <v>LN1215</v>
          </cell>
        </row>
        <row r="1949">
          <cell r="D1949" t="str">
            <v>LN1219</v>
          </cell>
        </row>
        <row r="1950">
          <cell r="D1950" t="str">
            <v>LN1222</v>
          </cell>
        </row>
        <row r="1951">
          <cell r="D1951" t="str">
            <v>LN1225</v>
          </cell>
        </row>
        <row r="1952">
          <cell r="D1952" t="str">
            <v>LN1227</v>
          </cell>
        </row>
        <row r="1953">
          <cell r="D1953" t="str">
            <v>LN1228</v>
          </cell>
        </row>
        <row r="1954">
          <cell r="D1954" t="str">
            <v>LN1229</v>
          </cell>
        </row>
        <row r="1955">
          <cell r="D1955" t="str">
            <v>LN1230</v>
          </cell>
        </row>
        <row r="1956">
          <cell r="D1956" t="str">
            <v>LN1231</v>
          </cell>
        </row>
        <row r="1957">
          <cell r="D1957" t="str">
            <v>LN1235</v>
          </cell>
        </row>
        <row r="1958">
          <cell r="D1958" t="str">
            <v>LN1238</v>
          </cell>
        </row>
        <row r="1959">
          <cell r="D1959" t="str">
            <v>LN1239</v>
          </cell>
        </row>
        <row r="1960">
          <cell r="D1960" t="str">
            <v>LN1241</v>
          </cell>
        </row>
        <row r="1961">
          <cell r="D1961" t="str">
            <v>LN1242</v>
          </cell>
        </row>
        <row r="1962">
          <cell r="D1962" t="str">
            <v>LN1243</v>
          </cell>
        </row>
        <row r="1963">
          <cell r="D1963" t="str">
            <v>LN1244</v>
          </cell>
        </row>
        <row r="1964">
          <cell r="D1964" t="str">
            <v>LN1245</v>
          </cell>
        </row>
        <row r="1965">
          <cell r="D1965" t="str">
            <v>LN1246</v>
          </cell>
        </row>
        <row r="1966">
          <cell r="D1966" t="str">
            <v>LN1247</v>
          </cell>
        </row>
        <row r="1967">
          <cell r="D1967" t="str">
            <v>LN1248</v>
          </cell>
        </row>
        <row r="1968">
          <cell r="D1968" t="str">
            <v>LN1249</v>
          </cell>
        </row>
        <row r="1969">
          <cell r="D1969" t="str">
            <v>LN1250</v>
          </cell>
        </row>
        <row r="1970">
          <cell r="D1970" t="str">
            <v>LN1251</v>
          </cell>
        </row>
        <row r="1971">
          <cell r="D1971" t="str">
            <v>LN1252</v>
          </cell>
        </row>
        <row r="1972">
          <cell r="D1972" t="str">
            <v>LN1255</v>
          </cell>
        </row>
        <row r="1973">
          <cell r="D1973" t="str">
            <v>LN1257</v>
          </cell>
        </row>
        <row r="1974">
          <cell r="D1974" t="str">
            <v>LN1258</v>
          </cell>
        </row>
        <row r="1975">
          <cell r="D1975" t="str">
            <v>LN1261</v>
          </cell>
        </row>
        <row r="1976">
          <cell r="D1976" t="str">
            <v>LN1263</v>
          </cell>
        </row>
        <row r="1977">
          <cell r="D1977" t="str">
            <v>LN1265</v>
          </cell>
        </row>
        <row r="1978">
          <cell r="D1978" t="str">
            <v>LN1271</v>
          </cell>
        </row>
        <row r="1979">
          <cell r="D1979" t="str">
            <v>LN1274</v>
          </cell>
        </row>
        <row r="1980">
          <cell r="D1980" t="str">
            <v>LN1277</v>
          </cell>
        </row>
        <row r="1981">
          <cell r="D1981" t="str">
            <v>LN1282</v>
          </cell>
        </row>
        <row r="1982">
          <cell r="D1982" t="str">
            <v>LN1283</v>
          </cell>
        </row>
        <row r="1983">
          <cell r="D1983" t="str">
            <v>LN1284</v>
          </cell>
        </row>
        <row r="1984">
          <cell r="D1984" t="str">
            <v>LN1285</v>
          </cell>
        </row>
        <row r="1985">
          <cell r="D1985" t="str">
            <v>LN1286</v>
          </cell>
        </row>
        <row r="1986">
          <cell r="D1986" t="str">
            <v>LN1288</v>
          </cell>
        </row>
        <row r="1987">
          <cell r="D1987" t="str">
            <v>LN1289</v>
          </cell>
        </row>
        <row r="1988">
          <cell r="D1988" t="str">
            <v>LN1290</v>
          </cell>
        </row>
        <row r="1989">
          <cell r="D1989" t="str">
            <v>LN1293</v>
          </cell>
        </row>
        <row r="1990">
          <cell r="D1990" t="str">
            <v>LN1294</v>
          </cell>
        </row>
        <row r="1991">
          <cell r="D1991" t="str">
            <v>LN1296</v>
          </cell>
        </row>
        <row r="1992">
          <cell r="D1992" t="str">
            <v>LN1299</v>
          </cell>
        </row>
        <row r="1993">
          <cell r="D1993" t="str">
            <v>LN1304</v>
          </cell>
        </row>
        <row r="1994">
          <cell r="D1994" t="str">
            <v>LN1307</v>
          </cell>
        </row>
        <row r="1995">
          <cell r="D1995" t="str">
            <v>LN1308</v>
          </cell>
        </row>
        <row r="1996">
          <cell r="D1996" t="str">
            <v>LN1309</v>
          </cell>
        </row>
        <row r="1997">
          <cell r="D1997" t="str">
            <v>LN1313</v>
          </cell>
        </row>
        <row r="1998">
          <cell r="D1998" t="str">
            <v>LN1315</v>
          </cell>
        </row>
        <row r="1999">
          <cell r="D1999" t="str">
            <v>LN1316</v>
          </cell>
        </row>
        <row r="2000">
          <cell r="D2000" t="str">
            <v>LN1320</v>
          </cell>
        </row>
        <row r="2001">
          <cell r="D2001" t="str">
            <v>LN1322</v>
          </cell>
        </row>
        <row r="2002">
          <cell r="D2002" t="str">
            <v>LN1328</v>
          </cell>
        </row>
        <row r="2003">
          <cell r="D2003" t="str">
            <v>LN1329</v>
          </cell>
        </row>
        <row r="2004">
          <cell r="D2004" t="str">
            <v>LN1336</v>
          </cell>
        </row>
        <row r="2005">
          <cell r="D2005" t="str">
            <v>LN1339</v>
          </cell>
        </row>
        <row r="2006">
          <cell r="D2006" t="str">
            <v>LN1340</v>
          </cell>
        </row>
        <row r="2007">
          <cell r="D2007" t="str">
            <v>LN1347</v>
          </cell>
        </row>
        <row r="2008">
          <cell r="D2008" t="str">
            <v>LN1351</v>
          </cell>
        </row>
        <row r="2009">
          <cell r="D2009" t="str">
            <v>LN1352</v>
          </cell>
        </row>
        <row r="2010">
          <cell r="D2010" t="str">
            <v>LN1353</v>
          </cell>
        </row>
        <row r="2011">
          <cell r="D2011" t="str">
            <v>LN1355</v>
          </cell>
        </row>
        <row r="2012">
          <cell r="D2012" t="str">
            <v>MG0501</v>
          </cell>
        </row>
        <row r="2013">
          <cell r="D2013" t="str">
            <v>MG0699</v>
          </cell>
        </row>
        <row r="2014">
          <cell r="D2014" t="str">
            <v>MG1023</v>
          </cell>
        </row>
        <row r="2015">
          <cell r="D2015" t="str">
            <v>MG1298</v>
          </cell>
        </row>
        <row r="2016">
          <cell r="D2016" t="str">
            <v>MG1317</v>
          </cell>
        </row>
        <row r="2017">
          <cell r="D2017" t="str">
            <v>MG1396</v>
          </cell>
        </row>
        <row r="2018">
          <cell r="D2018" t="str">
            <v>MG1433</v>
          </cell>
        </row>
        <row r="2019">
          <cell r="D2019" t="str">
            <v>MG1451</v>
          </cell>
        </row>
        <row r="2020">
          <cell r="D2020" t="str">
            <v>MG1457</v>
          </cell>
        </row>
        <row r="2021">
          <cell r="D2021" t="str">
            <v>MG1505</v>
          </cell>
        </row>
        <row r="2022">
          <cell r="D2022" t="str">
            <v>MG1533</v>
          </cell>
        </row>
        <row r="2023">
          <cell r="D2023" t="str">
            <v>MG1580</v>
          </cell>
        </row>
        <row r="2024">
          <cell r="D2024" t="str">
            <v>MG1585</v>
          </cell>
        </row>
        <row r="2025">
          <cell r="D2025" t="str">
            <v>MG1594</v>
          </cell>
        </row>
        <row r="2026">
          <cell r="D2026" t="str">
            <v>MG1608</v>
          </cell>
        </row>
        <row r="2027">
          <cell r="D2027" t="str">
            <v>PK0660</v>
          </cell>
        </row>
        <row r="2028">
          <cell r="D2028" t="str">
            <v>PK0685</v>
          </cell>
        </row>
        <row r="2029">
          <cell r="D2029" t="str">
            <v>PK0805</v>
          </cell>
        </row>
        <row r="2030">
          <cell r="D2030" t="str">
            <v>PK0812</v>
          </cell>
        </row>
        <row r="2031">
          <cell r="D2031" t="str">
            <v>PK0966</v>
          </cell>
        </row>
        <row r="2032">
          <cell r="D2032" t="str">
            <v>PK1001</v>
          </cell>
        </row>
        <row r="2033">
          <cell r="D2033" t="str">
            <v>PK1025</v>
          </cell>
        </row>
        <row r="2034">
          <cell r="D2034" t="str">
            <v>PK1077</v>
          </cell>
        </row>
        <row r="2035">
          <cell r="D2035" t="str">
            <v>PK1089</v>
          </cell>
        </row>
        <row r="2036">
          <cell r="D2036" t="str">
            <v>PK1131</v>
          </cell>
        </row>
        <row r="2037">
          <cell r="D2037" t="str">
            <v>PK1149</v>
          </cell>
        </row>
        <row r="2038">
          <cell r="D2038" t="str">
            <v>PK1155</v>
          </cell>
        </row>
        <row r="2039">
          <cell r="D2039" t="str">
            <v>PK1198</v>
          </cell>
        </row>
        <row r="2040">
          <cell r="D2040" t="str">
            <v>PK1232</v>
          </cell>
        </row>
        <row r="2041">
          <cell r="D2041" t="str">
            <v>PK1281</v>
          </cell>
        </row>
        <row r="2042">
          <cell r="D2042" t="str">
            <v>PK1347</v>
          </cell>
        </row>
        <row r="2043">
          <cell r="D2043" t="str">
            <v>PK1375</v>
          </cell>
        </row>
        <row r="2044">
          <cell r="D2044" t="str">
            <v>PK1498</v>
          </cell>
        </row>
        <row r="2045">
          <cell r="D2045" t="str">
            <v>PK1499</v>
          </cell>
        </row>
        <row r="2046">
          <cell r="D2046" t="str">
            <v>PK1504</v>
          </cell>
        </row>
        <row r="2047">
          <cell r="D2047" t="str">
            <v>PK1522</v>
          </cell>
        </row>
        <row r="2048">
          <cell r="D2048" t="str">
            <v>PK1524</v>
          </cell>
        </row>
        <row r="2049">
          <cell r="D2049" t="str">
            <v>PK1526</v>
          </cell>
        </row>
        <row r="2050">
          <cell r="D2050" t="str">
            <v>PK1533</v>
          </cell>
        </row>
        <row r="2051">
          <cell r="D2051" t="str">
            <v>PK1542</v>
          </cell>
        </row>
        <row r="2052">
          <cell r="D2052" t="str">
            <v>PK1563</v>
          </cell>
        </row>
        <row r="2053">
          <cell r="D2053" t="str">
            <v>PK1583</v>
          </cell>
        </row>
        <row r="2054">
          <cell r="D2054" t="str">
            <v>PK1590</v>
          </cell>
        </row>
        <row r="2055">
          <cell r="D2055" t="str">
            <v>PK1596</v>
          </cell>
        </row>
        <row r="2056">
          <cell r="D2056" t="str">
            <v>PK1598</v>
          </cell>
        </row>
        <row r="2057">
          <cell r="D2057" t="str">
            <v>PK1614</v>
          </cell>
        </row>
        <row r="2058">
          <cell r="D2058" t="str">
            <v>PK1617</v>
          </cell>
        </row>
        <row r="2059">
          <cell r="D2059" t="str">
            <v>PK1620</v>
          </cell>
        </row>
        <row r="2060">
          <cell r="D2060" t="str">
            <v>PK1634</v>
          </cell>
        </row>
        <row r="2061">
          <cell r="D2061" t="str">
            <v>PK1636</v>
          </cell>
        </row>
        <row r="2062">
          <cell r="D2062" t="str">
            <v>PK1637</v>
          </cell>
        </row>
        <row r="2063">
          <cell r="D2063" t="str">
            <v>PK1638</v>
          </cell>
        </row>
        <row r="2064">
          <cell r="D2064" t="str">
            <v>PK1639</v>
          </cell>
        </row>
        <row r="2065">
          <cell r="D2065" t="str">
            <v>PK1640</v>
          </cell>
        </row>
        <row r="2066">
          <cell r="D2066" t="str">
            <v>PK1641</v>
          </cell>
        </row>
        <row r="2067">
          <cell r="D2067" t="str">
            <v>PK1642</v>
          </cell>
        </row>
        <row r="2068">
          <cell r="D2068" t="str">
            <v>PK1643</v>
          </cell>
        </row>
        <row r="2069">
          <cell r="D2069" t="str">
            <v>PK1644</v>
          </cell>
        </row>
        <row r="2070">
          <cell r="D2070" t="str">
            <v>PK1645</v>
          </cell>
        </row>
        <row r="2071">
          <cell r="D2071" t="str">
            <v>PK1646</v>
          </cell>
        </row>
        <row r="2072">
          <cell r="D2072" t="str">
            <v>PK1647</v>
          </cell>
        </row>
        <row r="2073">
          <cell r="D2073" t="str">
            <v>PK1648</v>
          </cell>
        </row>
        <row r="2074">
          <cell r="D2074" t="str">
            <v>PK1649</v>
          </cell>
        </row>
        <row r="2075">
          <cell r="D2075" t="str">
            <v>PK1650</v>
          </cell>
        </row>
        <row r="2076">
          <cell r="D2076" t="str">
            <v>PK1652</v>
          </cell>
        </row>
        <row r="2077">
          <cell r="D2077" t="str">
            <v>PK1653</v>
          </cell>
        </row>
        <row r="2078">
          <cell r="D2078" t="str">
            <v>PK1655</v>
          </cell>
        </row>
        <row r="2079">
          <cell r="D2079" t="str">
            <v>PK1656</v>
          </cell>
        </row>
        <row r="2080">
          <cell r="D2080" t="str">
            <v>PK1657</v>
          </cell>
        </row>
        <row r="2081">
          <cell r="D2081" t="str">
            <v>PK1659</v>
          </cell>
        </row>
        <row r="2082">
          <cell r="D2082" t="str">
            <v>PK1660</v>
          </cell>
        </row>
        <row r="2083">
          <cell r="D2083" t="str">
            <v>PK1661</v>
          </cell>
        </row>
        <row r="2084">
          <cell r="D2084" t="str">
            <v>PK1662</v>
          </cell>
        </row>
        <row r="2085">
          <cell r="D2085" t="str">
            <v>PK1663</v>
          </cell>
        </row>
        <row r="2086">
          <cell r="D2086" t="str">
            <v>PK1664</v>
          </cell>
        </row>
        <row r="2087">
          <cell r="D2087" t="str">
            <v>PK1665</v>
          </cell>
        </row>
        <row r="2088">
          <cell r="D2088" t="str">
            <v>PK1666</v>
          </cell>
        </row>
        <row r="2089">
          <cell r="D2089" t="str">
            <v>PK1667</v>
          </cell>
        </row>
        <row r="2090">
          <cell r="D2090" t="str">
            <v>PK1668</v>
          </cell>
        </row>
        <row r="2091">
          <cell r="D2091" t="str">
            <v>PK1669</v>
          </cell>
        </row>
        <row r="2092">
          <cell r="D2092" t="str">
            <v>PK1670</v>
          </cell>
        </row>
        <row r="2093">
          <cell r="D2093" t="str">
            <v>PK1671</v>
          </cell>
        </row>
        <row r="2094">
          <cell r="D2094" t="str">
            <v>PK1672</v>
          </cell>
        </row>
        <row r="2095">
          <cell r="D2095" t="str">
            <v>PK1676</v>
          </cell>
        </row>
        <row r="2096">
          <cell r="D2096" t="str">
            <v>PK1679</v>
          </cell>
        </row>
        <row r="2097">
          <cell r="D2097" t="str">
            <v>PK1680</v>
          </cell>
        </row>
        <row r="2098">
          <cell r="D2098" t="str">
            <v>PK1681</v>
          </cell>
        </row>
        <row r="2099">
          <cell r="D2099" t="str">
            <v>PK1682</v>
          </cell>
        </row>
        <row r="2100">
          <cell r="D2100" t="str">
            <v>PK1685</v>
          </cell>
        </row>
        <row r="2101">
          <cell r="D2101" t="str">
            <v>PK1687</v>
          </cell>
        </row>
        <row r="2102">
          <cell r="D2102" t="str">
            <v>PK1688</v>
          </cell>
        </row>
        <row r="2103">
          <cell r="D2103" t="str">
            <v>PK1689</v>
          </cell>
        </row>
        <row r="2104">
          <cell r="D2104" t="str">
            <v>PK1692</v>
          </cell>
        </row>
        <row r="2105">
          <cell r="D2105" t="str">
            <v>PK1693</v>
          </cell>
        </row>
        <row r="2106">
          <cell r="D2106" t="str">
            <v>PK1694</v>
          </cell>
        </row>
        <row r="2107">
          <cell r="D2107" t="str">
            <v>PK1695</v>
          </cell>
        </row>
        <row r="2108">
          <cell r="D2108" t="str">
            <v>PK1696</v>
          </cell>
        </row>
        <row r="2109">
          <cell r="D2109" t="str">
            <v>PK1697</v>
          </cell>
        </row>
        <row r="2110">
          <cell r="D2110" t="str">
            <v>PK1698</v>
          </cell>
        </row>
        <row r="2111">
          <cell r="D2111" t="str">
            <v>PK1699</v>
          </cell>
        </row>
        <row r="2112">
          <cell r="D2112" t="str">
            <v>PK1700</v>
          </cell>
        </row>
        <row r="2113">
          <cell r="D2113" t="str">
            <v>PK1701</v>
          </cell>
        </row>
        <row r="2114">
          <cell r="D2114" t="str">
            <v>PK1702</v>
          </cell>
        </row>
        <row r="2115">
          <cell r="D2115" t="str">
            <v>PK1703</v>
          </cell>
        </row>
        <row r="2116">
          <cell r="D2116" t="str">
            <v>PK1704</v>
          </cell>
        </row>
        <row r="2117">
          <cell r="D2117" t="str">
            <v>PK1705</v>
          </cell>
        </row>
        <row r="2118">
          <cell r="D2118" t="str">
            <v>PK1706</v>
          </cell>
        </row>
        <row r="2119">
          <cell r="D2119" t="str">
            <v>PK1707</v>
          </cell>
        </row>
        <row r="2120">
          <cell r="D2120" t="str">
            <v>PK1708</v>
          </cell>
        </row>
        <row r="2121">
          <cell r="D2121" t="str">
            <v>PK1710</v>
          </cell>
        </row>
        <row r="2122">
          <cell r="D2122" t="str">
            <v>PK1711</v>
          </cell>
        </row>
        <row r="2123">
          <cell r="D2123" t="str">
            <v>PK1718</v>
          </cell>
        </row>
        <row r="2124">
          <cell r="D2124" t="str">
            <v>PK1720</v>
          </cell>
        </row>
        <row r="2125">
          <cell r="D2125" t="str">
            <v>PK1722</v>
          </cell>
        </row>
        <row r="2126">
          <cell r="D2126" t="str">
            <v>PK1723</v>
          </cell>
        </row>
        <row r="2127">
          <cell r="D2127" t="str">
            <v>PK1727</v>
          </cell>
        </row>
        <row r="2128">
          <cell r="D2128" t="str">
            <v>PK1728</v>
          </cell>
        </row>
        <row r="2129">
          <cell r="D2129" t="str">
            <v>PK1729</v>
          </cell>
        </row>
        <row r="2130">
          <cell r="D2130" t="str">
            <v>PK1730</v>
          </cell>
        </row>
        <row r="2131">
          <cell r="D2131" t="str">
            <v>PK1733</v>
          </cell>
        </row>
        <row r="2132">
          <cell r="D2132" t="str">
            <v>PK1734</v>
          </cell>
        </row>
        <row r="2133">
          <cell r="D2133" t="str">
            <v>PK1735</v>
          </cell>
        </row>
        <row r="2134">
          <cell r="D2134" t="str">
            <v>PK1736</v>
          </cell>
        </row>
        <row r="2135">
          <cell r="D2135" t="str">
            <v>PK1737</v>
          </cell>
        </row>
        <row r="2136">
          <cell r="D2136" t="str">
            <v>PK1739</v>
          </cell>
        </row>
        <row r="2137">
          <cell r="D2137" t="str">
            <v>SK0845</v>
          </cell>
        </row>
        <row r="2138">
          <cell r="D2138" t="str">
            <v>SK1449</v>
          </cell>
        </row>
        <row r="2139">
          <cell r="D2139" t="str">
            <v>SK1800</v>
          </cell>
        </row>
        <row r="2140">
          <cell r="D2140" t="str">
            <v>SK1978</v>
          </cell>
        </row>
        <row r="2141">
          <cell r="D2141" t="str">
            <v>SK2124</v>
          </cell>
        </row>
        <row r="2142">
          <cell r="D2142" t="str">
            <v>SK2286</v>
          </cell>
        </row>
        <row r="2143">
          <cell r="D2143" t="str">
            <v>SK2316</v>
          </cell>
        </row>
        <row r="2144">
          <cell r="D2144" t="str">
            <v>SK2318</v>
          </cell>
        </row>
        <row r="2145">
          <cell r="D2145" t="str">
            <v>SK2384</v>
          </cell>
        </row>
        <row r="2146">
          <cell r="D2146" t="str">
            <v>SK2405</v>
          </cell>
        </row>
        <row r="2147">
          <cell r="D2147" t="str">
            <v>SK2483</v>
          </cell>
        </row>
        <row r="2148">
          <cell r="D2148" t="str">
            <v>SK2524</v>
          </cell>
        </row>
        <row r="2149">
          <cell r="D2149" t="str">
            <v>SK2675</v>
          </cell>
        </row>
        <row r="2150">
          <cell r="D2150" t="str">
            <v>SK2770</v>
          </cell>
        </row>
        <row r="2151">
          <cell r="D2151" t="str">
            <v>SK2784</v>
          </cell>
        </row>
        <row r="2152">
          <cell r="D2152" t="str">
            <v>SK2787</v>
          </cell>
        </row>
        <row r="2153">
          <cell r="D2153" t="str">
            <v>SK2797</v>
          </cell>
        </row>
        <row r="2154">
          <cell r="D2154" t="str">
            <v>SK2824</v>
          </cell>
        </row>
        <row r="2155">
          <cell r="D2155" t="str">
            <v>SK2859</v>
          </cell>
        </row>
        <row r="2156">
          <cell r="D2156" t="str">
            <v>SK2907</v>
          </cell>
        </row>
        <row r="2157">
          <cell r="D2157" t="str">
            <v>SK2925</v>
          </cell>
        </row>
        <row r="2158">
          <cell r="D2158" t="str">
            <v>SK2930</v>
          </cell>
        </row>
        <row r="2159">
          <cell r="D2159" t="str">
            <v>SK2982</v>
          </cell>
        </row>
        <row r="2160">
          <cell r="D2160" t="str">
            <v>SK2986</v>
          </cell>
        </row>
        <row r="2161">
          <cell r="D2161" t="str">
            <v>SK2989</v>
          </cell>
        </row>
        <row r="2162">
          <cell r="D2162" t="str">
            <v>SK2992</v>
          </cell>
        </row>
        <row r="2163">
          <cell r="D2163" t="str">
            <v>SK3004</v>
          </cell>
        </row>
        <row r="2164">
          <cell r="D2164" t="str">
            <v>SK3065</v>
          </cell>
        </row>
        <row r="2165">
          <cell r="D2165" t="str">
            <v>SK3092</v>
          </cell>
        </row>
        <row r="2166">
          <cell r="D2166" t="str">
            <v>SK3121</v>
          </cell>
        </row>
        <row r="2167">
          <cell r="D2167" t="str">
            <v>SK3124</v>
          </cell>
        </row>
        <row r="2168">
          <cell r="D2168" t="str">
            <v>SK3136</v>
          </cell>
        </row>
        <row r="2169">
          <cell r="D2169" t="str">
            <v>SK3153</v>
          </cell>
        </row>
        <row r="2170">
          <cell r="D2170" t="str">
            <v>SK3164</v>
          </cell>
        </row>
        <row r="2171">
          <cell r="D2171" t="str">
            <v>SK3222</v>
          </cell>
        </row>
        <row r="2172">
          <cell r="D2172" t="str">
            <v>SK3274</v>
          </cell>
        </row>
        <row r="2173">
          <cell r="D2173" t="str">
            <v>SK3329</v>
          </cell>
        </row>
        <row r="2174">
          <cell r="D2174" t="str">
            <v>SK3343</v>
          </cell>
        </row>
        <row r="2175">
          <cell r="D2175" t="str">
            <v>SK3363</v>
          </cell>
        </row>
        <row r="2176">
          <cell r="D2176" t="str">
            <v>SK3376</v>
          </cell>
        </row>
        <row r="2177">
          <cell r="D2177" t="str">
            <v>SK3409</v>
          </cell>
        </row>
        <row r="2178">
          <cell r="D2178" t="str">
            <v>SK3438</v>
          </cell>
        </row>
        <row r="2179">
          <cell r="D2179" t="str">
            <v>SK3463</v>
          </cell>
        </row>
        <row r="2180">
          <cell r="D2180" t="str">
            <v>SK3512</v>
          </cell>
        </row>
        <row r="2181">
          <cell r="D2181" t="str">
            <v>SK3527</v>
          </cell>
        </row>
        <row r="2182">
          <cell r="D2182" t="str">
            <v>SK3532</v>
          </cell>
        </row>
        <row r="2183">
          <cell r="D2183" t="str">
            <v>SK3549</v>
          </cell>
        </row>
        <row r="2184">
          <cell r="D2184" t="str">
            <v>SK3561</v>
          </cell>
        </row>
        <row r="2185">
          <cell r="D2185" t="str">
            <v>SK3580</v>
          </cell>
        </row>
        <row r="2186">
          <cell r="D2186" t="str">
            <v>SK3581</v>
          </cell>
        </row>
        <row r="2187">
          <cell r="D2187" t="str">
            <v>SK3583</v>
          </cell>
        </row>
        <row r="2188">
          <cell r="D2188" t="str">
            <v>SK3589</v>
          </cell>
        </row>
        <row r="2189">
          <cell r="D2189" t="str">
            <v>SK3594</v>
          </cell>
        </row>
        <row r="2190">
          <cell r="D2190" t="str">
            <v>SK3595</v>
          </cell>
        </row>
        <row r="2191">
          <cell r="D2191" t="str">
            <v>SK3596</v>
          </cell>
        </row>
        <row r="2192">
          <cell r="D2192" t="str">
            <v>SK3611</v>
          </cell>
        </row>
        <row r="2193">
          <cell r="D2193" t="str">
            <v>SK3612</v>
          </cell>
        </row>
        <row r="2194">
          <cell r="D2194" t="str">
            <v>SK3626</v>
          </cell>
        </row>
        <row r="2195">
          <cell r="D2195" t="str">
            <v>SK3655</v>
          </cell>
        </row>
        <row r="2196">
          <cell r="D2196" t="str">
            <v>SK3657</v>
          </cell>
        </row>
        <row r="2197">
          <cell r="D2197" t="str">
            <v>SK3661</v>
          </cell>
        </row>
        <row r="2198">
          <cell r="D2198" t="str">
            <v>SK3662</v>
          </cell>
        </row>
        <row r="2199">
          <cell r="D2199" t="str">
            <v>SK3667</v>
          </cell>
        </row>
        <row r="2200">
          <cell r="D2200" t="str">
            <v>SK3670</v>
          </cell>
        </row>
        <row r="2201">
          <cell r="D2201" t="str">
            <v>SK3671</v>
          </cell>
        </row>
        <row r="2202">
          <cell r="D2202" t="str">
            <v>SK3673</v>
          </cell>
        </row>
        <row r="2203">
          <cell r="D2203" t="str">
            <v>SK3678</v>
          </cell>
        </row>
        <row r="2204">
          <cell r="D2204" t="str">
            <v>SK3683</v>
          </cell>
        </row>
        <row r="2205">
          <cell r="D2205" t="str">
            <v>SK3684</v>
          </cell>
        </row>
        <row r="2206">
          <cell r="D2206" t="str">
            <v>SK3685</v>
          </cell>
        </row>
        <row r="2207">
          <cell r="D2207" t="str">
            <v>SK3686</v>
          </cell>
        </row>
        <row r="2208">
          <cell r="D2208" t="str">
            <v>SK3692</v>
          </cell>
        </row>
        <row r="2209">
          <cell r="D2209" t="str">
            <v>SK3696</v>
          </cell>
        </row>
        <row r="2210">
          <cell r="D2210" t="str">
            <v>SK3700</v>
          </cell>
        </row>
        <row r="2211">
          <cell r="D2211" t="str">
            <v>SK3701</v>
          </cell>
        </row>
        <row r="2212">
          <cell r="D2212" t="str">
            <v>SK3702</v>
          </cell>
        </row>
        <row r="2213">
          <cell r="D2213" t="str">
            <v>SK3703</v>
          </cell>
        </row>
        <row r="2214">
          <cell r="D2214" t="str">
            <v>SK3705</v>
          </cell>
        </row>
        <row r="2215">
          <cell r="D2215" t="str">
            <v>SK3708</v>
          </cell>
        </row>
        <row r="2216">
          <cell r="D2216" t="str">
            <v>SK3710</v>
          </cell>
        </row>
        <row r="2217">
          <cell r="D2217" t="str">
            <v>SK3711</v>
          </cell>
        </row>
        <row r="2218">
          <cell r="D2218" t="str">
            <v>SK3713</v>
          </cell>
        </row>
        <row r="2219">
          <cell r="D2219" t="str">
            <v>SK3714</v>
          </cell>
        </row>
        <row r="2220">
          <cell r="D2220" t="str">
            <v>SK3716</v>
          </cell>
        </row>
        <row r="2221">
          <cell r="D2221" t="str">
            <v>SK3717</v>
          </cell>
        </row>
        <row r="2222">
          <cell r="D2222" t="str">
            <v>SK3719</v>
          </cell>
        </row>
        <row r="2223">
          <cell r="D2223" t="str">
            <v>SK3720</v>
          </cell>
        </row>
        <row r="2224">
          <cell r="D2224" t="str">
            <v>SK3723</v>
          </cell>
        </row>
        <row r="2225">
          <cell r="D2225" t="str">
            <v>SK3724</v>
          </cell>
        </row>
        <row r="2226">
          <cell r="D2226" t="str">
            <v>SK3725</v>
          </cell>
        </row>
        <row r="2227">
          <cell r="D2227" t="str">
            <v>SK3726</v>
          </cell>
        </row>
        <row r="2228">
          <cell r="D2228" t="str">
            <v>SK3731</v>
          </cell>
        </row>
        <row r="2229">
          <cell r="D2229" t="str">
            <v>SK3733</v>
          </cell>
        </row>
        <row r="2230">
          <cell r="D2230" t="str">
            <v>SK3734</v>
          </cell>
        </row>
        <row r="2231">
          <cell r="D2231" t="str">
            <v>SK3735</v>
          </cell>
        </row>
        <row r="2232">
          <cell r="D2232" t="str">
            <v>SK3736</v>
          </cell>
        </row>
        <row r="2233">
          <cell r="D2233" t="str">
            <v>SK3737</v>
          </cell>
        </row>
        <row r="2234">
          <cell r="D2234" t="str">
            <v>SK3738</v>
          </cell>
        </row>
        <row r="2235">
          <cell r="D2235" t="str">
            <v>SK3739</v>
          </cell>
        </row>
        <row r="2236">
          <cell r="D2236" t="str">
            <v>SK3740</v>
          </cell>
        </row>
        <row r="2237">
          <cell r="D2237" t="str">
            <v>SK3741</v>
          </cell>
        </row>
        <row r="2238">
          <cell r="D2238" t="str">
            <v>SK3742</v>
          </cell>
        </row>
        <row r="2239">
          <cell r="D2239" t="str">
            <v>SK3746</v>
          </cell>
        </row>
        <row r="2240">
          <cell r="D2240" t="str">
            <v>SK3747</v>
          </cell>
        </row>
        <row r="2241">
          <cell r="D2241" t="str">
            <v>SK3748</v>
          </cell>
        </row>
        <row r="2242">
          <cell r="D2242" t="str">
            <v>SK3751</v>
          </cell>
        </row>
        <row r="2243">
          <cell r="D2243" t="str">
            <v>SK3752</v>
          </cell>
        </row>
        <row r="2244">
          <cell r="D2244" t="str">
            <v>SK3753</v>
          </cell>
        </row>
        <row r="2245">
          <cell r="D2245" t="str">
            <v>SK3755</v>
          </cell>
        </row>
        <row r="2246">
          <cell r="D2246" t="str">
            <v>SK3758</v>
          </cell>
        </row>
        <row r="2247">
          <cell r="D2247" t="str">
            <v>SK3763</v>
          </cell>
        </row>
        <row r="2248">
          <cell r="D2248" t="str">
            <v>SK3764</v>
          </cell>
        </row>
        <row r="2249">
          <cell r="D2249" t="str">
            <v>SK3766</v>
          </cell>
        </row>
        <row r="2250">
          <cell r="D2250" t="str">
            <v>SK3767</v>
          </cell>
        </row>
        <row r="2251">
          <cell r="D2251" t="str">
            <v>SK3770</v>
          </cell>
        </row>
        <row r="2252">
          <cell r="D2252" t="str">
            <v>SK3774</v>
          </cell>
        </row>
        <row r="2253">
          <cell r="D2253" t="str">
            <v>SK3775</v>
          </cell>
        </row>
        <row r="2254">
          <cell r="D2254" t="str">
            <v>SK3780</v>
          </cell>
        </row>
        <row r="2255">
          <cell r="D2255" t="str">
            <v>SK3783</v>
          </cell>
        </row>
        <row r="2256">
          <cell r="D2256" t="str">
            <v>SK3789</v>
          </cell>
        </row>
        <row r="2257">
          <cell r="D2257" t="str">
            <v>SK3791</v>
          </cell>
        </row>
        <row r="2258">
          <cell r="D2258" t="str">
            <v>SK3792</v>
          </cell>
        </row>
        <row r="2259">
          <cell r="D2259" t="str">
            <v>SK3819</v>
          </cell>
        </row>
        <row r="2260">
          <cell r="D2260" t="str">
            <v>SM0001</v>
          </cell>
        </row>
        <row r="2261">
          <cell r="D2261" t="str">
            <v>SM0002</v>
          </cell>
        </row>
        <row r="2262">
          <cell r="D2262" t="str">
            <v>SM0003</v>
          </cell>
        </row>
        <row r="2263">
          <cell r="D2263" t="str">
            <v>SM0004</v>
          </cell>
        </row>
        <row r="2264">
          <cell r="D2264" t="str">
            <v>SM0005</v>
          </cell>
        </row>
        <row r="2265">
          <cell r="D2265" t="str">
            <v>SM0006</v>
          </cell>
        </row>
        <row r="2266">
          <cell r="D2266" t="str">
            <v>SM0007</v>
          </cell>
        </row>
        <row r="2267">
          <cell r="D2267" t="str">
            <v>SM0008</v>
          </cell>
        </row>
        <row r="2268">
          <cell r="D2268" t="str">
            <v>SM0009</v>
          </cell>
        </row>
        <row r="2269">
          <cell r="D2269" t="str">
            <v>SR0004</v>
          </cell>
        </row>
        <row r="2270">
          <cell r="D2270" t="str">
            <v>SR0516</v>
          </cell>
        </row>
        <row r="2271">
          <cell r="D2271" t="str">
            <v>SR0590</v>
          </cell>
        </row>
        <row r="2272">
          <cell r="D2272" t="str">
            <v>SR0606</v>
          </cell>
        </row>
        <row r="2273">
          <cell r="D2273" t="str">
            <v>SR0612</v>
          </cell>
        </row>
        <row r="2274">
          <cell r="D2274" t="str">
            <v>SR0737</v>
          </cell>
        </row>
        <row r="2275">
          <cell r="D2275" t="str">
            <v>SR0794</v>
          </cell>
        </row>
        <row r="2276">
          <cell r="D2276" t="str">
            <v>SR0808</v>
          </cell>
        </row>
        <row r="2277">
          <cell r="D2277" t="str">
            <v>SR0817</v>
          </cell>
        </row>
        <row r="2278">
          <cell r="D2278" t="str">
            <v>SR0856</v>
          </cell>
        </row>
        <row r="2279">
          <cell r="D2279" t="str">
            <v>SR0934</v>
          </cell>
        </row>
        <row r="2280">
          <cell r="D2280" t="str">
            <v>SR0939</v>
          </cell>
        </row>
        <row r="2281">
          <cell r="D2281" t="str">
            <v>SR0984</v>
          </cell>
        </row>
        <row r="2282">
          <cell r="D2282" t="str">
            <v>SR0993</v>
          </cell>
        </row>
        <row r="2283">
          <cell r="D2283" t="str">
            <v>SR1007</v>
          </cell>
        </row>
        <row r="2284">
          <cell r="D2284" t="str">
            <v>SR1008</v>
          </cell>
        </row>
        <row r="2285">
          <cell r="D2285" t="str">
            <v>SR1017</v>
          </cell>
        </row>
        <row r="2286">
          <cell r="D2286" t="str">
            <v>SR1027</v>
          </cell>
        </row>
        <row r="2287">
          <cell r="D2287" t="str">
            <v>SR1033</v>
          </cell>
        </row>
        <row r="2288">
          <cell r="D2288" t="str">
            <v>SR1078</v>
          </cell>
        </row>
        <row r="2289">
          <cell r="D2289" t="str">
            <v>SR1084</v>
          </cell>
        </row>
        <row r="2290">
          <cell r="D2290" t="str">
            <v>SR1119</v>
          </cell>
        </row>
        <row r="2291">
          <cell r="D2291" t="str">
            <v>SR1191</v>
          </cell>
        </row>
        <row r="2292">
          <cell r="D2292" t="str">
            <v>SR1229</v>
          </cell>
        </row>
        <row r="2293">
          <cell r="D2293" t="str">
            <v>SR1236</v>
          </cell>
        </row>
        <row r="2294">
          <cell r="D2294" t="str">
            <v>SR1261</v>
          </cell>
        </row>
        <row r="2295">
          <cell r="D2295" t="str">
            <v>SR1275</v>
          </cell>
        </row>
        <row r="2296">
          <cell r="D2296" t="str">
            <v>SR1288</v>
          </cell>
        </row>
        <row r="2297">
          <cell r="D2297" t="str">
            <v>SR1319</v>
          </cell>
        </row>
        <row r="2298">
          <cell r="D2298" t="str">
            <v>SR1341</v>
          </cell>
        </row>
        <row r="2299">
          <cell r="D2299" t="str">
            <v>SR1344</v>
          </cell>
        </row>
        <row r="2300">
          <cell r="D2300" t="str">
            <v>SR1350</v>
          </cell>
        </row>
        <row r="2301">
          <cell r="D2301" t="str">
            <v>SR1362</v>
          </cell>
        </row>
        <row r="2302">
          <cell r="D2302" t="str">
            <v>SR1364</v>
          </cell>
        </row>
        <row r="2303">
          <cell r="D2303" t="str">
            <v>SR1375</v>
          </cell>
        </row>
        <row r="2304">
          <cell r="D2304" t="str">
            <v>SR1410</v>
          </cell>
        </row>
        <row r="2305">
          <cell r="D2305" t="str">
            <v>SR1415</v>
          </cell>
        </row>
        <row r="2306">
          <cell r="D2306" t="str">
            <v>SR1432</v>
          </cell>
        </row>
        <row r="2307">
          <cell r="D2307" t="str">
            <v>SR1435</v>
          </cell>
        </row>
        <row r="2308">
          <cell r="D2308" t="str">
            <v>SR1437</v>
          </cell>
        </row>
        <row r="2309">
          <cell r="D2309" t="str">
            <v>SR1439</v>
          </cell>
        </row>
        <row r="2310">
          <cell r="D2310" t="str">
            <v>SR1440</v>
          </cell>
        </row>
        <row r="2311">
          <cell r="D2311" t="str">
            <v>SR1445</v>
          </cell>
        </row>
        <row r="2312">
          <cell r="D2312" t="str">
            <v>SR1450</v>
          </cell>
        </row>
        <row r="2313">
          <cell r="D2313" t="str">
            <v>SR1470</v>
          </cell>
        </row>
        <row r="2314">
          <cell r="D2314" t="str">
            <v>SR1474</v>
          </cell>
        </row>
        <row r="2315">
          <cell r="D2315" t="str">
            <v>SR1476</v>
          </cell>
        </row>
        <row r="2316">
          <cell r="D2316" t="str">
            <v>SR1477</v>
          </cell>
        </row>
        <row r="2317">
          <cell r="D2317" t="str">
            <v>SR1481</v>
          </cell>
        </row>
        <row r="2318">
          <cell r="D2318" t="str">
            <v>SR1499</v>
          </cell>
        </row>
        <row r="2319">
          <cell r="D2319" t="str">
            <v>SR1500</v>
          </cell>
        </row>
        <row r="2320">
          <cell r="D2320" t="str">
            <v>SR1505</v>
          </cell>
        </row>
        <row r="2321">
          <cell r="D2321" t="str">
            <v>SR1512</v>
          </cell>
        </row>
        <row r="2322">
          <cell r="D2322" t="str">
            <v>SR1513</v>
          </cell>
        </row>
        <row r="2323">
          <cell r="D2323" t="str">
            <v>SR1514</v>
          </cell>
        </row>
        <row r="2324">
          <cell r="D2324" t="str">
            <v>SR1515</v>
          </cell>
        </row>
        <row r="2325">
          <cell r="D2325" t="str">
            <v>SR1517</v>
          </cell>
        </row>
        <row r="2326">
          <cell r="D2326" t="str">
            <v>SR1518</v>
          </cell>
        </row>
        <row r="2327">
          <cell r="D2327" t="str">
            <v>SR1519</v>
          </cell>
        </row>
        <row r="2328">
          <cell r="D2328" t="str">
            <v>SR1520</v>
          </cell>
        </row>
        <row r="2329">
          <cell r="D2329" t="str">
            <v>SR1521</v>
          </cell>
        </row>
        <row r="2330">
          <cell r="D2330" t="str">
            <v>SR1522</v>
          </cell>
        </row>
        <row r="2331">
          <cell r="D2331" t="str">
            <v>SR1523</v>
          </cell>
        </row>
        <row r="2332">
          <cell r="D2332" t="str">
            <v>SR1524</v>
          </cell>
        </row>
        <row r="2333">
          <cell r="D2333" t="str">
            <v>SR1525</v>
          </cell>
        </row>
        <row r="2334">
          <cell r="D2334" t="str">
            <v>SR1527</v>
          </cell>
        </row>
        <row r="2335">
          <cell r="D2335" t="str">
            <v>SR1528</v>
          </cell>
        </row>
        <row r="2336">
          <cell r="D2336" t="str">
            <v>SR1529</v>
          </cell>
        </row>
        <row r="2337">
          <cell r="D2337" t="str">
            <v>SR1530</v>
          </cell>
        </row>
        <row r="2338">
          <cell r="D2338" t="str">
            <v>SR1531</v>
          </cell>
        </row>
        <row r="2339">
          <cell r="D2339" t="str">
            <v>SR1532</v>
          </cell>
        </row>
        <row r="2340">
          <cell r="D2340" t="str">
            <v>SR1534</v>
          </cell>
        </row>
        <row r="2341">
          <cell r="D2341" t="str">
            <v>SR1535</v>
          </cell>
        </row>
        <row r="2342">
          <cell r="D2342" t="str">
            <v>SR1537</v>
          </cell>
        </row>
        <row r="2343">
          <cell r="D2343" t="str">
            <v>SR1539</v>
          </cell>
        </row>
        <row r="2344">
          <cell r="D2344" t="str">
            <v>SR1542</v>
          </cell>
        </row>
        <row r="2345">
          <cell r="D2345" t="str">
            <v>SR1544</v>
          </cell>
        </row>
        <row r="2346">
          <cell r="D2346" t="str">
            <v>SR1547</v>
          </cell>
        </row>
        <row r="2347">
          <cell r="D2347" t="str">
            <v>SR1550</v>
          </cell>
        </row>
        <row r="2348">
          <cell r="D2348" t="str">
            <v>SR1551</v>
          </cell>
        </row>
        <row r="2349">
          <cell r="D2349" t="str">
            <v>SR1554</v>
          </cell>
        </row>
        <row r="2350">
          <cell r="D2350" t="str">
            <v>SR1556</v>
          </cell>
        </row>
        <row r="2351">
          <cell r="D2351" t="str">
            <v>SR1558</v>
          </cell>
        </row>
        <row r="2352">
          <cell r="D2352" t="str">
            <v>SR1559</v>
          </cell>
        </row>
        <row r="2353">
          <cell r="D2353" t="str">
            <v>SR1560</v>
          </cell>
        </row>
        <row r="2354">
          <cell r="D2354" t="str">
            <v>SR1562</v>
          </cell>
        </row>
        <row r="2355">
          <cell r="D2355" t="str">
            <v>SR1564</v>
          </cell>
        </row>
        <row r="2356">
          <cell r="D2356" t="str">
            <v>SR1565</v>
          </cell>
        </row>
        <row r="2357">
          <cell r="D2357" t="str">
            <v>SR1566</v>
          </cell>
        </row>
        <row r="2358">
          <cell r="D2358" t="str">
            <v>SR1567</v>
          </cell>
        </row>
        <row r="2359">
          <cell r="D2359" t="str">
            <v>SR1569</v>
          </cell>
        </row>
        <row r="2360">
          <cell r="D2360" t="str">
            <v>SR1570</v>
          </cell>
        </row>
        <row r="2361">
          <cell r="D2361" t="str">
            <v>SR1571</v>
          </cell>
        </row>
        <row r="2362">
          <cell r="D2362" t="str">
            <v>SR1572</v>
          </cell>
        </row>
        <row r="2363">
          <cell r="D2363" t="str">
            <v>SR1573</v>
          </cell>
        </row>
        <row r="2364">
          <cell r="D2364" t="str">
            <v>SR1574</v>
          </cell>
        </row>
        <row r="2365">
          <cell r="D2365" t="str">
            <v>SR1576</v>
          </cell>
        </row>
        <row r="2366">
          <cell r="D2366" t="str">
            <v>SR1577</v>
          </cell>
        </row>
        <row r="2367">
          <cell r="D2367" t="str">
            <v>SR1581</v>
          </cell>
        </row>
        <row r="2368">
          <cell r="D2368" t="str">
            <v>SR1582</v>
          </cell>
        </row>
        <row r="2369">
          <cell r="D2369" t="str">
            <v>SR1585</v>
          </cell>
        </row>
        <row r="2370">
          <cell r="D2370" t="str">
            <v>SR1586</v>
          </cell>
        </row>
        <row r="2371">
          <cell r="D2371" t="str">
            <v>SR1589</v>
          </cell>
        </row>
        <row r="2372">
          <cell r="D2372" t="str">
            <v>SR1591</v>
          </cell>
        </row>
        <row r="2373">
          <cell r="D2373" t="str">
            <v>SR1595</v>
          </cell>
        </row>
        <row r="2374">
          <cell r="D2374" t="str">
            <v>SR1600</v>
          </cell>
        </row>
        <row r="2375">
          <cell r="D2375" t="str">
            <v>UDS1613</v>
          </cell>
        </row>
        <row r="2376">
          <cell r="D2376" t="str">
            <v>UDS1614</v>
          </cell>
        </row>
        <row r="2377">
          <cell r="D2377" t="str">
            <v>UDS1615</v>
          </cell>
        </row>
        <row r="2378">
          <cell r="D2378" t="str">
            <v>UDS1621</v>
          </cell>
        </row>
        <row r="2379">
          <cell r="D2379" t="str">
            <v>UDS1622</v>
          </cell>
        </row>
        <row r="2380">
          <cell r="D2380" t="str">
            <v>UDS1624</v>
          </cell>
        </row>
        <row r="2381">
          <cell r="D2381" t="str">
            <v>UDS1627</v>
          </cell>
        </row>
        <row r="2382">
          <cell r="D2382" t="str">
            <v>UDS1628</v>
          </cell>
        </row>
        <row r="2383">
          <cell r="D2383" t="str">
            <v>UDS1629</v>
          </cell>
        </row>
        <row r="2384">
          <cell r="D2384" t="str">
            <v>UDS1630</v>
          </cell>
        </row>
        <row r="2385">
          <cell r="D2385" t="str">
            <v>UDS1631</v>
          </cell>
        </row>
        <row r="2386">
          <cell r="D2386" t="str">
            <v>UDS1632</v>
          </cell>
        </row>
        <row r="2387">
          <cell r="D2387" t="str">
            <v>UDS1633</v>
          </cell>
        </row>
        <row r="2388">
          <cell r="D2388" t="str">
            <v>UDS1634</v>
          </cell>
        </row>
        <row r="2389">
          <cell r="D2389" t="str">
            <v>UDS1635</v>
          </cell>
        </row>
        <row r="2390">
          <cell r="D2390" t="str">
            <v>UDS1636</v>
          </cell>
        </row>
        <row r="2391">
          <cell r="D2391" t="str">
            <v>UDS1638</v>
          </cell>
        </row>
        <row r="2392">
          <cell r="D2392" t="str">
            <v>UDS1639</v>
          </cell>
        </row>
        <row r="2393">
          <cell r="D2393" t="str">
            <v>UDS1640</v>
          </cell>
        </row>
        <row r="2394">
          <cell r="D2394" t="str">
            <v>UDS1641</v>
          </cell>
        </row>
        <row r="2395">
          <cell r="D2395" t="str">
            <v>UDS1643</v>
          </cell>
        </row>
        <row r="2396">
          <cell r="D2396" t="str">
            <v>UDS1644</v>
          </cell>
        </row>
        <row r="2397">
          <cell r="D2397" t="str">
            <v>UDS1645</v>
          </cell>
        </row>
        <row r="2398">
          <cell r="D2398" t="str">
            <v>UDS1646</v>
          </cell>
        </row>
        <row r="2399">
          <cell r="D2399" t="str">
            <v>UDS1647</v>
          </cell>
        </row>
        <row r="2400">
          <cell r="D2400" t="str">
            <v>UDS1650</v>
          </cell>
        </row>
        <row r="2401">
          <cell r="D2401" t="str">
            <v>UDS1651</v>
          </cell>
        </row>
        <row r="2402">
          <cell r="D2402" t="str">
            <v>UDS1652</v>
          </cell>
        </row>
        <row r="2403">
          <cell r="D2403" t="str">
            <v>UDS1653</v>
          </cell>
        </row>
        <row r="2404">
          <cell r="D2404" t="str">
            <v>UDS1654</v>
          </cell>
        </row>
        <row r="2405">
          <cell r="D2405" t="str">
            <v>UDS1656</v>
          </cell>
        </row>
        <row r="2406">
          <cell r="D2406" t="str">
            <v>UDS1659</v>
          </cell>
        </row>
        <row r="2407">
          <cell r="D2407" t="str">
            <v>UDS1660</v>
          </cell>
        </row>
        <row r="2408">
          <cell r="D2408" t="str">
            <v>UDS1661</v>
          </cell>
        </row>
        <row r="2409">
          <cell r="D2409" t="str">
            <v>UDS1662</v>
          </cell>
        </row>
        <row r="2410">
          <cell r="D2410" t="str">
            <v>UDS1663</v>
          </cell>
        </row>
        <row r="2411">
          <cell r="D2411" t="str">
            <v>UDS1664</v>
          </cell>
        </row>
        <row r="2412">
          <cell r="D2412" t="str">
            <v>UDS1665</v>
          </cell>
        </row>
        <row r="2413">
          <cell r="D2413" t="str">
            <v>UDS1666</v>
          </cell>
        </row>
        <row r="2414">
          <cell r="D2414" t="str">
            <v>UDS1667</v>
          </cell>
        </row>
        <row r="2415">
          <cell r="D2415" t="str">
            <v>UDS1668</v>
          </cell>
        </row>
        <row r="2416">
          <cell r="D2416" t="str">
            <v>UDS1670</v>
          </cell>
        </row>
        <row r="2417">
          <cell r="D2417" t="str">
            <v>UDS1671</v>
          </cell>
        </row>
        <row r="2418">
          <cell r="D2418" t="str">
            <v>UDS1672</v>
          </cell>
        </row>
        <row r="2419">
          <cell r="D2419" t="str">
            <v>UDS1673</v>
          </cell>
        </row>
        <row r="2420">
          <cell r="D2420" t="str">
            <v>UDS1674</v>
          </cell>
        </row>
        <row r="2421">
          <cell r="D2421" t="str">
            <v>UDS1676</v>
          </cell>
        </row>
        <row r="2422">
          <cell r="D2422" t="str">
            <v>UDS1677</v>
          </cell>
        </row>
        <row r="2423">
          <cell r="D2423" t="str">
            <v>UDS1678</v>
          </cell>
        </row>
        <row r="2424">
          <cell r="D2424" t="str">
            <v>UDS1679</v>
          </cell>
        </row>
        <row r="2425">
          <cell r="D2425" t="str">
            <v>UDS1680</v>
          </cell>
        </row>
        <row r="2426">
          <cell r="D2426" t="str">
            <v>UDS1681</v>
          </cell>
        </row>
        <row r="2427">
          <cell r="D2427" t="str">
            <v>UDS1683</v>
          </cell>
        </row>
        <row r="2428">
          <cell r="D2428" t="str">
            <v>UDS1684</v>
          </cell>
        </row>
        <row r="2429">
          <cell r="D2429" t="str">
            <v>UDS1685</v>
          </cell>
        </row>
        <row r="2430">
          <cell r="D2430" t="str">
            <v>UDS1687</v>
          </cell>
        </row>
        <row r="2431">
          <cell r="D2431" t="str">
            <v>UDS1688</v>
          </cell>
        </row>
        <row r="2432">
          <cell r="D2432" t="str">
            <v>UDS1690</v>
          </cell>
        </row>
        <row r="2433">
          <cell r="D2433" t="str">
            <v>UDS1691</v>
          </cell>
        </row>
        <row r="2434">
          <cell r="D2434" t="str">
            <v>UDS1692</v>
          </cell>
        </row>
        <row r="2435">
          <cell r="D2435" t="str">
            <v>UDS1694</v>
          </cell>
        </row>
        <row r="2436">
          <cell r="D2436" t="str">
            <v>UDS1695</v>
          </cell>
        </row>
        <row r="2437">
          <cell r="D2437" t="str">
            <v>UDS1696</v>
          </cell>
        </row>
        <row r="2438">
          <cell r="D2438" t="str">
            <v>UDS1697</v>
          </cell>
        </row>
        <row r="2439">
          <cell r="D2439" t="str">
            <v>UDS1699</v>
          </cell>
        </row>
        <row r="2440">
          <cell r="D2440" t="str">
            <v>UDS1700</v>
          </cell>
        </row>
        <row r="2441">
          <cell r="D2441" t="str">
            <v>UDS1701</v>
          </cell>
        </row>
        <row r="2442">
          <cell r="D2442" t="str">
            <v>UDS1702</v>
          </cell>
        </row>
        <row r="2443">
          <cell r="D2443" t="str">
            <v>UDS1705</v>
          </cell>
        </row>
        <row r="2444">
          <cell r="D2444" t="str">
            <v>UDS1706</v>
          </cell>
        </row>
        <row r="2445">
          <cell r="D2445" t="str">
            <v>UDS1707</v>
          </cell>
        </row>
        <row r="2446">
          <cell r="D2446" t="str">
            <v>UDS1708</v>
          </cell>
        </row>
        <row r="2447">
          <cell r="D2447" t="str">
            <v>UDS1711</v>
          </cell>
        </row>
        <row r="2448">
          <cell r="D2448" t="str">
            <v>UDS1712</v>
          </cell>
        </row>
        <row r="2449">
          <cell r="D2449" t="str">
            <v>UDS1713</v>
          </cell>
        </row>
        <row r="2450">
          <cell r="D2450" t="str">
            <v>UDS1714</v>
          </cell>
        </row>
        <row r="2451">
          <cell r="D2451" t="str">
            <v>UDS1716</v>
          </cell>
        </row>
        <row r="2452">
          <cell r="D2452" t="str">
            <v>UDS1717</v>
          </cell>
        </row>
        <row r="2453">
          <cell r="D2453" t="str">
            <v>UDS1718</v>
          </cell>
        </row>
        <row r="2454">
          <cell r="D2454" t="str">
            <v>UDS1720</v>
          </cell>
        </row>
        <row r="2455">
          <cell r="D2455" t="str">
            <v>UDS1722</v>
          </cell>
        </row>
        <row r="2456">
          <cell r="D2456" t="str">
            <v>UDS1723</v>
          </cell>
        </row>
        <row r="2457">
          <cell r="D2457" t="str">
            <v>UDS1724</v>
          </cell>
        </row>
        <row r="2458">
          <cell r="D2458" t="str">
            <v>UDS1725</v>
          </cell>
        </row>
        <row r="2459">
          <cell r="D2459" t="str">
            <v>UDS1727</v>
          </cell>
        </row>
        <row r="2460">
          <cell r="D2460" t="str">
            <v>UDS1731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F12" sqref="F12"/>
    </sheetView>
  </sheetViews>
  <sheetFormatPr baseColWidth="8" defaultRowHeight="15"/>
  <cols>
    <col width="19.5703125" customWidth="1" style="87" min="1" max="1"/>
    <col width="15" customWidth="1" style="118" min="2" max="2"/>
    <col width="15.28515625" customWidth="1" style="118" min="3" max="3"/>
    <col width="14.7109375" customWidth="1" style="118" min="4" max="4"/>
    <col width="15.28515625" customWidth="1" style="118" min="5" max="5"/>
    <col width="17.28515625" customWidth="1" style="118" min="6" max="10"/>
    <col width="12.7109375" customWidth="1" style="91" min="11" max="11"/>
    <col width="11" customWidth="1" style="91" min="12" max="12"/>
    <col width="13.28515625" customWidth="1" style="91" min="13" max="13"/>
  </cols>
  <sheetData>
    <row r="1" ht="42.75" customHeight="1" s="118">
      <c r="A1" s="104" t="inlineStr">
        <is>
          <t>Year</t>
        </is>
      </c>
      <c r="B1" s="104" t="inlineStr">
        <is>
          <t>Total Employees</t>
        </is>
      </c>
      <c r="C1" s="104" t="inlineStr">
        <is>
          <t>I Level</t>
        </is>
      </c>
      <c r="D1" s="104" t="inlineStr">
        <is>
          <t>L Level</t>
        </is>
      </c>
      <c r="E1" s="104" t="inlineStr">
        <is>
          <t>U Level</t>
        </is>
      </c>
      <c r="F1" s="104" t="inlineStr">
        <is>
          <t>O Level</t>
        </is>
      </c>
      <c r="G1" s="104" t="n"/>
      <c r="H1" s="104" t="n"/>
      <c r="I1" s="104" t="n"/>
      <c r="J1" s="104" t="n"/>
      <c r="K1" s="104" t="inlineStr">
        <is>
          <t>U Level increase %</t>
        </is>
      </c>
      <c r="L1" s="104" t="inlineStr">
        <is>
          <t>O Level increase %</t>
        </is>
      </c>
      <c r="M1" s="104" t="inlineStr">
        <is>
          <t>U &amp; O Level increase %</t>
        </is>
      </c>
    </row>
    <row r="2" ht="31.5" customHeight="1" s="118">
      <c r="A2" s="86" t="n">
        <v>2023</v>
      </c>
      <c r="B2" s="86">
        <f>SUM(C2:F2)</f>
        <v/>
      </c>
      <c r="C2" s="86" t="n">
        <v>318</v>
      </c>
      <c r="D2" s="86" t="n">
        <v>508</v>
      </c>
      <c r="E2" s="86" t="n">
        <v>327</v>
      </c>
      <c r="F2" s="86" t="n">
        <v>168</v>
      </c>
      <c r="G2" s="86" t="n"/>
      <c r="H2" s="86" t="n"/>
      <c r="I2" s="86" t="n"/>
      <c r="J2" s="86" t="n"/>
      <c r="K2" s="88">
        <f>E2/B2</f>
        <v/>
      </c>
      <c r="L2" s="88">
        <f>F2/B2</f>
        <v/>
      </c>
      <c r="M2" s="89">
        <f>L2+K2</f>
        <v/>
      </c>
    </row>
    <row r="3" ht="31.5" customHeight="1" s="118">
      <c r="A3" s="86" t="n">
        <v>2024</v>
      </c>
      <c r="B3" s="86">
        <f>SUM(C3:F3)</f>
        <v/>
      </c>
      <c r="C3" s="86" t="n">
        <v>253</v>
      </c>
      <c r="D3" s="86" t="n">
        <v>412</v>
      </c>
      <c r="E3" s="86" t="n">
        <v>464</v>
      </c>
      <c r="F3" s="86" t="n">
        <v>192</v>
      </c>
      <c r="G3" s="86" t="n"/>
      <c r="H3" s="86" t="n"/>
      <c r="I3" s="86" t="n"/>
      <c r="J3" s="86" t="n"/>
      <c r="K3" s="88">
        <f>E3/B3</f>
        <v/>
      </c>
      <c r="L3" s="88">
        <f>F3/B3</f>
        <v/>
      </c>
      <c r="M3" s="89">
        <f>L3+K3</f>
        <v/>
      </c>
    </row>
    <row r="4" ht="31.5" customHeight="1" s="118">
      <c r="B4" s="93" t="inlineStr">
        <is>
          <t>year</t>
        </is>
      </c>
      <c r="C4" s="104" t="inlineStr">
        <is>
          <t>I Level</t>
        </is>
      </c>
      <c r="D4" s="104" t="inlineStr">
        <is>
          <t>L Level</t>
        </is>
      </c>
      <c r="E4" s="104" t="inlineStr">
        <is>
          <t>U Level</t>
        </is>
      </c>
      <c r="F4" s="104" t="inlineStr">
        <is>
          <t>O Level</t>
        </is>
      </c>
      <c r="G4" s="93" t="n"/>
      <c r="H4" s="93" t="n"/>
      <c r="I4" s="93" t="n"/>
      <c r="J4" s="93" t="n"/>
      <c r="K4" s="94" t="n"/>
      <c r="L4" s="94" t="n"/>
      <c r="M4" s="95" t="n"/>
    </row>
    <row r="5" ht="19.5" customHeight="1" s="118">
      <c r="B5" s="87" t="n">
        <v>2023</v>
      </c>
      <c r="C5" s="92">
        <f>C3/$B$3</f>
        <v/>
      </c>
      <c r="D5" s="92" t="n">
        <v>0.41</v>
      </c>
      <c r="E5" s="92" t="n">
        <v>0.25</v>
      </c>
      <c r="F5" s="92">
        <f>F3/$B$3</f>
        <v/>
      </c>
      <c r="G5" s="97">
        <f>SUM(C5:F5)</f>
        <v/>
      </c>
      <c r="H5" s="91" t="n"/>
      <c r="I5" s="91" t="n"/>
      <c r="J5" s="91" t="n"/>
    </row>
    <row r="6">
      <c r="B6" s="87" t="n">
        <v>2024</v>
      </c>
      <c r="C6" s="92" t="n">
        <v>0.2</v>
      </c>
      <c r="D6" s="92" t="n">
        <v>0.25</v>
      </c>
      <c r="E6" s="96" t="n">
        <v>0.35</v>
      </c>
      <c r="F6" s="92" t="n">
        <v>0.2</v>
      </c>
      <c r="G6" s="97">
        <f>SUM(C6:F6)</f>
        <v/>
      </c>
    </row>
    <row r="7">
      <c r="A7" s="87" t="inlineStr">
        <is>
          <t>Plant Head data</t>
        </is>
      </c>
      <c r="B7" s="87" t="n">
        <v>2025</v>
      </c>
      <c r="C7" s="92" t="n">
        <v>0.09319899244332494</v>
      </c>
      <c r="D7" s="92" t="n">
        <v>0.054575986565911</v>
      </c>
      <c r="E7" s="92" t="n">
        <v>0.4659949622166247</v>
      </c>
      <c r="F7" s="92" t="n">
        <v>0.3862300587741394</v>
      </c>
      <c r="G7" s="97">
        <f>SUM(C7:F7)</f>
        <v/>
      </c>
    </row>
  </sheetData>
  <pageMargins left="0.41" right="0.39" top="0.75" bottom="0.75" header="0.3" footer="0.3"/>
  <pageSetup orientation="landscape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U40"/>
  <sheetViews>
    <sheetView tabSelected="1" workbookViewId="0">
      <pane xSplit="3" ySplit="3" topLeftCell="D4" activePane="bottomRight" state="frozen"/>
      <selection activeCell="N4" sqref="N4"/>
      <selection pane="topRight" activeCell="N4" sqref="N4"/>
      <selection pane="bottomLeft" activeCell="N4" sqref="N4"/>
      <selection pane="bottomRight" activeCell="U6" sqref="U6"/>
    </sheetView>
  </sheetViews>
  <sheetFormatPr baseColWidth="8" defaultRowHeight="21" customHeight="1"/>
  <cols>
    <col hidden="1" width="1.85546875" customWidth="1" style="53" min="1" max="1"/>
    <col width="14.42578125" customWidth="1" style="69" min="2" max="2"/>
    <col width="27.85546875" customWidth="1" style="53" min="3" max="3"/>
    <col width="7.140625" customWidth="1" style="52" min="4" max="8"/>
    <col width="8.140625" customWidth="1" style="53" min="9" max="9"/>
    <col width="8.5703125" customWidth="1" style="53" min="10" max="10"/>
    <col width="7.42578125" customWidth="1" style="53" min="11" max="11"/>
    <col width="7.85546875" customWidth="1" style="53" min="12" max="12"/>
    <col width="2.42578125" customWidth="1" style="53" min="13" max="13"/>
    <col width="7.28515625" customWidth="1" style="52" min="14" max="14"/>
    <col width="7" customWidth="1" style="52" min="15" max="15"/>
    <col width="7.28515625" customWidth="1" style="52" min="16" max="16"/>
    <col width="7.28515625" customWidth="1" style="53" min="17" max="17"/>
    <col width="6" customWidth="1" style="53" min="18" max="18"/>
    <col width="9.140625" customWidth="1" style="53" min="19" max="16384"/>
  </cols>
  <sheetData>
    <row r="1" ht="16.5" customHeight="1" s="118">
      <c r="C1" s="49" t="n"/>
      <c r="D1" s="159" t="n"/>
      <c r="E1" s="159" t="n"/>
      <c r="F1" s="159" t="n"/>
      <c r="G1" s="159" t="n"/>
      <c r="H1" s="159" t="n"/>
      <c r="I1" s="159" t="n"/>
      <c r="M1" s="53" t="n"/>
      <c r="N1" s="52" t="n"/>
      <c r="O1" s="52" t="n"/>
      <c r="P1" s="52" t="n"/>
      <c r="Q1" s="53" t="n"/>
      <c r="R1" s="53" t="n"/>
    </row>
    <row r="2" ht="27" customHeight="1" s="118">
      <c r="B2" s="160" t="inlineStr">
        <is>
          <t>Responsibility</t>
        </is>
      </c>
      <c r="C2" s="173" t="inlineStr">
        <is>
          <t>SECTION</t>
        </is>
      </c>
      <c r="D2" s="162" t="inlineStr">
        <is>
          <t>Head Count</t>
        </is>
      </c>
      <c r="E2" s="162" t="n">
        <v>2025</v>
      </c>
      <c r="F2" s="175" t="n"/>
      <c r="G2" s="175" t="n"/>
      <c r="H2" s="176" t="n"/>
      <c r="I2" s="162" t="n">
        <v>2026</v>
      </c>
      <c r="J2" s="175" t="n"/>
      <c r="K2" s="175" t="n"/>
      <c r="L2" s="176" t="n"/>
      <c r="M2" s="54" t="n"/>
      <c r="N2" s="162" t="inlineStr">
        <is>
          <t>Gap</t>
        </is>
      </c>
      <c r="O2" s="175" t="n"/>
      <c r="P2" s="175" t="n"/>
      <c r="Q2" s="176" t="n"/>
      <c r="R2" s="53" t="n"/>
    </row>
    <row r="3" ht="21" customHeight="1" s="118">
      <c r="B3" s="177" t="n"/>
      <c r="C3" s="178" t="n"/>
      <c r="D3" s="178" t="n"/>
      <c r="E3" s="162" t="inlineStr">
        <is>
          <t>I</t>
        </is>
      </c>
      <c r="F3" s="162" t="inlineStr">
        <is>
          <t>L</t>
        </is>
      </c>
      <c r="G3" s="162" t="inlineStr">
        <is>
          <t>U</t>
        </is>
      </c>
      <c r="H3" s="162" t="inlineStr">
        <is>
          <t>O</t>
        </is>
      </c>
      <c r="I3" s="162" t="inlineStr">
        <is>
          <t>I</t>
        </is>
      </c>
      <c r="J3" s="162" t="inlineStr">
        <is>
          <t>L</t>
        </is>
      </c>
      <c r="K3" s="162" t="inlineStr">
        <is>
          <t>U</t>
        </is>
      </c>
      <c r="L3" s="162" t="inlineStr">
        <is>
          <t>O</t>
        </is>
      </c>
      <c r="M3" s="54" t="n"/>
      <c r="N3" s="162" t="inlineStr">
        <is>
          <t>I</t>
        </is>
      </c>
      <c r="O3" s="162" t="inlineStr">
        <is>
          <t>L</t>
        </is>
      </c>
      <c r="P3" s="162" t="inlineStr">
        <is>
          <t>U</t>
        </is>
      </c>
      <c r="Q3" s="162" t="inlineStr">
        <is>
          <t>O</t>
        </is>
      </c>
      <c r="R3" s="53" t="n"/>
    </row>
    <row r="4" ht="21" customHeight="1" s="118">
      <c r="B4" s="70" t="inlineStr">
        <is>
          <t>KUMAR</t>
        </is>
      </c>
      <c r="C4" s="57" t="inlineStr">
        <is>
          <t>MIXING</t>
        </is>
      </c>
      <c r="D4" s="7">
        <f>COUNTIFS('Name list'!$E:$E,'2025-2026 comp'!$C4)</f>
        <v/>
      </c>
      <c r="E4" s="7">
        <f>COUNTIFS('Name list'!$I:$I,'2025-2026 comp'!E$3,'Name list'!$E:$E,'2025-2026 comp'!$C4)</f>
        <v/>
      </c>
      <c r="F4" s="7">
        <f>COUNTIFS('Name list'!$I:$I,'2025-2026 comp'!F$3,'Name list'!$E:$E,'2025-2026 comp'!$C4)</f>
        <v/>
      </c>
      <c r="G4" s="7">
        <f>COUNTIFS('Name list'!$I:$I,'2025-2026 comp'!G$3,'Name list'!$E:$E,'2025-2026 comp'!$C4)</f>
        <v/>
      </c>
      <c r="H4" s="7">
        <f>COUNTIFS('Name list'!$I:$I,'2025-2026 comp'!H$3,'Name list'!$E:$E,'2025-2026 comp'!$C4)</f>
        <v/>
      </c>
      <c r="I4" s="7">
        <f>COUNTIFS('Name list'!$Y:$Y,'2025-2026 comp'!I$3,'Name list'!$E:$E,'2025-2026 comp'!$C4)</f>
        <v/>
      </c>
      <c r="J4" s="7">
        <f>COUNTIFS('Name list'!$Y:$Y,'2025-2026 comp'!J$3,'Name list'!$E:$E,'2025-2026 comp'!$C4)</f>
        <v/>
      </c>
      <c r="K4" s="7">
        <f>COUNTIFS('Name list'!$Y:$Y,'2025-2026 comp'!K$3,'Name list'!$E:$E,'2025-2026 comp'!$C4)</f>
        <v/>
      </c>
      <c r="L4" s="7">
        <f>COUNTIFS('Name list'!$Y:$Y,'2025-2026 comp'!L$3,'Name list'!$E:$E,'2025-2026 comp'!$C4)</f>
        <v/>
      </c>
      <c r="M4" s="17" t="n"/>
      <c r="N4" s="38">
        <f>I4-E4</f>
        <v/>
      </c>
      <c r="O4" s="38">
        <f>J4-F4</f>
        <v/>
      </c>
      <c r="P4" s="38">
        <f>K4-G4</f>
        <v/>
      </c>
      <c r="Q4" s="38">
        <f>L4-H4</f>
        <v/>
      </c>
      <c r="R4" s="53" t="n"/>
    </row>
    <row r="5" ht="21" customHeight="1" s="118">
      <c r="B5" s="70" t="inlineStr">
        <is>
          <t>RAJESH</t>
        </is>
      </c>
      <c r="C5" s="80" t="inlineStr">
        <is>
          <t>TYRE CURING</t>
        </is>
      </c>
      <c r="D5" s="7">
        <f>COUNTIFS('Name list'!$E:$E,'2025-2026 comp'!$C5)</f>
        <v/>
      </c>
      <c r="E5" s="7">
        <f>COUNTIFS('Name list'!$I:$I,'2025-2026 comp'!E$3,'Name list'!$E:$E,'2025-2026 comp'!$C5)</f>
        <v/>
      </c>
      <c r="F5" s="7">
        <f>COUNTIFS('Name list'!$I:$I,'2025-2026 comp'!F$3,'Name list'!$E:$E,'2025-2026 comp'!$C5)</f>
        <v/>
      </c>
      <c r="G5" s="7">
        <f>COUNTIFS('Name list'!$I:$I,'2025-2026 comp'!G$3,'Name list'!$E:$E,'2025-2026 comp'!$C5)</f>
        <v/>
      </c>
      <c r="H5" s="7">
        <f>COUNTIFS('Name list'!$I:$I,'2025-2026 comp'!H$3,'Name list'!$E:$E,'2025-2026 comp'!$C5)</f>
        <v/>
      </c>
      <c r="I5" s="7">
        <f>COUNTIFS('Name list'!$Y:$Y,'2025-2026 comp'!I$3,'Name list'!$E:$E,'2025-2026 comp'!$C5)</f>
        <v/>
      </c>
      <c r="J5" s="7">
        <f>COUNTIFS('Name list'!$Y:$Y,'2025-2026 comp'!J$3,'Name list'!$E:$E,'2025-2026 comp'!$C5)</f>
        <v/>
      </c>
      <c r="K5" s="7">
        <f>COUNTIFS('Name list'!$Y:$Y,'2025-2026 comp'!K$3,'Name list'!$E:$E,'2025-2026 comp'!$C5)</f>
        <v/>
      </c>
      <c r="L5" s="7">
        <f>COUNTIFS('Name list'!$Y:$Y,'2025-2026 comp'!L$3,'Name list'!$E:$E,'2025-2026 comp'!$C5)</f>
        <v/>
      </c>
      <c r="M5" s="17" t="n"/>
      <c r="N5" s="38">
        <f>I5-E5</f>
        <v/>
      </c>
      <c r="O5" s="38">
        <f>J5-F5</f>
        <v/>
      </c>
      <c r="P5" s="38">
        <f>K5-G5</f>
        <v/>
      </c>
      <c r="Q5" s="38">
        <f>L5-H5</f>
        <v/>
      </c>
      <c r="R5" s="79" t="n"/>
      <c r="S5" s="79" t="n"/>
      <c r="T5" s="79" t="n"/>
      <c r="U5" s="79" t="n"/>
    </row>
    <row r="6" ht="21" customHeight="1" s="118">
      <c r="B6" s="70" t="inlineStr">
        <is>
          <t>ANBUNITHI</t>
        </is>
      </c>
      <c r="C6" s="57" t="inlineStr">
        <is>
          <t>SOLID TYRE</t>
        </is>
      </c>
      <c r="D6" s="7">
        <f>COUNTIFS('Name list'!$E:$E,'2025-2026 comp'!$C6)</f>
        <v/>
      </c>
      <c r="E6" s="7">
        <f>COUNTIFS('Name list'!$I:$I,'2025-2026 comp'!E$3,'Name list'!$E:$E,'2025-2026 comp'!$C6)</f>
        <v/>
      </c>
      <c r="F6" s="7">
        <f>COUNTIFS('Name list'!$I:$I,'2025-2026 comp'!F$3,'Name list'!$E:$E,'2025-2026 comp'!$C6)</f>
        <v/>
      </c>
      <c r="G6" s="7">
        <f>COUNTIFS('Name list'!$I:$I,'2025-2026 comp'!G$3,'Name list'!$E:$E,'2025-2026 comp'!$C6)</f>
        <v/>
      </c>
      <c r="H6" s="7">
        <f>COUNTIFS('Name list'!$I:$I,'2025-2026 comp'!H$3,'Name list'!$E:$E,'2025-2026 comp'!$C6)</f>
        <v/>
      </c>
      <c r="I6" s="7">
        <f>COUNTIFS('Name list'!$Y:$Y,'2025-2026 comp'!I$3,'Name list'!$E:$E,'2025-2026 comp'!$C6)</f>
        <v/>
      </c>
      <c r="J6" s="7">
        <f>COUNTIFS('Name list'!$Y:$Y,'2025-2026 comp'!J$3,'Name list'!$E:$E,'2025-2026 comp'!$C6)</f>
        <v/>
      </c>
      <c r="K6" s="7">
        <f>COUNTIFS('Name list'!$Y:$Y,'2025-2026 comp'!K$3,'Name list'!$E:$E,'2025-2026 comp'!$C6)</f>
        <v/>
      </c>
      <c r="L6" s="7">
        <f>COUNTIFS('Name list'!$Y:$Y,'2025-2026 comp'!L$3,'Name list'!$E:$E,'2025-2026 comp'!$C6)</f>
        <v/>
      </c>
      <c r="M6" s="17" t="n"/>
      <c r="N6" s="38">
        <f>I6-E6</f>
        <v/>
      </c>
      <c r="O6" s="38">
        <f>J6-F6</f>
        <v/>
      </c>
      <c r="P6" s="38">
        <f>K6-G6</f>
        <v/>
      </c>
      <c r="Q6" s="38">
        <f>L6-H6</f>
        <v/>
      </c>
      <c r="R6" s="53" t="n"/>
    </row>
    <row r="7" ht="21" customHeight="1" s="118">
      <c r="B7" s="71" t="inlineStr">
        <is>
          <t>MANICKKAM</t>
        </is>
      </c>
      <c r="C7" s="57" t="inlineStr">
        <is>
          <t>EXTRUDER</t>
        </is>
      </c>
      <c r="D7" s="7">
        <f>COUNTIFS('Name list'!$E:$E,'2025-2026 comp'!$C7)</f>
        <v/>
      </c>
      <c r="E7" s="7">
        <f>COUNTIFS('Name list'!$I:$I,'2025-2026 comp'!E$3,'Name list'!$E:$E,'2025-2026 comp'!$C7)</f>
        <v/>
      </c>
      <c r="F7" s="7">
        <f>COUNTIFS('Name list'!$I:$I,'2025-2026 comp'!F$3,'Name list'!$E:$E,'2025-2026 comp'!$C7)</f>
        <v/>
      </c>
      <c r="G7" s="7">
        <f>COUNTIFS('Name list'!$I:$I,'2025-2026 comp'!G$3,'Name list'!$E:$E,'2025-2026 comp'!$C7)</f>
        <v/>
      </c>
      <c r="H7" s="7">
        <f>COUNTIFS('Name list'!$I:$I,'2025-2026 comp'!H$3,'Name list'!$E:$E,'2025-2026 comp'!$C7)</f>
        <v/>
      </c>
      <c r="I7" s="7">
        <f>COUNTIFS('Name list'!$Y:$Y,'2025-2026 comp'!I$3,'Name list'!$E:$E,'2025-2026 comp'!$C7)</f>
        <v/>
      </c>
      <c r="J7" s="7">
        <f>COUNTIFS('Name list'!$Y:$Y,'2025-2026 comp'!J$3,'Name list'!$E:$E,'2025-2026 comp'!$C7)</f>
        <v/>
      </c>
      <c r="K7" s="7">
        <f>COUNTIFS('Name list'!$Y:$Y,'2025-2026 comp'!K$3,'Name list'!$E:$E,'2025-2026 comp'!$C7)</f>
        <v/>
      </c>
      <c r="L7" s="7">
        <f>COUNTIFS('Name list'!$Y:$Y,'2025-2026 comp'!L$3,'Name list'!$E:$E,'2025-2026 comp'!$C7)</f>
        <v/>
      </c>
      <c r="M7" s="17" t="n"/>
      <c r="N7" s="38">
        <f>I7-E7</f>
        <v/>
      </c>
      <c r="O7" s="38">
        <f>J7-F7</f>
        <v/>
      </c>
      <c r="P7" s="38">
        <f>K7-G7</f>
        <v/>
      </c>
      <c r="Q7" s="38">
        <f>L7-H7</f>
        <v/>
      </c>
      <c r="R7" s="53" t="n"/>
    </row>
    <row r="8" ht="21" customHeight="1" s="118">
      <c r="B8" s="71" t="inlineStr">
        <is>
          <t>MANICKKAM</t>
        </is>
      </c>
      <c r="C8" s="57" t="inlineStr">
        <is>
          <t>Extruder Cement Application</t>
        </is>
      </c>
      <c r="D8" s="7">
        <f>COUNTIFS('Name list'!$E:$E,'2025-2026 comp'!$C8)</f>
        <v/>
      </c>
      <c r="E8" s="7">
        <f>COUNTIFS('Name list'!$I:$I,'2025-2026 comp'!E$3,'Name list'!$E:$E,'2025-2026 comp'!$C8)</f>
        <v/>
      </c>
      <c r="F8" s="7">
        <f>COUNTIFS('Name list'!$I:$I,'2025-2026 comp'!F$3,'Name list'!$E:$E,'2025-2026 comp'!$C8)</f>
        <v/>
      </c>
      <c r="G8" s="7">
        <f>COUNTIFS('Name list'!$I:$I,'2025-2026 comp'!G$3,'Name list'!$E:$E,'2025-2026 comp'!$C8)</f>
        <v/>
      </c>
      <c r="H8" s="7">
        <f>COUNTIFS('Name list'!$I:$I,'2025-2026 comp'!H$3,'Name list'!$E:$E,'2025-2026 comp'!$C8)</f>
        <v/>
      </c>
      <c r="I8" s="7">
        <f>COUNTIFS('Name list'!$Y:$Y,'2025-2026 comp'!I$3,'Name list'!$E:$E,'2025-2026 comp'!$C8)</f>
        <v/>
      </c>
      <c r="J8" s="7">
        <f>COUNTIFS('Name list'!$Y:$Y,'2025-2026 comp'!J$3,'Name list'!$E:$E,'2025-2026 comp'!$C8)</f>
        <v/>
      </c>
      <c r="K8" s="7">
        <f>COUNTIFS('Name list'!$Y:$Y,'2025-2026 comp'!K$3,'Name list'!$E:$E,'2025-2026 comp'!$C8)</f>
        <v/>
      </c>
      <c r="L8" s="7">
        <f>COUNTIFS('Name list'!$Y:$Y,'2025-2026 comp'!L$3,'Name list'!$E:$E,'2025-2026 comp'!$C8)</f>
        <v/>
      </c>
      <c r="M8" s="17" t="n"/>
      <c r="N8" s="38">
        <f>I8-E8</f>
        <v/>
      </c>
      <c r="O8" s="38">
        <f>J8-F8</f>
        <v/>
      </c>
      <c r="P8" s="38">
        <f>K8-G8</f>
        <v/>
      </c>
      <c r="Q8" s="38">
        <f>L8-H8</f>
        <v/>
      </c>
      <c r="R8" s="53" t="n"/>
    </row>
    <row r="9" ht="21" customHeight="1" s="118">
      <c r="B9" s="71" t="inlineStr">
        <is>
          <t>MANICKKAM</t>
        </is>
      </c>
      <c r="C9" s="57" t="inlineStr">
        <is>
          <t>STEELASTIC</t>
        </is>
      </c>
      <c r="D9" s="7">
        <f>COUNTIFS('Name list'!$E:$E,'2025-2026 comp'!$C9)</f>
        <v/>
      </c>
      <c r="E9" s="7">
        <f>COUNTIFS('Name list'!$I:$I,'2025-2026 comp'!E$3,'Name list'!$E:$E,'2025-2026 comp'!$C9)</f>
        <v/>
      </c>
      <c r="F9" s="7">
        <f>COUNTIFS('Name list'!$I:$I,'2025-2026 comp'!F$3,'Name list'!$E:$E,'2025-2026 comp'!$C9)</f>
        <v/>
      </c>
      <c r="G9" s="7">
        <f>COUNTIFS('Name list'!$I:$I,'2025-2026 comp'!G$3,'Name list'!$E:$E,'2025-2026 comp'!$C9)</f>
        <v/>
      </c>
      <c r="H9" s="7">
        <f>COUNTIFS('Name list'!$I:$I,'2025-2026 comp'!H$3,'Name list'!$E:$E,'2025-2026 comp'!$C9)</f>
        <v/>
      </c>
      <c r="I9" s="7">
        <f>COUNTIFS('Name list'!$Y:$Y,'2025-2026 comp'!I$3,'Name list'!$E:$E,'2025-2026 comp'!$C9)</f>
        <v/>
      </c>
      <c r="J9" s="7">
        <f>COUNTIFS('Name list'!$Y:$Y,'2025-2026 comp'!J$3,'Name list'!$E:$E,'2025-2026 comp'!$C9)</f>
        <v/>
      </c>
      <c r="K9" s="7">
        <f>COUNTIFS('Name list'!$Y:$Y,'2025-2026 comp'!K$3,'Name list'!$E:$E,'2025-2026 comp'!$C9)</f>
        <v/>
      </c>
      <c r="L9" s="7">
        <f>COUNTIFS('Name list'!$Y:$Y,'2025-2026 comp'!L$3,'Name list'!$E:$E,'2025-2026 comp'!$C9)</f>
        <v/>
      </c>
      <c r="M9" s="17" t="n"/>
      <c r="N9" s="38">
        <f>I9-E9</f>
        <v/>
      </c>
      <c r="O9" s="38">
        <f>J9-F9</f>
        <v/>
      </c>
      <c r="P9" s="38">
        <f>K9-G9</f>
        <v/>
      </c>
      <c r="Q9" s="38">
        <f>L9-H9</f>
        <v/>
      </c>
      <c r="R9" s="53" t="n"/>
    </row>
    <row r="10" ht="21" customHeight="1" s="118">
      <c r="B10" s="71" t="inlineStr">
        <is>
          <t>SANKAR</t>
        </is>
      </c>
      <c r="C10" s="61" t="inlineStr">
        <is>
          <t>3 ROLL-P2</t>
        </is>
      </c>
      <c r="D10" s="42">
        <f>COUNTIFS('Name list'!$E:$E,'2025-2026 comp'!$C10)</f>
        <v/>
      </c>
      <c r="E10" s="7">
        <f>COUNTIFS('Name list'!$I:$I,'2025-2026 comp'!E$3,'Name list'!$E:$E,'2025-2026 comp'!$C10)</f>
        <v/>
      </c>
      <c r="F10" s="7">
        <f>COUNTIFS('Name list'!$I:$I,'2025-2026 comp'!F$3,'Name list'!$E:$E,'2025-2026 comp'!$C10)</f>
        <v/>
      </c>
      <c r="G10" s="7">
        <f>COUNTIFS('Name list'!$I:$I,'2025-2026 comp'!G$3,'Name list'!$E:$E,'2025-2026 comp'!$C10)</f>
        <v/>
      </c>
      <c r="H10" s="7">
        <f>COUNTIFS('Name list'!$I:$I,'2025-2026 comp'!H$3,'Name list'!$E:$E,'2025-2026 comp'!$C10)</f>
        <v/>
      </c>
      <c r="I10" s="42">
        <f>COUNTIFS('Name list'!$Y:$Y,'2025-2026 comp'!I$3,'Name list'!$E:$E,'2025-2026 comp'!$C10)</f>
        <v/>
      </c>
      <c r="J10" s="42">
        <f>COUNTIFS('Name list'!$Y:$Y,'2025-2026 comp'!J$3,'Name list'!$E:$E,'2025-2026 comp'!$C10)</f>
        <v/>
      </c>
      <c r="K10" s="42">
        <f>COUNTIFS('Name list'!$Y:$Y,'2025-2026 comp'!K$3,'Name list'!$E:$E,'2025-2026 comp'!$C10)</f>
        <v/>
      </c>
      <c r="L10" s="42">
        <f>COUNTIFS('Name list'!$Y:$Y,'2025-2026 comp'!L$3,'Name list'!$E:$E,'2025-2026 comp'!$C10)</f>
        <v/>
      </c>
      <c r="M10" s="17" t="n"/>
      <c r="N10" s="38">
        <f>I10-E10</f>
        <v/>
      </c>
      <c r="O10" s="38">
        <f>J10-F10</f>
        <v/>
      </c>
      <c r="P10" s="38">
        <f>K10-G10</f>
        <v/>
      </c>
      <c r="Q10" s="38">
        <f>L10-H10</f>
        <v/>
      </c>
      <c r="R10" s="53" t="n"/>
    </row>
    <row r="11" ht="21" customHeight="1" s="118">
      <c r="B11" s="71" t="inlineStr">
        <is>
          <t>SANKAR</t>
        </is>
      </c>
      <c r="C11" s="57" t="inlineStr">
        <is>
          <t>4 ROLL</t>
        </is>
      </c>
      <c r="D11" s="7">
        <f>COUNTIFS('Name list'!$E:$E,'2025-2026 comp'!$C11)</f>
        <v/>
      </c>
      <c r="E11" s="7">
        <f>COUNTIFS('Name list'!$I:$I,'2025-2026 comp'!E$3,'Name list'!$E:$E,'2025-2026 comp'!$C11)</f>
        <v/>
      </c>
      <c r="F11" s="7">
        <f>COUNTIFS('Name list'!$I:$I,'2025-2026 comp'!F$3,'Name list'!$E:$E,'2025-2026 comp'!$C11)</f>
        <v/>
      </c>
      <c r="G11" s="7">
        <f>COUNTIFS('Name list'!$I:$I,'2025-2026 comp'!G$3,'Name list'!$E:$E,'2025-2026 comp'!$C11)</f>
        <v/>
      </c>
      <c r="H11" s="7">
        <f>COUNTIFS('Name list'!$I:$I,'2025-2026 comp'!H$3,'Name list'!$E:$E,'2025-2026 comp'!$C11)</f>
        <v/>
      </c>
      <c r="I11" s="7">
        <f>COUNTIFS('Name list'!$Y:$Y,'2025-2026 comp'!I$3,'Name list'!$E:$E,'2025-2026 comp'!$C11)</f>
        <v/>
      </c>
      <c r="J11" s="7">
        <f>COUNTIFS('Name list'!$Y:$Y,'2025-2026 comp'!J$3,'Name list'!$E:$E,'2025-2026 comp'!$C11)</f>
        <v/>
      </c>
      <c r="K11" s="7">
        <f>COUNTIFS('Name list'!$Y:$Y,'2025-2026 comp'!K$3,'Name list'!$E:$E,'2025-2026 comp'!$C11)</f>
        <v/>
      </c>
      <c r="L11" s="7">
        <f>COUNTIFS('Name list'!$Y:$Y,'2025-2026 comp'!L$3,'Name list'!$E:$E,'2025-2026 comp'!$C11)</f>
        <v/>
      </c>
      <c r="M11" s="17" t="n"/>
      <c r="N11" s="38">
        <f>I11-E11</f>
        <v/>
      </c>
      <c r="O11" s="38">
        <f>J11-F11</f>
        <v/>
      </c>
      <c r="P11" s="38">
        <f>K11-G11</f>
        <v/>
      </c>
      <c r="Q11" s="38">
        <f>L11-H11</f>
        <v/>
      </c>
      <c r="R11" s="53" t="n"/>
    </row>
    <row r="12" ht="21" customHeight="1" s="118">
      <c r="B12" s="71" t="inlineStr">
        <is>
          <t>SANKAR</t>
        </is>
      </c>
      <c r="C12" s="57" t="inlineStr">
        <is>
          <t>LINER DRESSING</t>
        </is>
      </c>
      <c r="D12" s="7">
        <f>COUNTIFS('Name list'!$E:$E,'2025-2026 comp'!$C12)</f>
        <v/>
      </c>
      <c r="E12" s="7">
        <f>COUNTIFS('Name list'!$I:$I,'2025-2026 comp'!E$3,'Name list'!$E:$E,'2025-2026 comp'!$C12)</f>
        <v/>
      </c>
      <c r="F12" s="7">
        <f>COUNTIFS('Name list'!$I:$I,'2025-2026 comp'!F$3,'Name list'!$E:$E,'2025-2026 comp'!$C12)</f>
        <v/>
      </c>
      <c r="G12" s="7">
        <f>COUNTIFS('Name list'!$I:$I,'2025-2026 comp'!G$3,'Name list'!$E:$E,'2025-2026 comp'!$C12)</f>
        <v/>
      </c>
      <c r="H12" s="7">
        <f>COUNTIFS('Name list'!$I:$I,'2025-2026 comp'!H$3,'Name list'!$E:$E,'2025-2026 comp'!$C12)</f>
        <v/>
      </c>
      <c r="I12" s="7">
        <f>COUNTIFS('Name list'!$Y:$Y,'2025-2026 comp'!I$3,'Name list'!$E:$E,'2025-2026 comp'!$C12)</f>
        <v/>
      </c>
      <c r="J12" s="7">
        <f>COUNTIFS('Name list'!$Y:$Y,'2025-2026 comp'!J$3,'Name list'!$E:$E,'2025-2026 comp'!$C12)</f>
        <v/>
      </c>
      <c r="K12" s="7">
        <f>COUNTIFS('Name list'!$Y:$Y,'2025-2026 comp'!K$3,'Name list'!$E:$E,'2025-2026 comp'!$C12)</f>
        <v/>
      </c>
      <c r="L12" s="7">
        <f>COUNTIFS('Name list'!$Y:$Y,'2025-2026 comp'!L$3,'Name list'!$E:$E,'2025-2026 comp'!$C12)</f>
        <v/>
      </c>
      <c r="M12" s="17" t="n"/>
      <c r="N12" s="38">
        <f>I12-E12</f>
        <v/>
      </c>
      <c r="O12" s="38">
        <f>J12-F12</f>
        <v/>
      </c>
      <c r="P12" s="38">
        <f>K12-G12</f>
        <v/>
      </c>
      <c r="Q12" s="38">
        <f>L12-H12</f>
        <v/>
      </c>
      <c r="R12" s="53" t="n"/>
    </row>
    <row r="13" ht="21" customHeight="1" s="118">
      <c r="B13" s="71" t="inlineStr">
        <is>
          <t>SANKAR</t>
        </is>
      </c>
      <c r="C13" s="57" t="inlineStr">
        <is>
          <t>BEAD WINDING</t>
        </is>
      </c>
      <c r="D13" s="7">
        <f>COUNTIFS('Name list'!$E:$E,'2025-2026 comp'!$C13)</f>
        <v/>
      </c>
      <c r="E13" s="7">
        <f>COUNTIFS('Name list'!$I:$I,'2025-2026 comp'!E$3,'Name list'!$E:$E,'2025-2026 comp'!$C13)</f>
        <v/>
      </c>
      <c r="F13" s="7">
        <f>COUNTIFS('Name list'!$I:$I,'2025-2026 comp'!F$3,'Name list'!$E:$E,'2025-2026 comp'!$C13)</f>
        <v/>
      </c>
      <c r="G13" s="7">
        <f>COUNTIFS('Name list'!$I:$I,'2025-2026 comp'!G$3,'Name list'!$E:$E,'2025-2026 comp'!$C13)</f>
        <v/>
      </c>
      <c r="H13" s="7">
        <f>COUNTIFS('Name list'!$I:$I,'2025-2026 comp'!H$3,'Name list'!$E:$E,'2025-2026 comp'!$C13)</f>
        <v/>
      </c>
      <c r="I13" s="7">
        <f>COUNTIFS('Name list'!$Y:$Y,'2025-2026 comp'!I$3,'Name list'!$E:$E,'2025-2026 comp'!$C13)</f>
        <v/>
      </c>
      <c r="J13" s="7">
        <f>COUNTIFS('Name list'!$Y:$Y,'2025-2026 comp'!J$3,'Name list'!$E:$E,'2025-2026 comp'!$C13)</f>
        <v/>
      </c>
      <c r="K13" s="7">
        <f>COUNTIFS('Name list'!$Y:$Y,'2025-2026 comp'!K$3,'Name list'!$E:$E,'2025-2026 comp'!$C13)</f>
        <v/>
      </c>
      <c r="L13" s="7">
        <f>COUNTIFS('Name list'!$Y:$Y,'2025-2026 comp'!L$3,'Name list'!$E:$E,'2025-2026 comp'!$C13)</f>
        <v/>
      </c>
      <c r="M13" s="17" t="n"/>
      <c r="N13" s="38">
        <f>I13-E13</f>
        <v/>
      </c>
      <c r="O13" s="38">
        <f>J13-F13</f>
        <v/>
      </c>
      <c r="P13" s="38">
        <f>K13-G13</f>
        <v/>
      </c>
      <c r="Q13" s="38">
        <f>L13-H13</f>
        <v/>
      </c>
      <c r="R13" s="53" t="n"/>
    </row>
    <row r="14" ht="21" customHeight="1" s="118">
      <c r="B14" s="71" t="inlineStr">
        <is>
          <t>SWAMINATHAN</t>
        </is>
      </c>
      <c r="C14" s="57" t="inlineStr">
        <is>
          <t>TYRE BUILDING-P1</t>
        </is>
      </c>
      <c r="D14" s="7">
        <f>COUNTIFS('Name list'!$E:$E,'2025-2026 comp'!$C14)</f>
        <v/>
      </c>
      <c r="E14" s="7">
        <f>COUNTIFS('Name list'!$I:$I,'2025-2026 comp'!E$3,'Name list'!$E:$E,'2025-2026 comp'!$C14)</f>
        <v/>
      </c>
      <c r="F14" s="7">
        <f>COUNTIFS('Name list'!$I:$I,'2025-2026 comp'!F$3,'Name list'!$E:$E,'2025-2026 comp'!$C14)</f>
        <v/>
      </c>
      <c r="G14" s="7">
        <f>COUNTIFS('Name list'!$I:$I,'2025-2026 comp'!G$3,'Name list'!$E:$E,'2025-2026 comp'!$C14)</f>
        <v/>
      </c>
      <c r="H14" s="7">
        <f>COUNTIFS('Name list'!$I:$I,'2025-2026 comp'!H$3,'Name list'!$E:$E,'2025-2026 comp'!$C14)</f>
        <v/>
      </c>
      <c r="I14" s="7">
        <f>COUNTIFS('Name list'!$Y:$Y,'2025-2026 comp'!I$3,'Name list'!$E:$E,'2025-2026 comp'!$C14)</f>
        <v/>
      </c>
      <c r="J14" s="7">
        <f>COUNTIFS('Name list'!$Y:$Y,'2025-2026 comp'!J$3,'Name list'!$E:$E,'2025-2026 comp'!$C14)</f>
        <v/>
      </c>
      <c r="K14" s="7">
        <f>COUNTIFS('Name list'!$Y:$Y,'2025-2026 comp'!K$3,'Name list'!$E:$E,'2025-2026 comp'!$C14)</f>
        <v/>
      </c>
      <c r="L14" s="7">
        <f>COUNTIFS('Name list'!$Y:$Y,'2025-2026 comp'!L$3,'Name list'!$E:$E,'2025-2026 comp'!$C14)</f>
        <v/>
      </c>
      <c r="M14" s="17" t="n"/>
      <c r="N14" s="38">
        <f>I14-E14</f>
        <v/>
      </c>
      <c r="O14" s="38">
        <f>J14-F14</f>
        <v/>
      </c>
      <c r="P14" s="38">
        <f>K14-G14</f>
        <v/>
      </c>
      <c r="Q14" s="38">
        <f>L14-H14</f>
        <v/>
      </c>
      <c r="R14" s="53" t="n"/>
    </row>
    <row r="15" ht="21" customHeight="1" s="118">
      <c r="B15" s="71" t="inlineStr">
        <is>
          <t>SWAMINATHAN</t>
        </is>
      </c>
      <c r="C15" s="57" t="inlineStr">
        <is>
          <t>BAND BUILDING-P1</t>
        </is>
      </c>
      <c r="D15" s="7">
        <f>COUNTIFS('Name list'!$E:$E,'2025-2026 comp'!$C15)</f>
        <v/>
      </c>
      <c r="E15" s="7">
        <f>COUNTIFS('Name list'!$I:$I,'2025-2026 comp'!E$3,'Name list'!$E:$E,'2025-2026 comp'!$C15)</f>
        <v/>
      </c>
      <c r="F15" s="7">
        <f>COUNTIFS('Name list'!$I:$I,'2025-2026 comp'!F$3,'Name list'!$E:$E,'2025-2026 comp'!$C15)</f>
        <v/>
      </c>
      <c r="G15" s="7">
        <f>COUNTIFS('Name list'!$I:$I,'2025-2026 comp'!G$3,'Name list'!$E:$E,'2025-2026 comp'!$C15)</f>
        <v/>
      </c>
      <c r="H15" s="7">
        <f>COUNTIFS('Name list'!$I:$I,'2025-2026 comp'!H$3,'Name list'!$E:$E,'2025-2026 comp'!$C15)</f>
        <v/>
      </c>
      <c r="I15" s="7">
        <f>COUNTIFS('Name list'!$Y:$Y,'2025-2026 comp'!I$3,'Name list'!$E:$E,'2025-2026 comp'!$C15)</f>
        <v/>
      </c>
      <c r="J15" s="7">
        <f>COUNTIFS('Name list'!$Y:$Y,'2025-2026 comp'!J$3,'Name list'!$E:$E,'2025-2026 comp'!$C15)</f>
        <v/>
      </c>
      <c r="K15" s="7">
        <f>COUNTIFS('Name list'!$Y:$Y,'2025-2026 comp'!K$3,'Name list'!$E:$E,'2025-2026 comp'!$C15)</f>
        <v/>
      </c>
      <c r="L15" s="7">
        <f>COUNTIFS('Name list'!$Y:$Y,'2025-2026 comp'!L$3,'Name list'!$E:$E,'2025-2026 comp'!$C15)</f>
        <v/>
      </c>
      <c r="M15" s="17" t="n"/>
      <c r="N15" s="38">
        <f>I15-E15</f>
        <v/>
      </c>
      <c r="O15" s="38">
        <f>J15-F15</f>
        <v/>
      </c>
      <c r="P15" s="38">
        <f>K15-G15</f>
        <v/>
      </c>
      <c r="Q15" s="38">
        <f>L15-H15</f>
        <v/>
      </c>
      <c r="R15" s="53" t="n"/>
    </row>
    <row r="16" ht="21" customHeight="1" s="118">
      <c r="B16" s="71" t="inlineStr">
        <is>
          <t>SWAMINATHAN</t>
        </is>
      </c>
      <c r="C16" s="57" t="inlineStr">
        <is>
          <t>BIAS CUTTING-2</t>
        </is>
      </c>
      <c r="D16" s="7">
        <f>COUNTIFS('Name list'!$E:$E,'2025-2026 comp'!$C16)</f>
        <v/>
      </c>
      <c r="E16" s="7">
        <f>COUNTIFS('Name list'!$I:$I,'2025-2026 comp'!E$3,'Name list'!$E:$E,'2025-2026 comp'!$C16)</f>
        <v/>
      </c>
      <c r="F16" s="7">
        <f>COUNTIFS('Name list'!$I:$I,'2025-2026 comp'!F$3,'Name list'!$E:$E,'2025-2026 comp'!$C16)</f>
        <v/>
      </c>
      <c r="G16" s="7">
        <f>COUNTIFS('Name list'!$I:$I,'2025-2026 comp'!G$3,'Name list'!$E:$E,'2025-2026 comp'!$C16)</f>
        <v/>
      </c>
      <c r="H16" s="7">
        <f>COUNTIFS('Name list'!$I:$I,'2025-2026 comp'!H$3,'Name list'!$E:$E,'2025-2026 comp'!$C16)</f>
        <v/>
      </c>
      <c r="I16" s="7">
        <f>COUNTIFS('Name list'!$Y:$Y,'2025-2026 comp'!I$3,'Name list'!$E:$E,'2025-2026 comp'!$C16)</f>
        <v/>
      </c>
      <c r="J16" s="7">
        <f>COUNTIFS('Name list'!$Y:$Y,'2025-2026 comp'!J$3,'Name list'!$E:$E,'2025-2026 comp'!$C16)</f>
        <v/>
      </c>
      <c r="K16" s="7">
        <f>COUNTIFS('Name list'!$Y:$Y,'2025-2026 comp'!K$3,'Name list'!$E:$E,'2025-2026 comp'!$C16)</f>
        <v/>
      </c>
      <c r="L16" s="7">
        <f>COUNTIFS('Name list'!$Y:$Y,'2025-2026 comp'!L$3,'Name list'!$E:$E,'2025-2026 comp'!$C16)</f>
        <v/>
      </c>
      <c r="M16" s="17" t="n"/>
      <c r="N16" s="38">
        <f>I16-E16</f>
        <v/>
      </c>
      <c r="O16" s="38">
        <f>J16-F16</f>
        <v/>
      </c>
      <c r="P16" s="38">
        <f>K16-G16</f>
        <v/>
      </c>
      <c r="Q16" s="38">
        <f>L16-H16</f>
        <v/>
      </c>
      <c r="R16" s="53" t="n"/>
    </row>
    <row r="17" ht="21" customHeight="1" s="118">
      <c r="B17" s="71" t="inlineStr">
        <is>
          <t>SWAMINATHAN</t>
        </is>
      </c>
      <c r="C17" s="57" t="inlineStr">
        <is>
          <t>RADIAL MARANGONI</t>
        </is>
      </c>
      <c r="D17" s="7">
        <f>COUNTIFS('Name list'!$E:$E,'2025-2026 comp'!$C17)</f>
        <v/>
      </c>
      <c r="E17" s="7">
        <f>COUNTIFS('Name list'!$I:$I,'2025-2026 comp'!E$3,'Name list'!$E:$E,'2025-2026 comp'!$C17)</f>
        <v/>
      </c>
      <c r="F17" s="7">
        <f>COUNTIFS('Name list'!$I:$I,'2025-2026 comp'!F$3,'Name list'!$E:$E,'2025-2026 comp'!$C17)</f>
        <v/>
      </c>
      <c r="G17" s="7">
        <f>COUNTIFS('Name list'!$I:$I,'2025-2026 comp'!G$3,'Name list'!$E:$E,'2025-2026 comp'!$C17)</f>
        <v/>
      </c>
      <c r="H17" s="7">
        <f>COUNTIFS('Name list'!$I:$I,'2025-2026 comp'!H$3,'Name list'!$E:$E,'2025-2026 comp'!$C17)</f>
        <v/>
      </c>
      <c r="I17" s="7">
        <f>COUNTIFS('Name list'!$Y:$Y,'2025-2026 comp'!I$3,'Name list'!$E:$E,'2025-2026 comp'!$C17)</f>
        <v/>
      </c>
      <c r="J17" s="7">
        <f>COUNTIFS('Name list'!$Y:$Y,'2025-2026 comp'!J$3,'Name list'!$E:$E,'2025-2026 comp'!$C17)</f>
        <v/>
      </c>
      <c r="K17" s="7">
        <f>COUNTIFS('Name list'!$Y:$Y,'2025-2026 comp'!K$3,'Name list'!$E:$E,'2025-2026 comp'!$C17)</f>
        <v/>
      </c>
      <c r="L17" s="7">
        <f>COUNTIFS('Name list'!$Y:$Y,'2025-2026 comp'!L$3,'Name list'!$E:$E,'2025-2026 comp'!$C17)</f>
        <v/>
      </c>
      <c r="M17" s="17" t="n"/>
      <c r="N17" s="38">
        <f>I17-E17</f>
        <v/>
      </c>
      <c r="O17" s="38">
        <f>J17-F17</f>
        <v/>
      </c>
      <c r="P17" s="38">
        <f>K17-G17</f>
        <v/>
      </c>
      <c r="Q17" s="38">
        <f>L17-H17</f>
        <v/>
      </c>
      <c r="R17" s="53" t="n"/>
    </row>
    <row r="18" ht="21" customHeight="1" s="118">
      <c r="B18" s="71" t="inlineStr">
        <is>
          <t>SWAMINATHAN</t>
        </is>
      </c>
      <c r="C18" s="57" t="inlineStr">
        <is>
          <t>SLITTING</t>
        </is>
      </c>
      <c r="D18" s="7">
        <f>COUNTIFS('Name list'!$E:$E,'2025-2026 comp'!$C18)</f>
        <v/>
      </c>
      <c r="E18" s="7">
        <f>COUNTIFS('Name list'!$I:$I,'2025-2026 comp'!E$3,'Name list'!$E:$E,'2025-2026 comp'!$C18)</f>
        <v/>
      </c>
      <c r="F18" s="7">
        <f>COUNTIFS('Name list'!$I:$I,'2025-2026 comp'!F$3,'Name list'!$E:$E,'2025-2026 comp'!$C18)</f>
        <v/>
      </c>
      <c r="G18" s="7">
        <f>COUNTIFS('Name list'!$I:$I,'2025-2026 comp'!G$3,'Name list'!$E:$E,'2025-2026 comp'!$C18)</f>
        <v/>
      </c>
      <c r="H18" s="7">
        <f>COUNTIFS('Name list'!$I:$I,'2025-2026 comp'!H$3,'Name list'!$E:$E,'2025-2026 comp'!$C18)</f>
        <v/>
      </c>
      <c r="I18" s="7">
        <f>COUNTIFS('Name list'!$Y:$Y,'2025-2026 comp'!I$3,'Name list'!$E:$E,'2025-2026 comp'!$C18)</f>
        <v/>
      </c>
      <c r="J18" s="7">
        <f>COUNTIFS('Name list'!$Y:$Y,'2025-2026 comp'!J$3,'Name list'!$E:$E,'2025-2026 comp'!$C18)</f>
        <v/>
      </c>
      <c r="K18" s="7">
        <f>COUNTIFS('Name list'!$Y:$Y,'2025-2026 comp'!K$3,'Name list'!$E:$E,'2025-2026 comp'!$C18)</f>
        <v/>
      </c>
      <c r="L18" s="7">
        <f>COUNTIFS('Name list'!$Y:$Y,'2025-2026 comp'!L$3,'Name list'!$E:$E,'2025-2026 comp'!$C18)</f>
        <v/>
      </c>
      <c r="M18" s="17" t="n"/>
      <c r="N18" s="38">
        <f>I18-E18</f>
        <v/>
      </c>
      <c r="O18" s="38">
        <f>J18-F18</f>
        <v/>
      </c>
      <c r="P18" s="38">
        <f>K18-G18</f>
        <v/>
      </c>
      <c r="Q18" s="38">
        <f>L18-H18</f>
        <v/>
      </c>
      <c r="R18" s="53" t="n"/>
    </row>
    <row r="19" ht="21" customHeight="1" s="118">
      <c r="B19" s="71" t="inlineStr">
        <is>
          <t>TARUN KUMAR</t>
        </is>
      </c>
      <c r="C19" s="57" t="inlineStr">
        <is>
          <t>TYRE BUILDING-P2</t>
        </is>
      </c>
      <c r="D19" s="7">
        <f>COUNTIFS('Name list'!$E:$E,'2025-2026 comp'!$C19)</f>
        <v/>
      </c>
      <c r="E19" s="7">
        <f>COUNTIFS('Name list'!$I:$I,'2025-2026 comp'!E$3,'Name list'!$E:$E,'2025-2026 comp'!$C19)</f>
        <v/>
      </c>
      <c r="F19" s="7">
        <f>COUNTIFS('Name list'!$I:$I,'2025-2026 comp'!F$3,'Name list'!$E:$E,'2025-2026 comp'!$C19)</f>
        <v/>
      </c>
      <c r="G19" s="7">
        <f>COUNTIFS('Name list'!$I:$I,'2025-2026 comp'!G$3,'Name list'!$E:$E,'2025-2026 comp'!$C19)</f>
        <v/>
      </c>
      <c r="H19" s="7">
        <f>COUNTIFS('Name list'!$I:$I,'2025-2026 comp'!H$3,'Name list'!$E:$E,'2025-2026 comp'!$C19)</f>
        <v/>
      </c>
      <c r="I19" s="7">
        <f>COUNTIFS('Name list'!$Y:$Y,'2025-2026 comp'!I$3,'Name list'!$E:$E,'2025-2026 comp'!$C19)</f>
        <v/>
      </c>
      <c r="J19" s="7">
        <f>COUNTIFS('Name list'!$Y:$Y,'2025-2026 comp'!J$3,'Name list'!$E:$E,'2025-2026 comp'!$C19)</f>
        <v/>
      </c>
      <c r="K19" s="7">
        <f>COUNTIFS('Name list'!$Y:$Y,'2025-2026 comp'!K$3,'Name list'!$E:$E,'2025-2026 comp'!$C19)</f>
        <v/>
      </c>
      <c r="L19" s="7">
        <f>COUNTIFS('Name list'!$Y:$Y,'2025-2026 comp'!L$3,'Name list'!$E:$E,'2025-2026 comp'!$C19)</f>
        <v/>
      </c>
      <c r="M19" s="17" t="n"/>
      <c r="N19" s="38">
        <f>I19-E19</f>
        <v/>
      </c>
      <c r="O19" s="38">
        <f>J19-F19</f>
        <v/>
      </c>
      <c r="P19" s="38">
        <f>K19-G19</f>
        <v/>
      </c>
      <c r="Q19" s="38">
        <f>L19-H19</f>
        <v/>
      </c>
      <c r="R19" s="53" t="n"/>
    </row>
    <row r="20" ht="21" customHeight="1" s="118">
      <c r="B20" s="71" t="inlineStr">
        <is>
          <t>TARUN KUMAR</t>
        </is>
      </c>
      <c r="C20" s="57" t="inlineStr">
        <is>
          <t>BAND BUILDING-P2</t>
        </is>
      </c>
      <c r="D20" s="7">
        <f>COUNTIFS('Name list'!$E:$E,'2025-2026 comp'!$C20)</f>
        <v/>
      </c>
      <c r="E20" s="7">
        <f>COUNTIFS('Name list'!$I:$I,'2025-2026 comp'!E$3,'Name list'!$E:$E,'2025-2026 comp'!$C20)</f>
        <v/>
      </c>
      <c r="F20" s="7">
        <f>COUNTIFS('Name list'!$I:$I,'2025-2026 comp'!F$3,'Name list'!$E:$E,'2025-2026 comp'!$C20)</f>
        <v/>
      </c>
      <c r="G20" s="7">
        <f>COUNTIFS('Name list'!$I:$I,'2025-2026 comp'!G$3,'Name list'!$E:$E,'2025-2026 comp'!$C20)</f>
        <v/>
      </c>
      <c r="H20" s="7">
        <f>COUNTIFS('Name list'!$I:$I,'2025-2026 comp'!H$3,'Name list'!$E:$E,'2025-2026 comp'!$C20)</f>
        <v/>
      </c>
      <c r="I20" s="7">
        <f>COUNTIFS('Name list'!$Y:$Y,'2025-2026 comp'!I$3,'Name list'!$E:$E,'2025-2026 comp'!$C20)</f>
        <v/>
      </c>
      <c r="J20" s="7">
        <f>COUNTIFS('Name list'!$Y:$Y,'2025-2026 comp'!J$3,'Name list'!$E:$E,'2025-2026 comp'!$C20)</f>
        <v/>
      </c>
      <c r="K20" s="7">
        <f>COUNTIFS('Name list'!$Y:$Y,'2025-2026 comp'!K$3,'Name list'!$E:$E,'2025-2026 comp'!$C20)</f>
        <v/>
      </c>
      <c r="L20" s="7">
        <f>COUNTIFS('Name list'!$Y:$Y,'2025-2026 comp'!L$3,'Name list'!$E:$E,'2025-2026 comp'!$C20)</f>
        <v/>
      </c>
      <c r="M20" s="17" t="n"/>
      <c r="N20" s="38">
        <f>I20-E20</f>
        <v/>
      </c>
      <c r="O20" s="38">
        <f>J20-F20</f>
        <v/>
      </c>
      <c r="P20" s="38">
        <f>K20-G20</f>
        <v/>
      </c>
      <c r="Q20" s="38">
        <f>L20-H20</f>
        <v/>
      </c>
      <c r="R20" s="53" t="n"/>
    </row>
    <row r="21" ht="21" customHeight="1" s="118">
      <c r="B21" s="71" t="inlineStr">
        <is>
          <t>TARUN KUMAR</t>
        </is>
      </c>
      <c r="C21" s="57" t="inlineStr">
        <is>
          <t>BIAS CUTTING-1</t>
        </is>
      </c>
      <c r="D21" s="7">
        <f>COUNTIFS('Name list'!$E:$E,'2025-2026 comp'!$C21)</f>
        <v/>
      </c>
      <c r="E21" s="7">
        <f>COUNTIFS('Name list'!$I:$I,'2025-2026 comp'!E$3,'Name list'!$E:$E,'2025-2026 comp'!$C21)</f>
        <v/>
      </c>
      <c r="F21" s="7">
        <f>COUNTIFS('Name list'!$I:$I,'2025-2026 comp'!F$3,'Name list'!$E:$E,'2025-2026 comp'!$C21)</f>
        <v/>
      </c>
      <c r="G21" s="7">
        <f>COUNTIFS('Name list'!$I:$I,'2025-2026 comp'!G$3,'Name list'!$E:$E,'2025-2026 comp'!$C21)</f>
        <v/>
      </c>
      <c r="H21" s="7">
        <f>COUNTIFS('Name list'!$I:$I,'2025-2026 comp'!H$3,'Name list'!$E:$E,'2025-2026 comp'!$C21)</f>
        <v/>
      </c>
      <c r="I21" s="7">
        <f>COUNTIFS('Name list'!$Y:$Y,'2025-2026 comp'!I$3,'Name list'!$E:$E,'2025-2026 comp'!$C21)</f>
        <v/>
      </c>
      <c r="J21" s="7">
        <f>COUNTIFS('Name list'!$Y:$Y,'2025-2026 comp'!J$3,'Name list'!$E:$E,'2025-2026 comp'!$C21)</f>
        <v/>
      </c>
      <c r="K21" s="7">
        <f>COUNTIFS('Name list'!$Y:$Y,'2025-2026 comp'!K$3,'Name list'!$E:$E,'2025-2026 comp'!$C21)</f>
        <v/>
      </c>
      <c r="L21" s="7">
        <f>COUNTIFS('Name list'!$Y:$Y,'2025-2026 comp'!L$3,'Name list'!$E:$E,'2025-2026 comp'!$C21)</f>
        <v/>
      </c>
      <c r="M21" s="17" t="n"/>
      <c r="N21" s="38">
        <f>I21-E21</f>
        <v/>
      </c>
      <c r="O21" s="38">
        <f>J21-F21</f>
        <v/>
      </c>
      <c r="P21" s="38">
        <f>K21-G21</f>
        <v/>
      </c>
      <c r="Q21" s="38">
        <f>L21-H21</f>
        <v/>
      </c>
      <c r="R21" s="53" t="n"/>
    </row>
    <row r="22" ht="21" customHeight="1" s="118">
      <c r="B22" s="71" t="inlineStr">
        <is>
          <t>TARUN KUMAR</t>
        </is>
      </c>
      <c r="C22" s="57" t="inlineStr">
        <is>
          <t>BIAS CUTTING-4</t>
        </is>
      </c>
      <c r="D22" s="7">
        <f>COUNTIFS('Name list'!$E:$E,'2025-2026 comp'!$C22)</f>
        <v/>
      </c>
      <c r="E22" s="7">
        <f>COUNTIFS('Name list'!$I:$I,'2025-2026 comp'!E$3,'Name list'!$E:$E,'2025-2026 comp'!$C22)</f>
        <v/>
      </c>
      <c r="F22" s="7">
        <f>COUNTIFS('Name list'!$I:$I,'2025-2026 comp'!F$3,'Name list'!$E:$E,'2025-2026 comp'!$C22)</f>
        <v/>
      </c>
      <c r="G22" s="7">
        <f>COUNTIFS('Name list'!$I:$I,'2025-2026 comp'!G$3,'Name list'!$E:$E,'2025-2026 comp'!$C22)</f>
        <v/>
      </c>
      <c r="H22" s="7">
        <f>COUNTIFS('Name list'!$I:$I,'2025-2026 comp'!H$3,'Name list'!$E:$E,'2025-2026 comp'!$C22)</f>
        <v/>
      </c>
      <c r="I22" s="7">
        <f>COUNTIFS('Name list'!$Y:$Y,'2025-2026 comp'!I$3,'Name list'!$E:$E,'2025-2026 comp'!$C22)</f>
        <v/>
      </c>
      <c r="J22" s="7">
        <f>COUNTIFS('Name list'!$Y:$Y,'2025-2026 comp'!J$3,'Name list'!$E:$E,'2025-2026 comp'!$C22)</f>
        <v/>
      </c>
      <c r="K22" s="7">
        <f>COUNTIFS('Name list'!$Y:$Y,'2025-2026 comp'!K$3,'Name list'!$E:$E,'2025-2026 comp'!$C22)</f>
        <v/>
      </c>
      <c r="L22" s="7">
        <f>COUNTIFS('Name list'!$Y:$Y,'2025-2026 comp'!L$3,'Name list'!$E:$E,'2025-2026 comp'!$C22)</f>
        <v/>
      </c>
      <c r="M22" s="17" t="n"/>
      <c r="N22" s="38">
        <f>I22-E22</f>
        <v/>
      </c>
      <c r="O22" s="38">
        <f>J22-F22</f>
        <v/>
      </c>
      <c r="P22" s="38">
        <f>K22-G22</f>
        <v/>
      </c>
      <c r="Q22" s="38">
        <f>L22-H22</f>
        <v/>
      </c>
      <c r="R22" s="53" t="n"/>
    </row>
    <row r="23" ht="19.5" customHeight="1" s="118">
      <c r="B23" s="71" t="inlineStr">
        <is>
          <t>TARUN KUMAR</t>
        </is>
      </c>
      <c r="C23" s="57" t="inlineStr">
        <is>
          <t>BIAS MARANGONI&amp;BESTRY</t>
        </is>
      </c>
      <c r="D23" s="7">
        <f>COUNTIFS('Name list'!$E:$E,'2025-2026 comp'!$C23)</f>
        <v/>
      </c>
      <c r="E23" s="7">
        <f>COUNTIFS('Name list'!$I:$I,'2025-2026 comp'!E$3,'Name list'!$E:$E,'2025-2026 comp'!$C23)</f>
        <v/>
      </c>
      <c r="F23" s="7">
        <f>COUNTIFS('Name list'!$I:$I,'2025-2026 comp'!F$3,'Name list'!$E:$E,'2025-2026 comp'!$C23)</f>
        <v/>
      </c>
      <c r="G23" s="7">
        <f>COUNTIFS('Name list'!$I:$I,'2025-2026 comp'!G$3,'Name list'!$E:$E,'2025-2026 comp'!$C23)</f>
        <v/>
      </c>
      <c r="H23" s="7">
        <f>COUNTIFS('Name list'!$I:$I,'2025-2026 comp'!H$3,'Name list'!$E:$E,'2025-2026 comp'!$C23)</f>
        <v/>
      </c>
      <c r="I23" s="7">
        <f>COUNTIFS('Name list'!$Y:$Y,'2025-2026 comp'!I$3,'Name list'!$E:$E,'2025-2026 comp'!$C23)</f>
        <v/>
      </c>
      <c r="J23" s="7">
        <f>COUNTIFS('Name list'!$Y:$Y,'2025-2026 comp'!J$3,'Name list'!$E:$E,'2025-2026 comp'!$C23)</f>
        <v/>
      </c>
      <c r="K23" s="7">
        <f>COUNTIFS('Name list'!$Y:$Y,'2025-2026 comp'!K$3,'Name list'!$E:$E,'2025-2026 comp'!$C23)</f>
        <v/>
      </c>
      <c r="L23" s="7">
        <f>COUNTIFS('Name list'!$Y:$Y,'2025-2026 comp'!L$3,'Name list'!$E:$E,'2025-2026 comp'!$C23)</f>
        <v/>
      </c>
      <c r="M23" s="17" t="n"/>
      <c r="N23" s="38">
        <f>I23-E23</f>
        <v/>
      </c>
      <c r="O23" s="38">
        <f>J23-F23</f>
        <v/>
      </c>
      <c r="P23" s="38">
        <f>K23-G23</f>
        <v/>
      </c>
      <c r="Q23" s="38">
        <f>L23-H23</f>
        <v/>
      </c>
      <c r="R23" s="53" t="n"/>
    </row>
    <row r="24" ht="21" customHeight="1" s="118">
      <c r="B24" s="71" t="inlineStr">
        <is>
          <t>VEL MURUGAN</t>
        </is>
      </c>
      <c r="C24" s="57" t="inlineStr">
        <is>
          <t>TYRE BUILDING-P3</t>
        </is>
      </c>
      <c r="D24" s="7">
        <f>COUNTIFS('Name list'!$E:$E,'2025-2026 comp'!$C24)</f>
        <v/>
      </c>
      <c r="E24" s="7">
        <f>COUNTIFS('Name list'!$I:$I,'2025-2026 comp'!E$3,'Name list'!$E:$E,'2025-2026 comp'!$C24)</f>
        <v/>
      </c>
      <c r="F24" s="7">
        <f>COUNTIFS('Name list'!$I:$I,'2025-2026 comp'!F$3,'Name list'!$E:$E,'2025-2026 comp'!$C24)</f>
        <v/>
      </c>
      <c r="G24" s="7">
        <f>COUNTIFS('Name list'!$I:$I,'2025-2026 comp'!G$3,'Name list'!$E:$E,'2025-2026 comp'!$C24)</f>
        <v/>
      </c>
      <c r="H24" s="7">
        <f>COUNTIFS('Name list'!$I:$I,'2025-2026 comp'!H$3,'Name list'!$E:$E,'2025-2026 comp'!$C24)</f>
        <v/>
      </c>
      <c r="I24" s="7">
        <f>COUNTIFS('Name list'!$Y:$Y,'2025-2026 comp'!I$3,'Name list'!$E:$E,'2025-2026 comp'!$C24)</f>
        <v/>
      </c>
      <c r="J24" s="7">
        <f>COUNTIFS('Name list'!$Y:$Y,'2025-2026 comp'!J$3,'Name list'!$E:$E,'2025-2026 comp'!$C24)</f>
        <v/>
      </c>
      <c r="K24" s="7">
        <f>COUNTIFS('Name list'!$Y:$Y,'2025-2026 comp'!K$3,'Name list'!$E:$E,'2025-2026 comp'!$C24)</f>
        <v/>
      </c>
      <c r="L24" s="7">
        <f>COUNTIFS('Name list'!$Y:$Y,'2025-2026 comp'!L$3,'Name list'!$E:$E,'2025-2026 comp'!$C24)</f>
        <v/>
      </c>
      <c r="M24" s="17" t="n"/>
      <c r="N24" s="38">
        <f>I24-E24</f>
        <v/>
      </c>
      <c r="O24" s="38">
        <f>J24-F24</f>
        <v/>
      </c>
      <c r="P24" s="38">
        <f>K24-G24</f>
        <v/>
      </c>
      <c r="Q24" s="38">
        <f>L24-H24</f>
        <v/>
      </c>
      <c r="R24" s="53" t="n"/>
    </row>
    <row r="25" ht="21" customHeight="1" s="118">
      <c r="B25" s="71" t="inlineStr">
        <is>
          <t>VEL MURUGAN</t>
        </is>
      </c>
      <c r="C25" s="57" t="inlineStr">
        <is>
          <t>BAND BUILDING-P3</t>
        </is>
      </c>
      <c r="D25" s="7">
        <f>COUNTIFS('Name list'!$E:$E,'2025-2026 comp'!$C25)</f>
        <v/>
      </c>
      <c r="E25" s="7">
        <f>COUNTIFS('Name list'!$I:$I,'2025-2026 comp'!E$3,'Name list'!$E:$E,'2025-2026 comp'!$C25)</f>
        <v/>
      </c>
      <c r="F25" s="7">
        <f>COUNTIFS('Name list'!$I:$I,'2025-2026 comp'!F$3,'Name list'!$E:$E,'2025-2026 comp'!$C25)</f>
        <v/>
      </c>
      <c r="G25" s="7">
        <f>COUNTIFS('Name list'!$I:$I,'2025-2026 comp'!G$3,'Name list'!$E:$E,'2025-2026 comp'!$C25)</f>
        <v/>
      </c>
      <c r="H25" s="7">
        <f>COUNTIFS('Name list'!$I:$I,'2025-2026 comp'!H$3,'Name list'!$E:$E,'2025-2026 comp'!$C25)</f>
        <v/>
      </c>
      <c r="I25" s="7">
        <f>COUNTIFS('Name list'!$Y:$Y,'2025-2026 comp'!I$3,'Name list'!$E:$E,'2025-2026 comp'!$C25)</f>
        <v/>
      </c>
      <c r="J25" s="7">
        <f>COUNTIFS('Name list'!$Y:$Y,'2025-2026 comp'!J$3,'Name list'!$E:$E,'2025-2026 comp'!$C25)</f>
        <v/>
      </c>
      <c r="K25" s="7">
        <f>COUNTIFS('Name list'!$Y:$Y,'2025-2026 comp'!K$3,'Name list'!$E:$E,'2025-2026 comp'!$C25)</f>
        <v/>
      </c>
      <c r="L25" s="7">
        <f>COUNTIFS('Name list'!$Y:$Y,'2025-2026 comp'!L$3,'Name list'!$E:$E,'2025-2026 comp'!$C25)</f>
        <v/>
      </c>
      <c r="M25" s="17" t="n"/>
      <c r="N25" s="38">
        <f>I25-E25</f>
        <v/>
      </c>
      <c r="O25" s="38">
        <f>J25-F25</f>
        <v/>
      </c>
      <c r="P25" s="38">
        <f>K25-G25</f>
        <v/>
      </c>
      <c r="Q25" s="38">
        <f>L25-H25</f>
        <v/>
      </c>
      <c r="R25" s="53" t="n"/>
    </row>
    <row r="26" ht="21" customHeight="1" s="118">
      <c r="B26" s="71" t="inlineStr">
        <is>
          <t>VEL MURUGAN</t>
        </is>
      </c>
      <c r="C26" s="57" t="inlineStr">
        <is>
          <t>BIAS CUTTING-5</t>
        </is>
      </c>
      <c r="D26" s="7">
        <f>COUNTIFS('Name list'!$E:$E,'2025-2026 comp'!$C26)</f>
        <v/>
      </c>
      <c r="E26" s="7">
        <f>COUNTIFS('Name list'!$I:$I,'2025-2026 comp'!E$3,'Name list'!$E:$E,'2025-2026 comp'!$C26)</f>
        <v/>
      </c>
      <c r="F26" s="7">
        <f>COUNTIFS('Name list'!$I:$I,'2025-2026 comp'!F$3,'Name list'!$E:$E,'2025-2026 comp'!$C26)</f>
        <v/>
      </c>
      <c r="G26" s="7">
        <f>COUNTIFS('Name list'!$I:$I,'2025-2026 comp'!G$3,'Name list'!$E:$E,'2025-2026 comp'!$C26)</f>
        <v/>
      </c>
      <c r="H26" s="7">
        <f>COUNTIFS('Name list'!$I:$I,'2025-2026 comp'!H$3,'Name list'!$E:$E,'2025-2026 comp'!$C26)</f>
        <v/>
      </c>
      <c r="I26" s="7">
        <f>COUNTIFS('Name list'!$Y:$Y,'2025-2026 comp'!I$3,'Name list'!$E:$E,'2025-2026 comp'!$C26)</f>
        <v/>
      </c>
      <c r="J26" s="7">
        <f>COUNTIFS('Name list'!$Y:$Y,'2025-2026 comp'!J$3,'Name list'!$E:$E,'2025-2026 comp'!$C26)</f>
        <v/>
      </c>
      <c r="K26" s="7">
        <f>COUNTIFS('Name list'!$Y:$Y,'2025-2026 comp'!K$3,'Name list'!$E:$E,'2025-2026 comp'!$C26)</f>
        <v/>
      </c>
      <c r="L26" s="7">
        <f>COUNTIFS('Name list'!$Y:$Y,'2025-2026 comp'!L$3,'Name list'!$E:$E,'2025-2026 comp'!$C26)</f>
        <v/>
      </c>
      <c r="M26" s="17" t="n"/>
      <c r="N26" s="38">
        <f>I26-E26</f>
        <v/>
      </c>
      <c r="O26" s="38">
        <f>J26-F26</f>
        <v/>
      </c>
      <c r="P26" s="38">
        <f>K26-G26</f>
        <v/>
      </c>
      <c r="Q26" s="38">
        <f>L26-H26</f>
        <v/>
      </c>
      <c r="R26" s="53" t="n"/>
    </row>
    <row r="27" ht="21" customHeight="1" s="118">
      <c r="B27" s="71" t="inlineStr">
        <is>
          <t>VEL MURUGAN</t>
        </is>
      </c>
      <c r="C27" s="57" t="inlineStr">
        <is>
          <t>YANTHAI</t>
        </is>
      </c>
      <c r="D27" s="7">
        <f>COUNTIFS('Name list'!$E:$E,'2025-2026 comp'!$C27)</f>
        <v/>
      </c>
      <c r="E27" s="7">
        <f>COUNTIFS('Name list'!$I:$I,'2025-2026 comp'!E$3,'Name list'!$E:$E,'2025-2026 comp'!$C27)</f>
        <v/>
      </c>
      <c r="F27" s="7">
        <f>COUNTIFS('Name list'!$I:$I,'2025-2026 comp'!F$3,'Name list'!$E:$E,'2025-2026 comp'!$C27)</f>
        <v/>
      </c>
      <c r="G27" s="7">
        <f>COUNTIFS('Name list'!$I:$I,'2025-2026 comp'!G$3,'Name list'!$E:$E,'2025-2026 comp'!$C27)</f>
        <v/>
      </c>
      <c r="H27" s="7">
        <f>COUNTIFS('Name list'!$I:$I,'2025-2026 comp'!H$3,'Name list'!$E:$E,'2025-2026 comp'!$C27)</f>
        <v/>
      </c>
      <c r="I27" s="7">
        <f>COUNTIFS('Name list'!$Y:$Y,'2025-2026 comp'!I$3,'Name list'!$E:$E,'2025-2026 comp'!$C27)</f>
        <v/>
      </c>
      <c r="J27" s="7">
        <f>COUNTIFS('Name list'!$Y:$Y,'2025-2026 comp'!J$3,'Name list'!$E:$E,'2025-2026 comp'!$C27)</f>
        <v/>
      </c>
      <c r="K27" s="7">
        <f>COUNTIFS('Name list'!$Y:$Y,'2025-2026 comp'!K$3,'Name list'!$E:$E,'2025-2026 comp'!$C27)</f>
        <v/>
      </c>
      <c r="L27" s="7">
        <f>COUNTIFS('Name list'!$Y:$Y,'2025-2026 comp'!L$3,'Name list'!$E:$E,'2025-2026 comp'!$C27)</f>
        <v/>
      </c>
      <c r="M27" s="17" t="n"/>
      <c r="N27" s="38">
        <f>I27-E27</f>
        <v/>
      </c>
      <c r="O27" s="38">
        <f>J27-F27</f>
        <v/>
      </c>
      <c r="P27" s="38">
        <f>K27-G27</f>
        <v/>
      </c>
      <c r="Q27" s="38">
        <f>L27-H27</f>
        <v/>
      </c>
      <c r="R27" s="53" t="n"/>
    </row>
    <row r="28" ht="21" customHeight="1" s="118">
      <c r="B28" s="71" t="inlineStr">
        <is>
          <t>VEL MURUGAN</t>
        </is>
      </c>
      <c r="C28" s="57" t="inlineStr">
        <is>
          <t>AUTO BIASCUTTER</t>
        </is>
      </c>
      <c r="D28" s="7">
        <f>COUNTIFS('Name list'!$E:$E,'2025-2026 comp'!$C28)</f>
        <v/>
      </c>
      <c r="E28" s="7">
        <f>COUNTIFS('Name list'!$I:$I,'2025-2026 comp'!E$3,'Name list'!$E:$E,'2025-2026 comp'!$C28)</f>
        <v/>
      </c>
      <c r="F28" s="7">
        <f>COUNTIFS('Name list'!$I:$I,'2025-2026 comp'!F$3,'Name list'!$E:$E,'2025-2026 comp'!$C28)</f>
        <v/>
      </c>
      <c r="G28" s="7">
        <f>COUNTIFS('Name list'!$I:$I,'2025-2026 comp'!G$3,'Name list'!$E:$E,'2025-2026 comp'!$C28)</f>
        <v/>
      </c>
      <c r="H28" s="7">
        <f>COUNTIFS('Name list'!$I:$I,'2025-2026 comp'!H$3,'Name list'!$E:$E,'2025-2026 comp'!$C28)</f>
        <v/>
      </c>
      <c r="I28" s="7">
        <f>COUNTIFS('Name list'!$Y:$Y,'2025-2026 comp'!I$3,'Name list'!$E:$E,'2025-2026 comp'!$C28)</f>
        <v/>
      </c>
      <c r="J28" s="7">
        <f>COUNTIFS('Name list'!$Y:$Y,'2025-2026 comp'!J$3,'Name list'!$E:$E,'2025-2026 comp'!$C28)</f>
        <v/>
      </c>
      <c r="K28" s="7">
        <f>COUNTIFS('Name list'!$Y:$Y,'2025-2026 comp'!K$3,'Name list'!$E:$E,'2025-2026 comp'!$C28)</f>
        <v/>
      </c>
      <c r="L28" s="7">
        <f>COUNTIFS('Name list'!$Y:$Y,'2025-2026 comp'!L$3,'Name list'!$E:$E,'2025-2026 comp'!$C28)</f>
        <v/>
      </c>
      <c r="M28" s="17" t="n"/>
      <c r="N28" s="38">
        <f>I28-E28</f>
        <v/>
      </c>
      <c r="O28" s="38">
        <f>J28-F28</f>
        <v/>
      </c>
      <c r="P28" s="38">
        <f>K28-G28</f>
        <v/>
      </c>
      <c r="Q28" s="38">
        <f>L28-H28</f>
        <v/>
      </c>
      <c r="R28" s="53" t="n"/>
    </row>
    <row r="29" ht="21" customHeight="1" s="118">
      <c r="B29" s="71" t="inlineStr">
        <is>
          <t>VEL MURUGAN</t>
        </is>
      </c>
      <c r="C29" s="57" t="inlineStr">
        <is>
          <t>SALVAGE</t>
        </is>
      </c>
      <c r="D29" s="7">
        <f>COUNTIFS('Name list'!$E:$E,'2025-2026 comp'!$C29)</f>
        <v/>
      </c>
      <c r="E29" s="7">
        <f>COUNTIFS('Name list'!$I:$I,'2025-2026 comp'!E$3,'Name list'!$E:$E,'2025-2026 comp'!$C29)</f>
        <v/>
      </c>
      <c r="F29" s="7">
        <f>COUNTIFS('Name list'!$I:$I,'2025-2026 comp'!F$3,'Name list'!$E:$E,'2025-2026 comp'!$C29)</f>
        <v/>
      </c>
      <c r="G29" s="7">
        <f>COUNTIFS('Name list'!$I:$I,'2025-2026 comp'!G$3,'Name list'!$E:$E,'2025-2026 comp'!$C29)</f>
        <v/>
      </c>
      <c r="H29" s="7">
        <f>COUNTIFS('Name list'!$I:$I,'2025-2026 comp'!H$3,'Name list'!$E:$E,'2025-2026 comp'!$C29)</f>
        <v/>
      </c>
      <c r="I29" s="7">
        <f>COUNTIFS('Name list'!$Y:$Y,'2025-2026 comp'!I$3,'Name list'!$E:$E,'2025-2026 comp'!$C29)</f>
        <v/>
      </c>
      <c r="J29" s="7">
        <f>COUNTIFS('Name list'!$Y:$Y,'2025-2026 comp'!J$3,'Name list'!$E:$E,'2025-2026 comp'!$C29)</f>
        <v/>
      </c>
      <c r="K29" s="7">
        <f>COUNTIFS('Name list'!$Y:$Y,'2025-2026 comp'!K$3,'Name list'!$E:$E,'2025-2026 comp'!$C29)</f>
        <v/>
      </c>
      <c r="L29" s="7">
        <f>COUNTIFS('Name list'!$Y:$Y,'2025-2026 comp'!L$3,'Name list'!$E:$E,'2025-2026 comp'!$C29)</f>
        <v/>
      </c>
      <c r="M29" s="17" t="n"/>
      <c r="N29" s="38">
        <f>I29-E29</f>
        <v/>
      </c>
      <c r="O29" s="38">
        <f>J29-F29</f>
        <v/>
      </c>
      <c r="P29" s="38">
        <f>K29-G29</f>
        <v/>
      </c>
      <c r="Q29" s="38">
        <f>L29-H29</f>
        <v/>
      </c>
      <c r="R29" s="53" t="n"/>
    </row>
    <row r="30" ht="21" customHeight="1" s="118">
      <c r="B30" s="71" t="inlineStr">
        <is>
          <t>TB QA Lead</t>
        </is>
      </c>
      <c r="C30" s="57" t="inlineStr">
        <is>
          <t>Tire building QA</t>
        </is>
      </c>
      <c r="D30" s="7">
        <f>COUNTIFS('Name list'!$E:$E,'2025-2026 comp'!$C30)</f>
        <v/>
      </c>
      <c r="E30" s="7">
        <f>COUNTIFS('Name list'!$I:$I,'2025-2026 comp'!E$3,'Name list'!$E:$E,'2025-2026 comp'!$C30)</f>
        <v/>
      </c>
      <c r="F30" s="7">
        <f>COUNTIFS('Name list'!$I:$I,'2025-2026 comp'!F$3,'Name list'!$E:$E,'2025-2026 comp'!$C30)</f>
        <v/>
      </c>
      <c r="G30" s="7">
        <f>COUNTIFS('Name list'!$I:$I,'2025-2026 comp'!G$3,'Name list'!$E:$E,'2025-2026 comp'!$C30)</f>
        <v/>
      </c>
      <c r="H30" s="7">
        <f>COUNTIFS('Name list'!$I:$I,'2025-2026 comp'!H$3,'Name list'!$E:$E,'2025-2026 comp'!$C30)</f>
        <v/>
      </c>
      <c r="I30" s="7">
        <f>COUNTIFS('Name list'!$Y:$Y,'2025-2026 comp'!I$3,'Name list'!$E:$E,'2025-2026 comp'!$C30)</f>
        <v/>
      </c>
      <c r="J30" s="7">
        <f>COUNTIFS('Name list'!$Y:$Y,'2025-2026 comp'!J$3,'Name list'!$E:$E,'2025-2026 comp'!$C30)</f>
        <v/>
      </c>
      <c r="K30" s="7">
        <f>COUNTIFS('Name list'!$Y:$Y,'2025-2026 comp'!K$3,'Name list'!$E:$E,'2025-2026 comp'!$C30)</f>
        <v/>
      </c>
      <c r="L30" s="7">
        <f>COUNTIFS('Name list'!$Y:$Y,'2025-2026 comp'!L$3,'Name list'!$E:$E,'2025-2026 comp'!$C30)</f>
        <v/>
      </c>
      <c r="M30" s="17" t="n"/>
      <c r="N30" s="38">
        <f>I30-E30</f>
        <v/>
      </c>
      <c r="O30" s="38">
        <f>J30-F30</f>
        <v/>
      </c>
      <c r="P30" s="38">
        <f>K30-G30</f>
        <v/>
      </c>
      <c r="Q30" s="38">
        <f>L30-H30</f>
        <v/>
      </c>
      <c r="R30" s="53" t="n"/>
    </row>
    <row r="31" ht="21" customHeight="1" s="118">
      <c r="B31" s="71" t="inlineStr">
        <is>
          <t>FF QA Lead</t>
        </is>
      </c>
      <c r="C31" s="57" t="inlineStr">
        <is>
          <t>Final Finish QA</t>
        </is>
      </c>
      <c r="D31" s="7">
        <f>COUNTIFS('Name list'!$E:$E,'2025-2026 comp'!$C31)</f>
        <v/>
      </c>
      <c r="E31" s="179">
        <f>COUNTIFS('Name list'!$I:$I,'2025-2026 comp'!E$3,'Name list'!$E:$E,'2025-2026 comp'!$C31)</f>
        <v/>
      </c>
      <c r="F31" s="179">
        <f>COUNTIFS('Name list'!$I:$I,'2025-2026 comp'!F$3,'Name list'!$E:$E,'2025-2026 comp'!$C31)</f>
        <v/>
      </c>
      <c r="G31" s="179">
        <f>COUNTIFS('Name list'!$I:$I,'2025-2026 comp'!G$3,'Name list'!$E:$E,'2025-2026 comp'!$C31)</f>
        <v/>
      </c>
      <c r="H31" s="179">
        <f>COUNTIFS('Name list'!$I:$I,'2025-2026 comp'!H$3,'Name list'!$E:$E,'2025-2026 comp'!$C31)</f>
        <v/>
      </c>
      <c r="I31" s="179">
        <f>COUNTIFS('Name list'!$Y:$Y,'2025-2026 comp'!I$3,'Name list'!$E:$E,'2025-2026 comp'!$C31)</f>
        <v/>
      </c>
      <c r="J31" s="179">
        <f>COUNTIFS('Name list'!$Y:$Y,'2025-2026 comp'!J$3,'Name list'!$E:$E,'2025-2026 comp'!$C31)</f>
        <v/>
      </c>
      <c r="K31" s="179">
        <f>COUNTIFS('Name list'!$Y:$Y,'2025-2026 comp'!K$3,'Name list'!$E:$E,'2025-2026 comp'!$C31)</f>
        <v/>
      </c>
      <c r="L31" s="179">
        <f>COUNTIFS('Name list'!$Y:$Y,'2025-2026 comp'!L$3,'Name list'!$E:$E,'2025-2026 comp'!$C31)</f>
        <v/>
      </c>
      <c r="M31" s="17" t="n"/>
      <c r="N31" s="38">
        <f>I31-E31</f>
        <v/>
      </c>
      <c r="O31" s="38">
        <f>J31-F31</f>
        <v/>
      </c>
      <c r="P31" s="38">
        <f>K31-G31</f>
        <v/>
      </c>
      <c r="Q31" s="38">
        <f>L31-H31</f>
        <v/>
      </c>
    </row>
    <row r="32" ht="21" customHeight="1" s="118">
      <c r="B32" s="71" t="inlineStr">
        <is>
          <t>PR QA Lead</t>
        </is>
      </c>
      <c r="C32" s="57" t="inlineStr">
        <is>
          <t>Preparatory QA</t>
        </is>
      </c>
      <c r="D32" s="7">
        <f>COUNTIFS('Name list'!$E:$E,'2025-2026 comp'!$C32)</f>
        <v/>
      </c>
      <c r="E32" s="7">
        <f>COUNTIFS('Name list'!$I:$I,'2025-2026 comp'!E$3,'Name list'!$E:$E,'2025-2026 comp'!$C32)</f>
        <v/>
      </c>
      <c r="F32" s="7">
        <f>COUNTIFS('Name list'!$I:$I,'2025-2026 comp'!F$3,'Name list'!$E:$E,'2025-2026 comp'!$C32)</f>
        <v/>
      </c>
      <c r="G32" s="7">
        <f>COUNTIFS('Name list'!$I:$I,'2025-2026 comp'!G$3,'Name list'!$E:$E,'2025-2026 comp'!$C32)</f>
        <v/>
      </c>
      <c r="H32" s="7">
        <f>COUNTIFS('Name list'!$I:$I,'2025-2026 comp'!H$3,'Name list'!$E:$E,'2025-2026 comp'!$C32)</f>
        <v/>
      </c>
      <c r="I32" s="7">
        <f>COUNTIFS('Name list'!$Y:$Y,'2025-2026 comp'!I$3,'Name list'!$E:$E,'2025-2026 comp'!$C32)</f>
        <v/>
      </c>
      <c r="J32" s="7">
        <f>COUNTIFS('Name list'!$Y:$Y,'2025-2026 comp'!J$3,'Name list'!$E:$E,'2025-2026 comp'!$C32)</f>
        <v/>
      </c>
      <c r="K32" s="7">
        <f>COUNTIFS('Name list'!$Y:$Y,'2025-2026 comp'!K$3,'Name list'!$E:$E,'2025-2026 comp'!$C32)</f>
        <v/>
      </c>
      <c r="L32" s="7">
        <f>COUNTIFS('Name list'!$Y:$Y,'2025-2026 comp'!L$3,'Name list'!$E:$E,'2025-2026 comp'!$C32)</f>
        <v/>
      </c>
      <c r="M32" s="17" t="n"/>
      <c r="N32" s="38">
        <f>I32-E32</f>
        <v/>
      </c>
      <c r="O32" s="38">
        <f>J32-F32</f>
        <v/>
      </c>
      <c r="P32" s="38">
        <f>K32-G32</f>
        <v/>
      </c>
      <c r="Q32" s="38">
        <f>L32-H32</f>
        <v/>
      </c>
    </row>
    <row r="33">
      <c r="B33" s="71" t="inlineStr">
        <is>
          <t>ST QA Lead</t>
        </is>
      </c>
      <c r="C33" s="57" t="inlineStr">
        <is>
          <t>Solid tire QA</t>
        </is>
      </c>
      <c r="D33" s="7">
        <f>COUNTIFS('Name list'!$E:$E,'2025-2026 comp'!$C33)</f>
        <v/>
      </c>
      <c r="E33" s="7">
        <f>COUNTIFS('Name list'!$I:$I,'2025-2026 comp'!E$3,'Name list'!$E:$E,'2025-2026 comp'!$C33)</f>
        <v/>
      </c>
      <c r="F33" s="7">
        <f>COUNTIFS('Name list'!$I:$I,'2025-2026 comp'!F$3,'Name list'!$E:$E,'2025-2026 comp'!$C33)</f>
        <v/>
      </c>
      <c r="G33" s="7">
        <f>COUNTIFS('Name list'!$I:$I,'2025-2026 comp'!G$3,'Name list'!$E:$E,'2025-2026 comp'!$C33)</f>
        <v/>
      </c>
      <c r="H33" s="7">
        <f>COUNTIFS('Name list'!$I:$I,'2025-2026 comp'!H$3,'Name list'!$E:$E,'2025-2026 comp'!$C33)</f>
        <v/>
      </c>
      <c r="I33" s="7">
        <f>COUNTIFS('Name list'!$Y:$Y,'2025-2026 comp'!I$3,'Name list'!$E:$E,'2025-2026 comp'!$C33)</f>
        <v/>
      </c>
      <c r="J33" s="7">
        <f>COUNTIFS('Name list'!$Y:$Y,'2025-2026 comp'!J$3,'Name list'!$E:$E,'2025-2026 comp'!$C33)</f>
        <v/>
      </c>
      <c r="K33" s="7">
        <f>COUNTIFS('Name list'!$Y:$Y,'2025-2026 comp'!K$3,'Name list'!$E:$E,'2025-2026 comp'!$C33)</f>
        <v/>
      </c>
      <c r="L33" s="7">
        <f>COUNTIFS('Name list'!$Y:$Y,'2025-2026 comp'!L$3,'Name list'!$E:$E,'2025-2026 comp'!$C33)</f>
        <v/>
      </c>
      <c r="M33" s="17" t="n"/>
      <c r="N33" s="38">
        <f>I33-E33</f>
        <v/>
      </c>
      <c r="O33" s="38">
        <f>J33-F33</f>
        <v/>
      </c>
      <c r="P33" s="38">
        <f>K33-G33</f>
        <v/>
      </c>
      <c r="Q33" s="38">
        <f>L33-H33</f>
        <v/>
      </c>
    </row>
    <row r="34">
      <c r="B34" s="71" t="inlineStr">
        <is>
          <t>WH QA Lead</t>
        </is>
      </c>
      <c r="C34" s="57" t="inlineStr">
        <is>
          <t>Warehouse QA</t>
        </is>
      </c>
      <c r="D34" s="7">
        <f>COUNTIFS('Name list'!$E:$E,'2025-2026 comp'!$C34)</f>
        <v/>
      </c>
      <c r="E34" s="7">
        <f>COUNTIFS('Name list'!$I:$I,'2025-2026 comp'!E$3,'Name list'!$E:$E,'2025-2026 comp'!$C34)</f>
        <v/>
      </c>
      <c r="F34" s="7">
        <f>COUNTIFS('Name list'!$I:$I,'2025-2026 comp'!F$3,'Name list'!$E:$E,'2025-2026 comp'!$C34)</f>
        <v/>
      </c>
      <c r="G34" s="7">
        <f>COUNTIFS('Name list'!$I:$I,'2025-2026 comp'!G$3,'Name list'!$E:$E,'2025-2026 comp'!$C34)</f>
        <v/>
      </c>
      <c r="H34" s="7">
        <f>COUNTIFS('Name list'!$I:$I,'2025-2026 comp'!H$3,'Name list'!$E:$E,'2025-2026 comp'!$C34)</f>
        <v/>
      </c>
      <c r="I34" s="7">
        <f>COUNTIFS('Name list'!$Y:$Y,'2025-2026 comp'!I$3,'Name list'!$E:$E,'2025-2026 comp'!$C34)</f>
        <v/>
      </c>
      <c r="J34" s="7">
        <f>COUNTIFS('Name list'!$Y:$Y,'2025-2026 comp'!J$3,'Name list'!$E:$E,'2025-2026 comp'!$C34)</f>
        <v/>
      </c>
      <c r="K34" s="7">
        <f>COUNTIFS('Name list'!$Y:$Y,'2025-2026 comp'!K$3,'Name list'!$E:$E,'2025-2026 comp'!$C34)</f>
        <v/>
      </c>
      <c r="L34" s="7">
        <f>COUNTIFS('Name list'!$Y:$Y,'2025-2026 comp'!L$3,'Name list'!$E:$E,'2025-2026 comp'!$C34)</f>
        <v/>
      </c>
      <c r="M34" s="17" t="n"/>
      <c r="N34" s="38">
        <f>I34-E34</f>
        <v/>
      </c>
      <c r="O34" s="38">
        <f>J34-F34</f>
        <v/>
      </c>
      <c r="P34" s="38">
        <f>K34-G34</f>
        <v/>
      </c>
      <c r="Q34" s="38">
        <f>L34-H34</f>
        <v/>
      </c>
    </row>
    <row r="35">
      <c r="B35" s="71" t="inlineStr">
        <is>
          <t>TC QA Lead</t>
        </is>
      </c>
      <c r="C35" s="57" t="inlineStr">
        <is>
          <t>Tire curing QA</t>
        </is>
      </c>
      <c r="D35" s="7">
        <f>COUNTIFS('Name list'!$E:$E,'2025-2026 comp'!$C35)</f>
        <v/>
      </c>
      <c r="E35" s="7">
        <f>COUNTIFS('Name list'!$I:$I,'2025-2026 comp'!E$3,'Name list'!$E:$E,'2025-2026 comp'!$C35)</f>
        <v/>
      </c>
      <c r="F35" s="7">
        <f>COUNTIFS('Name list'!$I:$I,'2025-2026 comp'!F$3,'Name list'!$E:$E,'2025-2026 comp'!$C35)</f>
        <v/>
      </c>
      <c r="G35" s="7">
        <f>COUNTIFS('Name list'!$I:$I,'2025-2026 comp'!G$3,'Name list'!$E:$E,'2025-2026 comp'!$C35)</f>
        <v/>
      </c>
      <c r="H35" s="7">
        <f>COUNTIFS('Name list'!$I:$I,'2025-2026 comp'!H$3,'Name list'!$E:$E,'2025-2026 comp'!$C35)</f>
        <v/>
      </c>
      <c r="I35" s="7">
        <f>COUNTIFS('Name list'!$Y:$Y,'2025-2026 comp'!I$3,'Name list'!$E:$E,'2025-2026 comp'!$C35)</f>
        <v/>
      </c>
      <c r="J35" s="7">
        <f>COUNTIFS('Name list'!$Y:$Y,'2025-2026 comp'!J$3,'Name list'!$E:$E,'2025-2026 comp'!$C35)</f>
        <v/>
      </c>
      <c r="K35" s="7">
        <f>COUNTIFS('Name list'!$Y:$Y,'2025-2026 comp'!K$3,'Name list'!$E:$E,'2025-2026 comp'!$C35)</f>
        <v/>
      </c>
      <c r="L35" s="7">
        <f>COUNTIFS('Name list'!$Y:$Y,'2025-2026 comp'!L$3,'Name list'!$E:$E,'2025-2026 comp'!$C35)</f>
        <v/>
      </c>
      <c r="M35" s="17" t="n"/>
      <c r="N35" s="38">
        <f>I35-E35</f>
        <v/>
      </c>
      <c r="O35" s="38">
        <f>J35-F35</f>
        <v/>
      </c>
      <c r="P35" s="38">
        <f>K35-G35</f>
        <v/>
      </c>
      <c r="Q35" s="38">
        <f>L35-H35</f>
        <v/>
      </c>
    </row>
    <row r="36">
      <c r="B36" s="71" t="inlineStr">
        <is>
          <t>RRO &amp; ALT Lead</t>
        </is>
      </c>
      <c r="C36" s="57" t="inlineStr">
        <is>
          <t>Final Finish RRO &amp; ALT QA</t>
        </is>
      </c>
      <c r="D36" s="7">
        <f>COUNTIFS('Name list'!$E:$E,'2025-2026 comp'!$C36)</f>
        <v/>
      </c>
      <c r="E36" s="7">
        <f>COUNTIFS('Name list'!$I:$I,'2025-2026 comp'!E$3,'Name list'!$E:$E,'2025-2026 comp'!$C36)</f>
        <v/>
      </c>
      <c r="F36" s="7">
        <f>COUNTIFS('Name list'!$I:$I,'2025-2026 comp'!F$3,'Name list'!$E:$E,'2025-2026 comp'!$C36)</f>
        <v/>
      </c>
      <c r="G36" s="7">
        <f>COUNTIFS('Name list'!$I:$I,'2025-2026 comp'!G$3,'Name list'!$E:$E,'2025-2026 comp'!$C36)</f>
        <v/>
      </c>
      <c r="H36" s="7">
        <f>COUNTIFS('Name list'!$I:$I,'2025-2026 comp'!H$3,'Name list'!$E:$E,'2025-2026 comp'!$C36)</f>
        <v/>
      </c>
      <c r="I36" s="7">
        <f>COUNTIFS('Name list'!$Y:$Y,'2025-2026 comp'!I$3,'Name list'!$E:$E,'2025-2026 comp'!$C36)</f>
        <v/>
      </c>
      <c r="J36" s="7">
        <f>COUNTIFS('Name list'!$Y:$Y,'2025-2026 comp'!J$3,'Name list'!$E:$E,'2025-2026 comp'!$C36)</f>
        <v/>
      </c>
      <c r="K36" s="7">
        <f>COUNTIFS('Name list'!$Y:$Y,'2025-2026 comp'!K$3,'Name list'!$E:$E,'2025-2026 comp'!$C36)</f>
        <v/>
      </c>
      <c r="L36" s="7">
        <f>COUNTIFS('Name list'!$Y:$Y,'2025-2026 comp'!L$3,'Name list'!$E:$E,'2025-2026 comp'!$C36)</f>
        <v/>
      </c>
      <c r="M36" s="17" t="n"/>
      <c r="N36" s="38">
        <f>I36-E36</f>
        <v/>
      </c>
      <c r="O36" s="38">
        <f>J36-F36</f>
        <v/>
      </c>
      <c r="P36" s="38">
        <f>K36-G36</f>
        <v/>
      </c>
      <c r="Q36" s="38">
        <f>L36-H36</f>
        <v/>
      </c>
    </row>
    <row r="37">
      <c r="B37" s="71" t="inlineStr">
        <is>
          <t>FID QA Lead</t>
        </is>
      </c>
      <c r="C37" s="57" t="inlineStr">
        <is>
          <t>FID inspector QA</t>
        </is>
      </c>
      <c r="D37" s="7">
        <f>COUNTIFS('Name list'!$E:$E,'2025-2026 comp'!$C37)</f>
        <v/>
      </c>
      <c r="E37" s="7">
        <f>COUNTIFS('Name list'!$I:$I,'2025-2026 comp'!E$3,'Name list'!$E:$E,'2025-2026 comp'!$C37)</f>
        <v/>
      </c>
      <c r="F37" s="7">
        <f>COUNTIFS('Name list'!$I:$I,'2025-2026 comp'!F$3,'Name list'!$E:$E,'2025-2026 comp'!$C37)</f>
        <v/>
      </c>
      <c r="G37" s="7">
        <f>COUNTIFS('Name list'!$I:$I,'2025-2026 comp'!G$3,'Name list'!$E:$E,'2025-2026 comp'!$C37)</f>
        <v/>
      </c>
      <c r="H37" s="7">
        <f>COUNTIFS('Name list'!$I:$I,'2025-2026 comp'!H$3,'Name list'!$E:$E,'2025-2026 comp'!$C37)</f>
        <v/>
      </c>
      <c r="I37" s="7">
        <f>COUNTIFS('Name list'!$Y:$Y,'2025-2026 comp'!I$3,'Name list'!$E:$E,'2025-2026 comp'!$C37)</f>
        <v/>
      </c>
      <c r="J37" s="7">
        <f>COUNTIFS('Name list'!$Y:$Y,'2025-2026 comp'!J$3,'Name list'!$E:$E,'2025-2026 comp'!$C37)</f>
        <v/>
      </c>
      <c r="K37" s="7">
        <f>COUNTIFS('Name list'!$Y:$Y,'2025-2026 comp'!K$3,'Name list'!$E:$E,'2025-2026 comp'!$C37)</f>
        <v/>
      </c>
      <c r="L37" s="7">
        <f>COUNTIFS('Name list'!$Y:$Y,'2025-2026 comp'!L$3,'Name list'!$E:$E,'2025-2026 comp'!$C37)</f>
        <v/>
      </c>
      <c r="M37" s="17" t="n"/>
      <c r="N37" s="38">
        <f>I37-E37</f>
        <v/>
      </c>
      <c r="O37" s="38">
        <f>J37-F37</f>
        <v/>
      </c>
      <c r="P37" s="38">
        <f>K37-G37</f>
        <v/>
      </c>
      <c r="Q37" s="38">
        <f>L37-H37</f>
        <v/>
      </c>
    </row>
    <row r="38">
      <c r="B38" s="70" t="n"/>
      <c r="C38" s="64" t="inlineStr">
        <is>
          <t>Grand Total</t>
        </is>
      </c>
      <c r="D38" s="162">
        <f>SUM(D4:D37)</f>
        <v/>
      </c>
      <c r="E38" s="162">
        <f>SUM(E4:E37)</f>
        <v/>
      </c>
      <c r="F38" s="162">
        <f>SUM(F4:F37)</f>
        <v/>
      </c>
      <c r="G38" s="162">
        <f>SUM(G4:G37)</f>
        <v/>
      </c>
      <c r="H38" s="162">
        <f>SUM(H4:H37)</f>
        <v/>
      </c>
      <c r="I38" s="162">
        <f>SUM(I4:I37)</f>
        <v/>
      </c>
      <c r="J38" s="162">
        <f>SUM(J4:J37)</f>
        <v/>
      </c>
      <c r="K38" s="162">
        <f>SUM(K4:K37)</f>
        <v/>
      </c>
      <c r="L38" s="162">
        <f>SUM(L4:L37)</f>
        <v/>
      </c>
      <c r="M38" s="17" t="n"/>
      <c r="N38" s="65" t="n"/>
      <c r="O38" s="66" t="n"/>
      <c r="P38" s="65" t="n"/>
      <c r="Q38" s="66" t="n"/>
    </row>
    <row r="39">
      <c r="E39" s="163">
        <f>E38/$D$38</f>
        <v/>
      </c>
      <c r="F39" s="163">
        <f>F38/$D$38</f>
        <v/>
      </c>
      <c r="G39" s="163">
        <f>G38/$D$38</f>
        <v/>
      </c>
      <c r="H39" s="163">
        <f>H38/$D$38</f>
        <v/>
      </c>
      <c r="I39" s="163">
        <f>I38/$D$38</f>
        <v/>
      </c>
      <c r="J39" s="163">
        <f>J38/$D$38</f>
        <v/>
      </c>
      <c r="K39" s="163">
        <f>K38/$D$38</f>
        <v/>
      </c>
      <c r="L39" s="163">
        <f>L38/$D$38</f>
        <v/>
      </c>
    </row>
    <row r="40">
      <c r="K40" s="163">
        <f>L39+K39</f>
        <v/>
      </c>
      <c r="L40" s="180" t="n"/>
    </row>
  </sheetData>
  <mergeCells count="8">
    <mergeCell ref="I1:L1"/>
    <mergeCell ref="C2:C3"/>
    <mergeCell ref="N2:Q2"/>
    <mergeCell ref="B2:B3"/>
    <mergeCell ref="I2:L2"/>
    <mergeCell ref="D2:D3"/>
    <mergeCell ref="K40:L40"/>
    <mergeCell ref="E2:H2"/>
  </mergeCells>
  <conditionalFormatting sqref="N4:Q29">
    <cfRule type="cellIs" priority="1" operator="greaterThan" dxfId="0">
      <formula>1</formula>
    </cfRule>
    <cfRule type="cellIs" priority="2" operator="lessThan" dxfId="1">
      <formula>-2</formula>
    </cfRule>
  </conditionalFormatting>
  <pageMargins left="0.43" right="0.7" top="0.75" bottom="0.75" header="0.32" footer="0.3"/>
  <pageSetup orientation="portrait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U39"/>
  <sheetViews>
    <sheetView zoomScaleNormal="100" workbookViewId="0">
      <pane xSplit="3" ySplit="3" topLeftCell="D25" activePane="bottomRight" state="frozen"/>
      <selection activeCell="N4" sqref="N4"/>
      <selection pane="topRight" activeCell="N4" sqref="N4"/>
      <selection pane="bottomLeft" activeCell="N4" sqref="N4"/>
      <selection pane="bottomRight" activeCell="L4" sqref="L4"/>
    </sheetView>
  </sheetViews>
  <sheetFormatPr baseColWidth="8" defaultRowHeight="21" customHeight="1"/>
  <cols>
    <col hidden="1" width="1.85546875" customWidth="1" style="53" min="1" max="1"/>
    <col width="14.42578125" customWidth="1" style="110" min="2" max="2"/>
    <col width="27.85546875" customWidth="1" style="53" min="3" max="3"/>
    <col width="7.140625" customWidth="1" style="52" min="4" max="4"/>
    <col hidden="1" width="8.140625" customWidth="1" style="53" min="5" max="5"/>
    <col hidden="1" width="8.5703125" customWidth="1" style="53" min="6" max="6"/>
    <col hidden="1" width="7.42578125" customWidth="1" style="53" min="7" max="7"/>
    <col hidden="1" width="7.85546875" customWidth="1" style="53" min="8" max="8"/>
    <col width="2.42578125" customWidth="1" style="53" min="9" max="9"/>
    <col width="7.28515625" customWidth="1" style="52" min="10" max="10"/>
    <col hidden="1" width="7" customWidth="1" style="52" min="11" max="11"/>
    <col width="7.28515625" customWidth="1" style="52" min="12" max="12"/>
    <col hidden="1" width="7.28515625" customWidth="1" style="53" min="13" max="13"/>
    <col hidden="1" width="10.5703125" customWidth="1" style="52" min="14" max="14"/>
    <col width="2.28515625" customWidth="1" style="53" min="15" max="15"/>
    <col width="7.42578125" bestFit="1" customWidth="1" style="53" min="16" max="16"/>
    <col width="7.42578125" customWidth="1" style="53" min="17" max="17"/>
    <col width="10" customWidth="1" style="53" min="18" max="18"/>
    <col width="9.140625" customWidth="1" style="53" min="19" max="16384"/>
  </cols>
  <sheetData>
    <row r="1" ht="16.5" customHeight="1" s="118">
      <c r="C1" s="49" t="n"/>
      <c r="D1" s="159" t="n"/>
      <c r="E1" s="159" t="n"/>
      <c r="I1" s="53" t="n"/>
      <c r="J1" s="52" t="n"/>
      <c r="K1" s="52" t="n"/>
      <c r="L1" s="52" t="n"/>
      <c r="M1" s="53" t="n"/>
      <c r="N1" s="52" t="n"/>
      <c r="O1" s="53" t="n"/>
      <c r="P1" s="53" t="n"/>
      <c r="Q1" s="53" t="n"/>
      <c r="R1" s="53" t="n"/>
    </row>
    <row r="2" ht="25.5" customHeight="1" s="118">
      <c r="B2" s="166" t="inlineStr">
        <is>
          <t>Responsibility</t>
        </is>
      </c>
      <c r="C2" s="167" t="inlineStr">
        <is>
          <t>SECTION</t>
        </is>
      </c>
      <c r="D2" s="162" t="inlineStr">
        <is>
          <t>Head Count</t>
        </is>
      </c>
      <c r="E2" s="162" t="inlineStr">
        <is>
          <t>0 - 6 Days</t>
        </is>
      </c>
      <c r="F2" s="162" t="inlineStr">
        <is>
          <t>&gt; 3 Months</t>
        </is>
      </c>
      <c r="G2" s="162" t="inlineStr">
        <is>
          <t>2 Years</t>
        </is>
      </c>
      <c r="H2" s="162" t="inlineStr">
        <is>
          <t>&gt; 4 Years</t>
        </is>
      </c>
      <c r="I2" s="54" t="n"/>
      <c r="J2" s="165" t="inlineStr">
        <is>
          <t>Questionnaire Assessment</t>
        </is>
      </c>
      <c r="K2" s="176" t="n"/>
      <c r="L2" s="165" t="inlineStr">
        <is>
          <t>Gemba evaluation</t>
        </is>
      </c>
      <c r="M2" s="176" t="n"/>
      <c r="N2" s="165" t="inlineStr">
        <is>
          <t>Overall Assessment</t>
        </is>
      </c>
      <c r="O2" s="54" t="n"/>
      <c r="P2" s="164" t="inlineStr">
        <is>
          <t>yet to receive</t>
        </is>
      </c>
      <c r="Q2" s="176" t="n"/>
      <c r="R2" s="53" t="n"/>
    </row>
    <row r="3" ht="24" customHeight="1" s="118">
      <c r="B3" s="177" t="n"/>
      <c r="C3" s="178" t="n"/>
      <c r="D3" s="178" t="n"/>
      <c r="E3" s="162" t="inlineStr">
        <is>
          <t>I</t>
        </is>
      </c>
      <c r="F3" s="162" t="inlineStr">
        <is>
          <t>L</t>
        </is>
      </c>
      <c r="G3" s="162" t="inlineStr">
        <is>
          <t>U</t>
        </is>
      </c>
      <c r="H3" s="162" t="inlineStr">
        <is>
          <t>O</t>
        </is>
      </c>
      <c r="I3" s="54" t="n"/>
      <c r="J3" s="165" t="inlineStr">
        <is>
          <t>Nos</t>
        </is>
      </c>
      <c r="K3" s="165" t="inlineStr">
        <is>
          <t>%</t>
        </is>
      </c>
      <c r="L3" s="165" t="inlineStr">
        <is>
          <t>Nos</t>
        </is>
      </c>
      <c r="M3" s="165" t="inlineStr">
        <is>
          <t>%</t>
        </is>
      </c>
      <c r="N3" s="178" t="n"/>
      <c r="O3" s="7" t="n"/>
      <c r="P3" s="164" t="inlineStr">
        <is>
          <t>Question</t>
        </is>
      </c>
      <c r="Q3" s="164" t="inlineStr">
        <is>
          <t>Gemba</t>
        </is>
      </c>
      <c r="R3" s="53" t="n"/>
    </row>
    <row r="4" ht="21" customHeight="1" s="118">
      <c r="B4" s="110" t="inlineStr">
        <is>
          <t>KUMAR</t>
        </is>
      </c>
      <c r="C4" s="57" t="inlineStr">
        <is>
          <t>MIXING</t>
        </is>
      </c>
      <c r="D4" s="7">
        <f>COUNTIFS('Name list'!$E:$E,Abstract!$C4)</f>
        <v/>
      </c>
      <c r="E4" s="7">
        <f>COUNTIFS('Name list'!$Y:$Y,Abstract!E$3,'Name list'!$E:$E,Abstract!$C4)</f>
        <v/>
      </c>
      <c r="F4" s="7">
        <f>COUNTIFS('Name list'!$Y:$Y,Abstract!F$3,'Name list'!$E:$E,Abstract!$C4)</f>
        <v/>
      </c>
      <c r="G4" s="7">
        <f>COUNTIFS('Name list'!$Y:$Y,Abstract!G$3,'Name list'!$E:$E,Abstract!$C4)</f>
        <v/>
      </c>
      <c r="H4" s="7">
        <f>COUNTIFS('Name list'!$Y:$Y,Abstract!H$3,'Name list'!$E:$E,Abstract!$C4)</f>
        <v/>
      </c>
      <c r="I4" s="17" t="n"/>
      <c r="J4" s="38" t="n">
        <v>97</v>
      </c>
      <c r="K4" s="105">
        <f>J4/D4</f>
        <v/>
      </c>
      <c r="L4" s="38">
        <f>COUNTIFS('Name list'!$E$3:$E$1048576,Abstract!$C4,'Name list'!$U$3:$U$1048576,"&gt;1")</f>
        <v/>
      </c>
      <c r="M4" s="105">
        <f>L4/D4</f>
        <v/>
      </c>
      <c r="N4" s="106">
        <f>AVERAGE(K4,M4)</f>
        <v/>
      </c>
      <c r="O4" s="17" t="n"/>
      <c r="P4" s="60" t="n">
        <v>0</v>
      </c>
      <c r="Q4" s="60">
        <f>D4-L4</f>
        <v/>
      </c>
      <c r="R4" s="53" t="n"/>
    </row>
    <row r="5" ht="21" customHeight="1" s="118">
      <c r="B5" s="110" t="inlineStr">
        <is>
          <t>RAJESH</t>
        </is>
      </c>
      <c r="C5" s="57" t="inlineStr">
        <is>
          <t>TYRE CURING</t>
        </is>
      </c>
      <c r="D5" s="7">
        <f>COUNTIFS('Name list'!$E:$E,Abstract!$C5)</f>
        <v/>
      </c>
      <c r="E5" s="78">
        <f>COUNTIFS('Name list'!$Y:$Y,Abstract!E$3,'Name list'!$E:$E,Abstract!$C5)</f>
        <v/>
      </c>
      <c r="F5" s="78">
        <f>COUNTIFS('Name list'!$Y:$Y,Abstract!F$3,'Name list'!$E:$E,Abstract!$C5)</f>
        <v/>
      </c>
      <c r="G5" s="78">
        <f>COUNTIFS('Name list'!$Y:$Y,Abstract!G$3,'Name list'!$E:$E,Abstract!$C5)</f>
        <v/>
      </c>
      <c r="H5" s="78">
        <f>COUNTIFS('Name list'!$Y:$Y,Abstract!H$3,'Name list'!$E:$E,Abstract!$C5)</f>
        <v/>
      </c>
      <c r="I5" s="17" t="n"/>
      <c r="J5" s="38">
        <f>COUNTIFS('Name list'!$E$3:$E$1048576,Abstract!$C5,'Name list'!$O$3:$O$1048576,"&gt;1")</f>
        <v/>
      </c>
      <c r="K5" s="105">
        <f>J5/D5</f>
        <v/>
      </c>
      <c r="L5" s="38">
        <f>COUNTIFS('Name list'!$E$3:$E$1048576,Abstract!$C5,'Name list'!$U$3:$U$1048576,"&gt;1")</f>
        <v/>
      </c>
      <c r="M5" s="105">
        <f>L5/D5</f>
        <v/>
      </c>
      <c r="N5" s="106">
        <f>AVERAGE(K5,M5)</f>
        <v/>
      </c>
      <c r="O5" s="17" t="n"/>
      <c r="P5" s="60">
        <f>D5-J5</f>
        <v/>
      </c>
      <c r="Q5" s="60">
        <f>D5-L5</f>
        <v/>
      </c>
      <c r="R5" s="90">
        <f>E5/$D$5</f>
        <v/>
      </c>
      <c r="S5" s="90">
        <f>F5/$D$5</f>
        <v/>
      </c>
      <c r="T5" s="90">
        <f>G5/$D$5</f>
        <v/>
      </c>
      <c r="U5" s="90">
        <f>H5/$D$5</f>
        <v/>
      </c>
    </row>
    <row r="6" ht="21" customHeight="1" s="118">
      <c r="B6" s="110" t="inlineStr">
        <is>
          <t>ANBUNITHI</t>
        </is>
      </c>
      <c r="C6" s="57" t="inlineStr">
        <is>
          <t>SOLID TYRE</t>
        </is>
      </c>
      <c r="D6" s="7">
        <f>COUNTIFS('Name list'!$E:$E,Abstract!$C6)</f>
        <v/>
      </c>
      <c r="E6" s="7">
        <f>COUNTIFS('Name list'!$Y:$Y,Abstract!E$3,'Name list'!$E:$E,Abstract!$C6)</f>
        <v/>
      </c>
      <c r="F6" s="7">
        <f>COUNTIFS('Name list'!$Y:$Y,Abstract!F$3,'Name list'!$E:$E,Abstract!$C6)</f>
        <v/>
      </c>
      <c r="G6" s="7">
        <f>COUNTIFS('Name list'!$Y:$Y,Abstract!G$3,'Name list'!$E:$E,Abstract!$C6)</f>
        <v/>
      </c>
      <c r="H6" s="7">
        <f>COUNTIFS('Name list'!$Y:$Y,Abstract!H$3,'Name list'!$E:$E,Abstract!$C6)</f>
        <v/>
      </c>
      <c r="I6" s="17" t="n"/>
      <c r="J6" s="38">
        <f>COUNTIFS('Name list'!$E$3:$E$1048576,Abstract!$C6,'Name list'!$O$3:$O$1048576,"&gt;1")</f>
        <v/>
      </c>
      <c r="K6" s="58">
        <f>J6/D6</f>
        <v/>
      </c>
      <c r="L6" s="38">
        <f>COUNTIFS('Name list'!$E$3:$E$1048576,Abstract!$C6,'Name list'!$U$3:$U$1048576,"&gt;1")</f>
        <v/>
      </c>
      <c r="M6" s="58">
        <f>L6/D6</f>
        <v/>
      </c>
      <c r="N6" s="59">
        <f>AVERAGE(K6,M6)</f>
        <v/>
      </c>
      <c r="O6" s="17" t="n"/>
      <c r="P6" s="60">
        <f>D6-J6</f>
        <v/>
      </c>
      <c r="Q6" s="60">
        <f>D6-L6</f>
        <v/>
      </c>
      <c r="R6" s="53" t="n"/>
    </row>
    <row r="7" ht="21" customHeight="1" s="118">
      <c r="B7" s="149" t="inlineStr">
        <is>
          <t>MANICKKAM</t>
        </is>
      </c>
      <c r="C7" s="57" t="inlineStr">
        <is>
          <t>EXTRUDER</t>
        </is>
      </c>
      <c r="D7" s="7">
        <f>COUNTIFS('Name list'!$E:$E,Abstract!$C7)</f>
        <v/>
      </c>
      <c r="E7" s="7">
        <f>COUNTIFS('Name list'!$Y:$Y,Abstract!E$3,'Name list'!$E:$E,Abstract!$C7)</f>
        <v/>
      </c>
      <c r="F7" s="7">
        <f>COUNTIFS('Name list'!$Y:$Y,Abstract!F$3,'Name list'!$E:$E,Abstract!$C7)</f>
        <v/>
      </c>
      <c r="G7" s="7">
        <f>COUNTIFS('Name list'!$Y:$Y,Abstract!G$3,'Name list'!$E:$E,Abstract!$C7)</f>
        <v/>
      </c>
      <c r="H7" s="7">
        <f>COUNTIFS('Name list'!$Y:$Y,Abstract!H$3,'Name list'!$E:$E,Abstract!$C7)</f>
        <v/>
      </c>
      <c r="I7" s="17" t="n"/>
      <c r="J7" s="38">
        <f>COUNTIFS('Name list'!$E$3:$E$1048576,Abstract!$C7,'Name list'!$O$3:$O$1048576,"&gt;1")</f>
        <v/>
      </c>
      <c r="K7" s="105">
        <f>J7/D7</f>
        <v/>
      </c>
      <c r="L7" s="38">
        <f>COUNTIFS('Name list'!$E$3:$E$1048576,Abstract!$C7,'Name list'!$U$3:$U$1048576,"&gt;1")</f>
        <v/>
      </c>
      <c r="M7" s="58">
        <f>L7/D7</f>
        <v/>
      </c>
      <c r="N7" s="59">
        <f>AVERAGE(K7,M7)</f>
        <v/>
      </c>
      <c r="O7" s="17" t="n"/>
      <c r="P7" s="60">
        <f>D7-J7</f>
        <v/>
      </c>
      <c r="Q7" s="60">
        <f>D7-L7</f>
        <v/>
      </c>
      <c r="R7" s="53" t="n"/>
    </row>
    <row r="8" ht="24.95" customHeight="1" s="118">
      <c r="B8" s="149" t="inlineStr">
        <is>
          <t>MANICKKAM</t>
        </is>
      </c>
      <c r="C8" s="57" t="inlineStr">
        <is>
          <t>STEELASTIC</t>
        </is>
      </c>
      <c r="D8" s="7">
        <f>COUNTIFS('Name list'!$E:$E,Abstract!$C8)</f>
        <v/>
      </c>
      <c r="E8" s="7">
        <f>COUNTIFS('Name list'!$Y:$Y,Abstract!E$3,'Name list'!$E:$E,Abstract!$C8)</f>
        <v/>
      </c>
      <c r="F8" s="7">
        <f>COUNTIFS('Name list'!$Y:$Y,Abstract!F$3,'Name list'!$E:$E,Abstract!$C8)</f>
        <v/>
      </c>
      <c r="G8" s="7">
        <f>COUNTIFS('Name list'!$Y:$Y,Abstract!G$3,'Name list'!$E:$E,Abstract!$C8)</f>
        <v/>
      </c>
      <c r="H8" s="7">
        <f>COUNTIFS('Name list'!$Y:$Y,Abstract!H$3,'Name list'!$E:$E,Abstract!$C8)</f>
        <v/>
      </c>
      <c r="I8" s="17" t="n"/>
      <c r="J8" s="38">
        <f>COUNTIFS('Name list'!$E$3:$E$1048576,Abstract!$C8,'Name list'!$O$3:$O$1048576,"&gt;1")</f>
        <v/>
      </c>
      <c r="K8" s="105">
        <f>J8/D8</f>
        <v/>
      </c>
      <c r="L8" s="38">
        <f>COUNTIFS('Name list'!$E$3:$E$1048576,Abstract!$C8,'Name list'!$U$3:$U$1048576,"&gt;1")</f>
        <v/>
      </c>
      <c r="M8" s="105">
        <f>L8/D8</f>
        <v/>
      </c>
      <c r="N8" s="106">
        <f>AVERAGE(K8,M8)</f>
        <v/>
      </c>
      <c r="O8" s="17" t="n"/>
      <c r="P8" s="60">
        <f>D8-J8</f>
        <v/>
      </c>
      <c r="Q8" s="60">
        <f>D8-L8</f>
        <v/>
      </c>
      <c r="R8" s="53" t="n"/>
    </row>
    <row r="9" ht="24.95" customHeight="1" s="118">
      <c r="B9" s="149" t="inlineStr">
        <is>
          <t>SANKAR</t>
        </is>
      </c>
      <c r="C9" s="61" t="inlineStr">
        <is>
          <t>3 ROLL-P2</t>
        </is>
      </c>
      <c r="D9" s="42">
        <f>COUNTIFS('Name list'!$E:$E,Abstract!$C9)</f>
        <v/>
      </c>
      <c r="E9" s="42">
        <f>COUNTIFS('Name list'!$Y:$Y,Abstract!E$3,'Name list'!$E:$E,Abstract!$C9)</f>
        <v/>
      </c>
      <c r="F9" s="42">
        <f>COUNTIFS('Name list'!$Y:$Y,Abstract!F$3,'Name list'!$E:$E,Abstract!$C9)</f>
        <v/>
      </c>
      <c r="G9" s="42">
        <f>COUNTIFS('Name list'!$Y:$Y,Abstract!G$3,'Name list'!$E:$E,Abstract!$C9)</f>
        <v/>
      </c>
      <c r="H9" s="42">
        <f>COUNTIFS('Name list'!$Y:$Y,Abstract!H$3,'Name list'!$E:$E,Abstract!$C9)</f>
        <v/>
      </c>
      <c r="I9" s="17" t="n"/>
      <c r="J9" s="62">
        <f>COUNTIFS('Name list'!$E$3:$E$1048576,Abstract!$C9,'Name list'!$O$3:$O$1048576,"&gt;1")</f>
        <v/>
      </c>
      <c r="K9" s="107">
        <f>J9/D9</f>
        <v/>
      </c>
      <c r="L9" s="62">
        <f>COUNTIFS('Name list'!$E$3:$E$1048576,Abstract!$C9,'Name list'!$U$3:$U$1048576,"&gt;1")</f>
        <v/>
      </c>
      <c r="M9" s="107">
        <f>L9/D9</f>
        <v/>
      </c>
      <c r="N9" s="108">
        <f>AVERAGE(K9,M9)</f>
        <v/>
      </c>
      <c r="O9" s="17" t="n"/>
      <c r="P9" s="60">
        <f>D9-J9</f>
        <v/>
      </c>
      <c r="Q9" s="60">
        <f>D9-L9</f>
        <v/>
      </c>
      <c r="R9" s="53" t="n"/>
    </row>
    <row r="10" ht="24.95" customHeight="1" s="118">
      <c r="B10" s="149" t="inlineStr">
        <is>
          <t>SANKAR</t>
        </is>
      </c>
      <c r="C10" s="57" t="inlineStr">
        <is>
          <t>4 ROLL</t>
        </is>
      </c>
      <c r="D10" s="7">
        <f>COUNTIFS('Name list'!$E:$E,Abstract!$C10)</f>
        <v/>
      </c>
      <c r="E10" s="7">
        <f>COUNTIFS('Name list'!$Y:$Y,Abstract!E$3,'Name list'!$E:$E,Abstract!$C10)</f>
        <v/>
      </c>
      <c r="F10" s="7">
        <f>COUNTIFS('Name list'!$Y:$Y,Abstract!F$3,'Name list'!$E:$E,Abstract!$C10)</f>
        <v/>
      </c>
      <c r="G10" s="7">
        <f>COUNTIFS('Name list'!$Y:$Y,Abstract!G$3,'Name list'!$E:$E,Abstract!$C10)</f>
        <v/>
      </c>
      <c r="H10" s="7">
        <f>COUNTIFS('Name list'!$Y:$Y,Abstract!H$3,'Name list'!$E:$E,Abstract!$C10)</f>
        <v/>
      </c>
      <c r="I10" s="17" t="n"/>
      <c r="J10" s="38">
        <f>COUNTIFS('Name list'!$E$3:$E$1048576,Abstract!$C10,'Name list'!$O$3:$O$1048576,"&gt;1")</f>
        <v/>
      </c>
      <c r="K10" s="105">
        <f>J10/D10</f>
        <v/>
      </c>
      <c r="L10" s="38">
        <f>COUNTIFS('Name list'!$E$3:$E$1048576,Abstract!$C10,'Name list'!$U$3:$U$1048576,"&gt;1")</f>
        <v/>
      </c>
      <c r="M10" s="105">
        <f>L10/D10</f>
        <v/>
      </c>
      <c r="N10" s="106">
        <f>AVERAGE(K10,M10)</f>
        <v/>
      </c>
      <c r="O10" s="17" t="n"/>
      <c r="P10" s="60">
        <f>D10-J10</f>
        <v/>
      </c>
      <c r="Q10" s="60">
        <f>D10-L10</f>
        <v/>
      </c>
      <c r="R10" s="53" t="n"/>
    </row>
    <row r="11" ht="24.95" customHeight="1" s="118">
      <c r="B11" s="149" t="inlineStr">
        <is>
          <t>SANKAR</t>
        </is>
      </c>
      <c r="C11" s="57" t="inlineStr">
        <is>
          <t>LINER DRESSING</t>
        </is>
      </c>
      <c r="D11" s="7">
        <f>COUNTIFS('Name list'!$E:$E,Abstract!$C11)</f>
        <v/>
      </c>
      <c r="E11" s="7">
        <f>COUNTIFS('Name list'!$Y:$Y,Abstract!E$3,'Name list'!$E:$E,Abstract!$C11)</f>
        <v/>
      </c>
      <c r="F11" s="7">
        <f>COUNTIFS('Name list'!$Y:$Y,Abstract!F$3,'Name list'!$E:$E,Abstract!$C11)</f>
        <v/>
      </c>
      <c r="G11" s="7">
        <f>COUNTIFS('Name list'!$Y:$Y,Abstract!G$3,'Name list'!$E:$E,Abstract!$C11)</f>
        <v/>
      </c>
      <c r="H11" s="7">
        <f>COUNTIFS('Name list'!$Y:$Y,Abstract!H$3,'Name list'!$E:$E,Abstract!$C11)</f>
        <v/>
      </c>
      <c r="I11" s="17" t="n"/>
      <c r="J11" s="38">
        <f>COUNTIFS('Name list'!$E$3:$E$1048576,Abstract!$C11,'Name list'!$O$3:$O$1048576,"&gt;1")</f>
        <v/>
      </c>
      <c r="K11" s="105">
        <f>J11/D11</f>
        <v/>
      </c>
      <c r="L11" s="38">
        <f>COUNTIFS('Name list'!$E$3:$E$1048576,Abstract!$C11,'Name list'!$U$3:$U$1048576,"&gt;1")</f>
        <v/>
      </c>
      <c r="M11" s="105">
        <f>L11/D11</f>
        <v/>
      </c>
      <c r="N11" s="106">
        <f>AVERAGE(K11,M11)</f>
        <v/>
      </c>
      <c r="O11" s="17" t="n"/>
      <c r="P11" s="60">
        <f>D11-J11</f>
        <v/>
      </c>
      <c r="Q11" s="60">
        <f>D11-L11</f>
        <v/>
      </c>
      <c r="R11" s="53" t="n"/>
    </row>
    <row r="12" ht="24.95" customHeight="1" s="118">
      <c r="B12" s="149" t="inlineStr">
        <is>
          <t>SANKAR</t>
        </is>
      </c>
      <c r="C12" s="57" t="inlineStr">
        <is>
          <t>BEAD WINDING</t>
        </is>
      </c>
      <c r="D12" s="7">
        <f>COUNTIFS('Name list'!$E:$E,Abstract!$C12)</f>
        <v/>
      </c>
      <c r="E12" s="7">
        <f>COUNTIFS('Name list'!$Y:$Y,Abstract!E$3,'Name list'!$E:$E,Abstract!$C12)</f>
        <v/>
      </c>
      <c r="F12" s="7">
        <f>COUNTIFS('Name list'!$Y:$Y,Abstract!F$3,'Name list'!$E:$E,Abstract!$C12)</f>
        <v/>
      </c>
      <c r="G12" s="7">
        <f>COUNTIFS('Name list'!$Y:$Y,Abstract!G$3,'Name list'!$E:$E,Abstract!$C12)</f>
        <v/>
      </c>
      <c r="H12" s="7">
        <f>COUNTIFS('Name list'!$Y:$Y,Abstract!H$3,'Name list'!$E:$E,Abstract!$C12)</f>
        <v/>
      </c>
      <c r="I12" s="17" t="n"/>
      <c r="J12" s="38">
        <f>COUNTIFS('Name list'!$E$3:$E$1048576,Abstract!$C12,'Name list'!$O$3:$O$1048576,"&gt;1")</f>
        <v/>
      </c>
      <c r="K12" s="105">
        <f>J12/D12</f>
        <v/>
      </c>
      <c r="L12" s="38">
        <f>COUNTIFS('Name list'!$E$3:$E$1048576,Abstract!$C12,'Name list'!$U$3:$U$1048576,"&gt;1")</f>
        <v/>
      </c>
      <c r="M12" s="105">
        <f>L12/D12</f>
        <v/>
      </c>
      <c r="N12" s="106">
        <f>AVERAGE(K12,M12)</f>
        <v/>
      </c>
      <c r="O12" s="17" t="n"/>
      <c r="P12" s="60">
        <f>D12-J12</f>
        <v/>
      </c>
      <c r="Q12" s="60">
        <f>D12-L12</f>
        <v/>
      </c>
      <c r="R12" s="53" t="n"/>
    </row>
    <row r="13" ht="21" customHeight="1" s="118">
      <c r="B13" s="149" t="inlineStr">
        <is>
          <t>SWAMINATHAN</t>
        </is>
      </c>
      <c r="C13" s="57" t="inlineStr">
        <is>
          <t>TYRE BUILDING-P1</t>
        </is>
      </c>
      <c r="D13" s="7">
        <f>COUNTIFS('Name list'!$E:$E,Abstract!$C13)</f>
        <v/>
      </c>
      <c r="E13" s="7">
        <f>COUNTIFS('Name list'!$Y:$Y,Abstract!E$3,'Name list'!$E:$E,Abstract!$C13)</f>
        <v/>
      </c>
      <c r="F13" s="7">
        <f>COUNTIFS('Name list'!$Y:$Y,Abstract!F$3,'Name list'!$E:$E,Abstract!$C13)</f>
        <v/>
      </c>
      <c r="G13" s="7">
        <f>COUNTIFS('Name list'!$Y:$Y,Abstract!G$3,'Name list'!$E:$E,Abstract!$C13)</f>
        <v/>
      </c>
      <c r="H13" s="7">
        <f>COUNTIFS('Name list'!$Y:$Y,Abstract!H$3,'Name list'!$E:$E,Abstract!$C13)</f>
        <v/>
      </c>
      <c r="I13" s="17" t="n"/>
      <c r="J13" s="38">
        <f>COUNTIFS('Name list'!$E$3:$E$1048576,Abstract!$C13,'Name list'!$O$3:$O$1048576,"&gt;1")</f>
        <v/>
      </c>
      <c r="K13" s="58">
        <f>J13/D13</f>
        <v/>
      </c>
      <c r="L13" s="38">
        <f>COUNTIFS('Name list'!$E$3:$E$1048576,Abstract!$C13,'Name list'!$U$3:$U$1048576,"&gt;1")</f>
        <v/>
      </c>
      <c r="M13" s="58">
        <f>L13/D13</f>
        <v/>
      </c>
      <c r="N13" s="59">
        <f>AVERAGE(K13,M13)</f>
        <v/>
      </c>
      <c r="O13" s="17" t="n"/>
      <c r="P13" s="60">
        <f>D13-J13</f>
        <v/>
      </c>
      <c r="Q13" s="60">
        <f>D13-L13</f>
        <v/>
      </c>
      <c r="R13" s="53" t="n"/>
    </row>
    <row r="14" ht="21" customHeight="1" s="118">
      <c r="B14" s="149" t="inlineStr">
        <is>
          <t>SWAMINATHAN</t>
        </is>
      </c>
      <c r="C14" s="57" t="inlineStr">
        <is>
          <t>BAND BUILDING-P1</t>
        </is>
      </c>
      <c r="D14" s="7">
        <f>COUNTIFS('Name list'!$E:$E,Abstract!$C14)</f>
        <v/>
      </c>
      <c r="E14" s="7">
        <f>COUNTIFS('Name list'!$Y:$Y,Abstract!E$3,'Name list'!$E:$E,Abstract!$C14)</f>
        <v/>
      </c>
      <c r="F14" s="7">
        <f>COUNTIFS('Name list'!$Y:$Y,Abstract!F$3,'Name list'!$E:$E,Abstract!$C14)</f>
        <v/>
      </c>
      <c r="G14" s="7">
        <f>COUNTIFS('Name list'!$Y:$Y,Abstract!G$3,'Name list'!$E:$E,Abstract!$C14)</f>
        <v/>
      </c>
      <c r="H14" s="7">
        <f>COUNTIFS('Name list'!$Y:$Y,Abstract!H$3,'Name list'!$E:$E,Abstract!$C14)</f>
        <v/>
      </c>
      <c r="I14" s="17" t="n"/>
      <c r="J14" s="38">
        <f>COUNTIFS('Name list'!$E$3:$E$1048576,Abstract!$C14,'Name list'!$O$3:$O$1048576,"&gt;1")</f>
        <v/>
      </c>
      <c r="K14" s="58">
        <f>J14/D14</f>
        <v/>
      </c>
      <c r="L14" s="38">
        <f>COUNTIFS('Name list'!$E$3:$E$1048576,Abstract!$C14,'Name list'!$U$3:$U$1048576,"&gt;1")</f>
        <v/>
      </c>
      <c r="M14" s="58">
        <f>L14/D14</f>
        <v/>
      </c>
      <c r="N14" s="59">
        <f>AVERAGE(K14,M14)</f>
        <v/>
      </c>
      <c r="O14" s="17" t="n"/>
      <c r="P14" s="60">
        <f>D14-J14</f>
        <v/>
      </c>
      <c r="Q14" s="60">
        <f>D14-L14</f>
        <v/>
      </c>
      <c r="R14" s="53" t="n"/>
    </row>
    <row r="15" ht="21" customHeight="1" s="118">
      <c r="B15" s="149" t="inlineStr">
        <is>
          <t>SWAMINATHAN</t>
        </is>
      </c>
      <c r="C15" s="57" t="inlineStr">
        <is>
          <t>BIAS CUTTING-2</t>
        </is>
      </c>
      <c r="D15" s="7">
        <f>COUNTIFS('Name list'!$E:$E,Abstract!$C15)</f>
        <v/>
      </c>
      <c r="E15" s="7">
        <f>COUNTIFS('Name list'!$Y:$Y,Abstract!E$3,'Name list'!$E:$E,Abstract!$C15)</f>
        <v/>
      </c>
      <c r="F15" s="7">
        <f>COUNTIFS('Name list'!$Y:$Y,Abstract!F$3,'Name list'!$E:$E,Abstract!$C15)</f>
        <v/>
      </c>
      <c r="G15" s="7">
        <f>COUNTIFS('Name list'!$Y:$Y,Abstract!G$3,'Name list'!$E:$E,Abstract!$C15)</f>
        <v/>
      </c>
      <c r="H15" s="7">
        <f>COUNTIFS('Name list'!$Y:$Y,Abstract!H$3,'Name list'!$E:$E,Abstract!$C15)</f>
        <v/>
      </c>
      <c r="I15" s="17" t="n"/>
      <c r="J15" s="38">
        <f>COUNTIFS('Name list'!$E$3:$E$1048576,Abstract!$C15,'Name list'!$O$3:$O$1048576,"&gt;1")</f>
        <v/>
      </c>
      <c r="K15" s="105">
        <f>J15/D15</f>
        <v/>
      </c>
      <c r="L15" s="38">
        <f>COUNTIFS('Name list'!$E$3:$E$1048576,Abstract!$C15,'Name list'!$U$3:$U$1048576,"&gt;1")</f>
        <v/>
      </c>
      <c r="M15" s="58">
        <f>L15/D15</f>
        <v/>
      </c>
      <c r="N15" s="59">
        <f>AVERAGE(K15,M15)</f>
        <v/>
      </c>
      <c r="O15" s="17" t="n"/>
      <c r="P15" s="60">
        <f>D15-J15</f>
        <v/>
      </c>
      <c r="Q15" s="60">
        <f>D15-L15</f>
        <v/>
      </c>
      <c r="R15" s="53" t="n"/>
    </row>
    <row r="16" ht="21" customHeight="1" s="118">
      <c r="B16" s="149" t="inlineStr">
        <is>
          <t>SWAMINATHAN</t>
        </is>
      </c>
      <c r="C16" s="57" t="inlineStr">
        <is>
          <t>RADIAL MARANGONI</t>
        </is>
      </c>
      <c r="D16" s="7">
        <f>COUNTIFS('Name list'!$E:$E,Abstract!$C16)</f>
        <v/>
      </c>
      <c r="E16" s="7">
        <f>COUNTIFS('Name list'!$Y:$Y,Abstract!E$3,'Name list'!$E:$E,Abstract!$C16)</f>
        <v/>
      </c>
      <c r="F16" s="7">
        <f>COUNTIFS('Name list'!$Y:$Y,Abstract!F$3,'Name list'!$E:$E,Abstract!$C16)</f>
        <v/>
      </c>
      <c r="G16" s="7">
        <f>COUNTIFS('Name list'!$Y:$Y,Abstract!G$3,'Name list'!$E:$E,Abstract!$C16)</f>
        <v/>
      </c>
      <c r="H16" s="7">
        <f>COUNTIFS('Name list'!$Y:$Y,Abstract!H$3,'Name list'!$E:$E,Abstract!$C16)</f>
        <v/>
      </c>
      <c r="I16" s="17" t="n"/>
      <c r="J16" s="38">
        <f>COUNTIFS('Name list'!$E$3:$E$1048576,Abstract!$C16,'Name list'!$O$3:$O$1048576,"&gt;1")</f>
        <v/>
      </c>
      <c r="K16" s="105">
        <f>J16/D16</f>
        <v/>
      </c>
      <c r="L16" s="38">
        <f>COUNTIFS('Name list'!$E$3:$E$1048576,Abstract!$C16,'Name list'!$U$3:$U$1048576,"&gt;1")</f>
        <v/>
      </c>
      <c r="M16" s="105">
        <f>L16/D16</f>
        <v/>
      </c>
      <c r="N16" s="106">
        <f>AVERAGE(K16,M16)</f>
        <v/>
      </c>
      <c r="O16" s="17" t="n"/>
      <c r="P16" s="60">
        <f>D16-J16</f>
        <v/>
      </c>
      <c r="Q16" s="60">
        <f>D16-L16</f>
        <v/>
      </c>
      <c r="R16" s="53" t="n"/>
    </row>
    <row r="17" ht="21" customHeight="1" s="118">
      <c r="B17" s="149" t="inlineStr">
        <is>
          <t>SWAMINATHAN</t>
        </is>
      </c>
      <c r="C17" s="57" t="inlineStr">
        <is>
          <t>SLITTING</t>
        </is>
      </c>
      <c r="D17" s="7">
        <f>COUNTIFS('Name list'!$E:$E,Abstract!$C17)</f>
        <v/>
      </c>
      <c r="E17" s="7">
        <f>COUNTIFS('Name list'!$Y:$Y,Abstract!E$3,'Name list'!$E:$E,Abstract!$C17)</f>
        <v/>
      </c>
      <c r="F17" s="7">
        <f>COUNTIFS('Name list'!$Y:$Y,Abstract!F$3,'Name list'!$E:$E,Abstract!$C17)</f>
        <v/>
      </c>
      <c r="G17" s="7">
        <f>COUNTIFS('Name list'!$Y:$Y,Abstract!G$3,'Name list'!$E:$E,Abstract!$C17)</f>
        <v/>
      </c>
      <c r="H17" s="7">
        <f>COUNTIFS('Name list'!$Y:$Y,Abstract!H$3,'Name list'!$E:$E,Abstract!$C17)</f>
        <v/>
      </c>
      <c r="I17" s="17" t="n"/>
      <c r="J17" s="38">
        <f>COUNTIFS('Name list'!$E$3:$E$1048576,Abstract!$C17,'Name list'!$O$3:$O$1048576,"&gt;1")</f>
        <v/>
      </c>
      <c r="K17" s="105">
        <f>J17/D17</f>
        <v/>
      </c>
      <c r="L17" s="38">
        <f>COUNTIFS('Name list'!$E$3:$E$1048576,Abstract!$C17,'Name list'!$U$3:$U$1048576,"&gt;1")</f>
        <v/>
      </c>
      <c r="M17" s="105">
        <f>L17/D17</f>
        <v/>
      </c>
      <c r="N17" s="106">
        <f>AVERAGE(K17,M17)</f>
        <v/>
      </c>
      <c r="O17" s="17" t="n"/>
      <c r="P17" s="60">
        <f>D17-J17</f>
        <v/>
      </c>
      <c r="Q17" s="60">
        <f>D17-L17</f>
        <v/>
      </c>
      <c r="R17" s="53" t="n"/>
    </row>
    <row r="18" ht="21" customHeight="1" s="118">
      <c r="B18" s="149" t="inlineStr">
        <is>
          <t>TARUN KUMAR</t>
        </is>
      </c>
      <c r="C18" s="57" t="inlineStr">
        <is>
          <t>TYRE BUILDING-P2</t>
        </is>
      </c>
      <c r="D18" s="7">
        <f>COUNTIFS('Name list'!$E:$E,Abstract!$C18)</f>
        <v/>
      </c>
      <c r="E18" s="7">
        <f>COUNTIFS('Name list'!$Y:$Y,Abstract!E$3,'Name list'!$E:$E,Abstract!$C18)</f>
        <v/>
      </c>
      <c r="F18" s="7">
        <f>COUNTIFS('Name list'!$Y:$Y,Abstract!F$3,'Name list'!$E:$E,Abstract!$C18)</f>
        <v/>
      </c>
      <c r="G18" s="7">
        <f>COUNTIFS('Name list'!$Y:$Y,Abstract!G$3,'Name list'!$E:$E,Abstract!$C18)</f>
        <v/>
      </c>
      <c r="H18" s="7">
        <f>COUNTIFS('Name list'!$Y:$Y,Abstract!H$3,'Name list'!$E:$E,Abstract!$C18)</f>
        <v/>
      </c>
      <c r="I18" s="17" t="n"/>
      <c r="J18" s="38">
        <f>COUNTIFS('Name list'!$E$3:$E$1048576,Abstract!$C18,'Name list'!$O$3:$O$1048576,"&gt;1")</f>
        <v/>
      </c>
      <c r="K18" s="105">
        <f>J18/D18</f>
        <v/>
      </c>
      <c r="L18" s="38">
        <f>COUNTIFS('Name list'!$E$3:$E$1048576,Abstract!$C18,'Name list'!$U$3:$U$1048576,"&gt;1")</f>
        <v/>
      </c>
      <c r="M18" s="58">
        <f>L18/D18</f>
        <v/>
      </c>
      <c r="N18" s="59">
        <f>AVERAGE(K18,M18)</f>
        <v/>
      </c>
      <c r="O18" s="17" t="n"/>
      <c r="P18" s="60">
        <f>D18-J18</f>
        <v/>
      </c>
      <c r="Q18" s="60">
        <f>D18-L18</f>
        <v/>
      </c>
      <c r="R18" s="53" t="n"/>
    </row>
    <row r="19" ht="21" customHeight="1" s="118">
      <c r="B19" s="149" t="inlineStr">
        <is>
          <t>TARUN KUMAR</t>
        </is>
      </c>
      <c r="C19" s="57" t="inlineStr">
        <is>
          <t>BAND BUILDING-P2</t>
        </is>
      </c>
      <c r="D19" s="7">
        <f>COUNTIFS('Name list'!$E:$E,Abstract!$C19)</f>
        <v/>
      </c>
      <c r="E19" s="7">
        <f>COUNTIFS('Name list'!$Y:$Y,Abstract!E$3,'Name list'!$E:$E,Abstract!$C19)</f>
        <v/>
      </c>
      <c r="F19" s="7">
        <f>COUNTIFS('Name list'!$Y:$Y,Abstract!F$3,'Name list'!$E:$E,Abstract!$C19)</f>
        <v/>
      </c>
      <c r="G19" s="7">
        <f>COUNTIFS('Name list'!$Y:$Y,Abstract!G$3,'Name list'!$E:$E,Abstract!$C19)</f>
        <v/>
      </c>
      <c r="H19" s="7">
        <f>COUNTIFS('Name list'!$Y:$Y,Abstract!H$3,'Name list'!$E:$E,Abstract!$C19)</f>
        <v/>
      </c>
      <c r="I19" s="17" t="n"/>
      <c r="J19" s="38">
        <f>COUNTIFS('Name list'!$E$3:$E$1048576,Abstract!$C19,'Name list'!$O$3:$O$1048576,"&gt;1")</f>
        <v/>
      </c>
      <c r="K19" s="105">
        <f>J19/D19</f>
        <v/>
      </c>
      <c r="L19" s="103">
        <f>COUNTIFS('Name list'!$E$3:$E$1048576,Abstract!$C19,'Name list'!$U$3:$U$1048576,"&gt;1")</f>
        <v/>
      </c>
      <c r="M19" s="105">
        <f>L19/D19</f>
        <v/>
      </c>
      <c r="N19" s="106">
        <f>AVERAGE(K19,M19)</f>
        <v/>
      </c>
      <c r="O19" s="17" t="n"/>
      <c r="P19" s="60">
        <f>D19-J19</f>
        <v/>
      </c>
      <c r="Q19" s="60">
        <f>D19-L19</f>
        <v/>
      </c>
      <c r="R19" s="53" t="n"/>
    </row>
    <row r="20" ht="21" customHeight="1" s="118">
      <c r="B20" s="149" t="inlineStr">
        <is>
          <t>TARUN KUMAR</t>
        </is>
      </c>
      <c r="C20" s="57" t="inlineStr">
        <is>
          <t>BIAS CUTTING-1</t>
        </is>
      </c>
      <c r="D20" s="7">
        <f>COUNTIFS('Name list'!$E:$E,Abstract!$C20)</f>
        <v/>
      </c>
      <c r="E20" s="7">
        <f>COUNTIFS('Name list'!$Y:$Y,Abstract!E$3,'Name list'!$E:$E,Abstract!$C20)</f>
        <v/>
      </c>
      <c r="F20" s="7">
        <f>COUNTIFS('Name list'!$Y:$Y,Abstract!F$3,'Name list'!$E:$E,Abstract!$C20)</f>
        <v/>
      </c>
      <c r="G20" s="7">
        <f>COUNTIFS('Name list'!$Y:$Y,Abstract!G$3,'Name list'!$E:$E,Abstract!$C20)</f>
        <v/>
      </c>
      <c r="H20" s="7">
        <f>COUNTIFS('Name list'!$Y:$Y,Abstract!H$3,'Name list'!$E:$E,Abstract!$C20)</f>
        <v/>
      </c>
      <c r="I20" s="17" t="n"/>
      <c r="J20" s="38">
        <f>COUNTIFS('Name list'!$E$3:$E$1048576,Abstract!$C20,'Name list'!$O$3:$O$1048576,"&gt;1")</f>
        <v/>
      </c>
      <c r="K20" s="105">
        <f>J20/D20</f>
        <v/>
      </c>
      <c r="L20" s="103">
        <f>COUNTIFS('Name list'!$E$3:$E$1048576,Abstract!$C20,'Name list'!$U$3:$U$1048576,"&gt;1")</f>
        <v/>
      </c>
      <c r="M20" s="58">
        <f>L20/D20</f>
        <v/>
      </c>
      <c r="N20" s="59">
        <f>AVERAGE(K20,M20)</f>
        <v/>
      </c>
      <c r="O20" s="17" t="n"/>
      <c r="P20" s="60">
        <f>D20-J20</f>
        <v/>
      </c>
      <c r="Q20" s="60">
        <f>D20-L20</f>
        <v/>
      </c>
      <c r="R20" s="53" t="n"/>
    </row>
    <row r="21" ht="21" customHeight="1" s="118">
      <c r="B21" s="149" t="inlineStr">
        <is>
          <t>TARUN KUMAR</t>
        </is>
      </c>
      <c r="C21" s="57" t="inlineStr">
        <is>
          <t>BIAS CUTTING-4</t>
        </is>
      </c>
      <c r="D21" s="7">
        <f>COUNTIFS('Name list'!$E:$E,Abstract!$C21)</f>
        <v/>
      </c>
      <c r="E21" s="7">
        <f>COUNTIFS('Name list'!$Y:$Y,Abstract!E$3,'Name list'!$E:$E,Abstract!$C21)</f>
        <v/>
      </c>
      <c r="F21" s="7">
        <f>COUNTIFS('Name list'!$Y:$Y,Abstract!F$3,'Name list'!$E:$E,Abstract!$C21)</f>
        <v/>
      </c>
      <c r="G21" s="7">
        <f>COUNTIFS('Name list'!$Y:$Y,Abstract!G$3,'Name list'!$E:$E,Abstract!$C21)</f>
        <v/>
      </c>
      <c r="H21" s="7">
        <f>COUNTIFS('Name list'!$Y:$Y,Abstract!H$3,'Name list'!$E:$E,Abstract!$C21)</f>
        <v/>
      </c>
      <c r="I21" s="17" t="n"/>
      <c r="J21" s="38">
        <f>COUNTIFS('Name list'!$E$3:$E$1048576,Abstract!$C21,'Name list'!$O$3:$O$1048576,"&gt;1")</f>
        <v/>
      </c>
      <c r="K21" s="105">
        <f>J21/D21</f>
        <v/>
      </c>
      <c r="L21" s="103">
        <f>COUNTIFS('Name list'!$E$3:$E$1048576,Abstract!$C21,'Name list'!$U$3:$U$1048576,"&gt;1")</f>
        <v/>
      </c>
      <c r="M21" s="105">
        <f>L21/D21</f>
        <v/>
      </c>
      <c r="N21" s="106">
        <f>AVERAGE(K21,M21)</f>
        <v/>
      </c>
      <c r="O21" s="17" t="n"/>
      <c r="P21" s="60">
        <f>D21-J21</f>
        <v/>
      </c>
      <c r="Q21" s="60">
        <f>D21-L21</f>
        <v/>
      </c>
      <c r="R21" s="53" t="n"/>
    </row>
    <row r="22" ht="24.95" customHeight="1" s="118">
      <c r="B22" s="149" t="inlineStr">
        <is>
          <t>TARUN KUMAR</t>
        </is>
      </c>
      <c r="C22" s="57" t="inlineStr">
        <is>
          <t>BIAS MARANGONI&amp;BESTRY</t>
        </is>
      </c>
      <c r="D22" s="7">
        <f>COUNTIFS('Name list'!$E:$E,Abstract!$C22)</f>
        <v/>
      </c>
      <c r="E22" s="7">
        <f>COUNTIFS('Name list'!$Y:$Y,Abstract!E$3,'Name list'!$E:$E,Abstract!$C22)</f>
        <v/>
      </c>
      <c r="F22" s="7">
        <f>COUNTIFS('Name list'!$Y:$Y,Abstract!F$3,'Name list'!$E:$E,Abstract!$C22)</f>
        <v/>
      </c>
      <c r="G22" s="7">
        <f>COUNTIFS('Name list'!$Y:$Y,Abstract!G$3,'Name list'!$E:$E,Abstract!$C22)</f>
        <v/>
      </c>
      <c r="H22" s="7">
        <f>COUNTIFS('Name list'!$Y:$Y,Abstract!H$3,'Name list'!$E:$E,Abstract!$C22)</f>
        <v/>
      </c>
      <c r="I22" s="17" t="n"/>
      <c r="J22" s="38">
        <f>COUNTIFS('Name list'!$E$3:$E$1048576,Abstract!$C22,'Name list'!$O$3:$O$1048576,"&gt;1")</f>
        <v/>
      </c>
      <c r="K22" s="105">
        <f>J22/D22</f>
        <v/>
      </c>
      <c r="L22" s="103">
        <f>COUNTIFS('Name list'!$E$3:$E$1048576,Abstract!$C22,'Name list'!$U$3:$U$1048576,"&gt;1")</f>
        <v/>
      </c>
      <c r="M22" s="105">
        <f>L22/D22</f>
        <v/>
      </c>
      <c r="N22" s="106">
        <f>AVERAGE(K22,M22)</f>
        <v/>
      </c>
      <c r="O22" s="17" t="n"/>
      <c r="P22" s="100">
        <f>D22-J22</f>
        <v/>
      </c>
      <c r="Q22" s="100">
        <f>D22-L22</f>
        <v/>
      </c>
      <c r="R22" s="53" t="n"/>
    </row>
    <row r="23" ht="21" customHeight="1" s="118">
      <c r="B23" s="149" t="inlineStr">
        <is>
          <t>VEL MURUGAN</t>
        </is>
      </c>
      <c r="C23" s="57" t="inlineStr">
        <is>
          <t>TYRE BUILDING-P3</t>
        </is>
      </c>
      <c r="D23" s="7">
        <f>COUNTIFS('Name list'!$E:$E,Abstract!$C23)</f>
        <v/>
      </c>
      <c r="E23" s="7">
        <f>COUNTIFS('Name list'!$Y:$Y,Abstract!E$3,'Name list'!$E:$E,Abstract!$C23)</f>
        <v/>
      </c>
      <c r="F23" s="7">
        <f>COUNTIFS('Name list'!$Y:$Y,Abstract!F$3,'Name list'!$E:$E,Abstract!$C23)</f>
        <v/>
      </c>
      <c r="G23" s="7">
        <f>COUNTIFS('Name list'!$Y:$Y,Abstract!G$3,'Name list'!$E:$E,Abstract!$C23)</f>
        <v/>
      </c>
      <c r="H23" s="7">
        <f>COUNTIFS('Name list'!$Y:$Y,Abstract!H$3,'Name list'!$E:$E,Abstract!$C23)</f>
        <v/>
      </c>
      <c r="I23" s="17" t="n"/>
      <c r="J23" s="38">
        <f>COUNTIFS('Name list'!$E$3:$E$1048576,Abstract!$C23,'Name list'!$O$3:$O$1048576,"&gt;1")</f>
        <v/>
      </c>
      <c r="K23" s="58">
        <f>J23/D23</f>
        <v/>
      </c>
      <c r="L23" s="103">
        <f>COUNTIFS('Name list'!$E$3:$E$1048576,Abstract!$C23,'Name list'!$U$3:$U$1048576,"&gt;1")</f>
        <v/>
      </c>
      <c r="M23" s="58">
        <f>L23/D23</f>
        <v/>
      </c>
      <c r="N23" s="59">
        <f>AVERAGE(K23,M23)</f>
        <v/>
      </c>
      <c r="O23" s="17" t="n"/>
      <c r="P23" s="60">
        <f>D23-J23</f>
        <v/>
      </c>
      <c r="Q23" s="60">
        <f>D23-L23</f>
        <v/>
      </c>
      <c r="R23" s="53" t="n"/>
    </row>
    <row r="24" ht="24.95" customHeight="1" s="118">
      <c r="B24" s="149" t="inlineStr">
        <is>
          <t>VEL MURUGAN</t>
        </is>
      </c>
      <c r="C24" s="57" t="inlineStr">
        <is>
          <t>BAND BUILDING-P3</t>
        </is>
      </c>
      <c r="D24" s="7">
        <f>COUNTIFS('Name list'!$E:$E,Abstract!$C24)</f>
        <v/>
      </c>
      <c r="E24" s="7">
        <f>COUNTIFS('Name list'!$Y:$Y,Abstract!E$3,'Name list'!$E:$E,Abstract!$C24)</f>
        <v/>
      </c>
      <c r="F24" s="7">
        <f>COUNTIFS('Name list'!$Y:$Y,Abstract!F$3,'Name list'!$E:$E,Abstract!$C24)</f>
        <v/>
      </c>
      <c r="G24" s="7">
        <f>COUNTIFS('Name list'!$Y:$Y,Abstract!G$3,'Name list'!$E:$E,Abstract!$C24)</f>
        <v/>
      </c>
      <c r="H24" s="7">
        <f>COUNTIFS('Name list'!$Y:$Y,Abstract!H$3,'Name list'!$E:$E,Abstract!$C24)</f>
        <v/>
      </c>
      <c r="I24" s="17" t="n"/>
      <c r="J24" s="38">
        <f>COUNTIFS('Name list'!$E$3:$E$1048576,Abstract!$C24,'Name list'!$O$3:$O$1048576,"&gt;1")</f>
        <v/>
      </c>
      <c r="K24" s="105">
        <f>J24/D24</f>
        <v/>
      </c>
      <c r="L24" s="38">
        <f>COUNTIFS('Name list'!$E$3:$E$1048576,Abstract!$C24,'Name list'!$U$3:$U$1048576,"&gt;1")</f>
        <v/>
      </c>
      <c r="M24" s="105">
        <f>L24/D24</f>
        <v/>
      </c>
      <c r="N24" s="106">
        <f>AVERAGE(K24,M24)</f>
        <v/>
      </c>
      <c r="O24" s="17" t="n"/>
      <c r="P24" s="60">
        <f>D24-J24</f>
        <v/>
      </c>
      <c r="Q24" s="60">
        <f>D24-L24</f>
        <v/>
      </c>
      <c r="R24" s="53" t="n"/>
    </row>
    <row r="25" ht="21" customHeight="1" s="118">
      <c r="B25" s="149" t="inlineStr">
        <is>
          <t>VEL MURUGAN</t>
        </is>
      </c>
      <c r="C25" s="57" t="inlineStr">
        <is>
          <t>BIAS CUTTING-5</t>
        </is>
      </c>
      <c r="D25" s="7">
        <f>COUNTIFS('Name list'!$E:$E,Abstract!$C25)</f>
        <v/>
      </c>
      <c r="E25" s="7">
        <f>COUNTIFS('Name list'!$Y:$Y,Abstract!E$3,'Name list'!$E:$E,Abstract!$C25)</f>
        <v/>
      </c>
      <c r="F25" s="7">
        <f>COUNTIFS('Name list'!$Y:$Y,Abstract!F$3,'Name list'!$E:$E,Abstract!$C25)</f>
        <v/>
      </c>
      <c r="G25" s="7">
        <f>COUNTIFS('Name list'!$Y:$Y,Abstract!G$3,'Name list'!$E:$E,Abstract!$C25)</f>
        <v/>
      </c>
      <c r="H25" s="7">
        <f>COUNTIFS('Name list'!$Y:$Y,Abstract!H$3,'Name list'!$E:$E,Abstract!$C25)</f>
        <v/>
      </c>
      <c r="I25" s="17" t="n"/>
      <c r="J25" s="38">
        <f>COUNTIFS('Name list'!$E$3:$E$1048576,Abstract!$C25,'Name list'!$O$3:$O$1048576,"&gt;1")</f>
        <v/>
      </c>
      <c r="K25" s="105">
        <f>J25/D25</f>
        <v/>
      </c>
      <c r="L25" s="38">
        <f>COUNTIFS('Name list'!$E$3:$E$1048576,Abstract!$C25,'Name list'!$U$3:$U$1048576,"&gt;1")</f>
        <v/>
      </c>
      <c r="M25" s="58">
        <f>L25/D25</f>
        <v/>
      </c>
      <c r="N25" s="59">
        <f>AVERAGE(K25,M25)</f>
        <v/>
      </c>
      <c r="O25" s="17" t="n"/>
      <c r="P25" s="60">
        <f>D25-J25</f>
        <v/>
      </c>
      <c r="Q25" s="60">
        <f>D25-L25</f>
        <v/>
      </c>
      <c r="R25" s="53" t="n"/>
    </row>
    <row r="26" ht="21" customHeight="1" s="118">
      <c r="B26" s="149" t="inlineStr">
        <is>
          <t>VEL MURUGAN</t>
        </is>
      </c>
      <c r="C26" s="57" t="inlineStr">
        <is>
          <t>YANTHAI</t>
        </is>
      </c>
      <c r="D26" s="7">
        <f>COUNTIFS('Name list'!$E:$E,Abstract!$C26)</f>
        <v/>
      </c>
      <c r="E26" s="7">
        <f>COUNTIFS('Name list'!$Y:$Y,Abstract!E$3,'Name list'!$E:$E,Abstract!$C26)</f>
        <v/>
      </c>
      <c r="F26" s="7">
        <f>COUNTIFS('Name list'!$Y:$Y,Abstract!F$3,'Name list'!$E:$E,Abstract!$C26)</f>
        <v/>
      </c>
      <c r="G26" s="7">
        <f>COUNTIFS('Name list'!$Y:$Y,Abstract!G$3,'Name list'!$E:$E,Abstract!$C26)</f>
        <v/>
      </c>
      <c r="H26" s="7">
        <f>COUNTIFS('Name list'!$Y:$Y,Abstract!H$3,'Name list'!$E:$E,Abstract!$C26)</f>
        <v/>
      </c>
      <c r="I26" s="17" t="n"/>
      <c r="J26" s="38">
        <f>COUNTIFS('Name list'!$E$3:$E$1048576,Abstract!$C26,'Name list'!$O$3:$O$1048576,"&gt;1")</f>
        <v/>
      </c>
      <c r="K26" s="105">
        <f>J26/D26</f>
        <v/>
      </c>
      <c r="L26" s="103">
        <f>COUNTIFS('Name list'!$E$3:$E$1048576,Abstract!$C26,'Name list'!$U$3:$U$1048576,"&gt;1")</f>
        <v/>
      </c>
      <c r="M26" s="58">
        <f>L26/D26</f>
        <v/>
      </c>
      <c r="N26" s="59">
        <f>AVERAGE(K26,M26)</f>
        <v/>
      </c>
      <c r="O26" s="17" t="n"/>
      <c r="P26" s="60">
        <f>D26-J26</f>
        <v/>
      </c>
      <c r="Q26" s="60">
        <f>D26-L26</f>
        <v/>
      </c>
      <c r="R26" s="53" t="n"/>
    </row>
    <row r="27" ht="24.95" customHeight="1" s="118">
      <c r="B27" s="149" t="inlineStr">
        <is>
          <t>VEL MURUGAN</t>
        </is>
      </c>
      <c r="C27" s="57" t="inlineStr">
        <is>
          <t>AUTO BIASCUTTER</t>
        </is>
      </c>
      <c r="D27" s="7">
        <f>COUNTIFS('Name list'!$E:$E,Abstract!$C27)</f>
        <v/>
      </c>
      <c r="E27" s="7">
        <f>COUNTIFS('Name list'!$Y:$Y,Abstract!E$3,'Name list'!$E:$E,Abstract!$C27)</f>
        <v/>
      </c>
      <c r="F27" s="7">
        <f>COUNTIFS('Name list'!$Y:$Y,Abstract!F$3,'Name list'!$E:$E,Abstract!$C27)</f>
        <v/>
      </c>
      <c r="G27" s="7">
        <f>COUNTIFS('Name list'!$Y:$Y,Abstract!G$3,'Name list'!$E:$E,Abstract!$C27)</f>
        <v/>
      </c>
      <c r="H27" s="7">
        <f>COUNTIFS('Name list'!$Y:$Y,Abstract!H$3,'Name list'!$E:$E,Abstract!$C27)</f>
        <v/>
      </c>
      <c r="I27" s="17" t="n"/>
      <c r="J27" s="38">
        <f>COUNTIFS('Name list'!$E$3:$E$1048576,Abstract!$C27,'Name list'!$O$3:$O$1048576,"&gt;1")</f>
        <v/>
      </c>
      <c r="K27" s="105">
        <f>J27/D27</f>
        <v/>
      </c>
      <c r="L27" s="38">
        <f>COUNTIFS('Name list'!$E$3:$E$1048576,Abstract!$C27,'Name list'!$U$3:$U$1048576,"&gt;1")</f>
        <v/>
      </c>
      <c r="M27" s="105">
        <f>L27/D27</f>
        <v/>
      </c>
      <c r="N27" s="106">
        <f>AVERAGE(K27,M27)</f>
        <v/>
      </c>
      <c r="O27" s="17" t="n"/>
      <c r="P27" s="60">
        <f>D27-J27</f>
        <v/>
      </c>
      <c r="Q27" s="60">
        <f>D27-L27</f>
        <v/>
      </c>
      <c r="R27" s="53" t="n"/>
    </row>
    <row r="28" ht="24.95" customHeight="1" s="118">
      <c r="B28" s="149" t="inlineStr">
        <is>
          <t>VEL MURUGAN</t>
        </is>
      </c>
      <c r="C28" s="57" t="inlineStr">
        <is>
          <t>SALVAGE</t>
        </is>
      </c>
      <c r="D28" s="7">
        <f>COUNTIFS('Name list'!$E:$E,Abstract!$C28)</f>
        <v/>
      </c>
      <c r="E28" s="7">
        <f>COUNTIFS('Name list'!$Y:$Y,Abstract!E$3,'Name list'!$E:$E,Abstract!$C28)</f>
        <v/>
      </c>
      <c r="F28" s="7">
        <f>COUNTIFS('Name list'!$Y:$Y,Abstract!F$3,'Name list'!$E:$E,Abstract!$C28)</f>
        <v/>
      </c>
      <c r="G28" s="7">
        <f>COUNTIFS('Name list'!$Y:$Y,Abstract!G$3,'Name list'!$E:$E,Abstract!$C28)</f>
        <v/>
      </c>
      <c r="H28" s="7">
        <f>COUNTIFS('Name list'!$Y:$Y,Abstract!H$3,'Name list'!$E:$E,Abstract!$C28)</f>
        <v/>
      </c>
      <c r="I28" s="17" t="n"/>
      <c r="J28" s="38">
        <f>COUNTIFS('Name list'!$E$3:$E$1048576,Abstract!$C28,'Name list'!$O$3:$O$1048576,"&gt;1")</f>
        <v/>
      </c>
      <c r="K28" s="105">
        <f>J28/D28</f>
        <v/>
      </c>
      <c r="L28" s="38">
        <f>COUNTIFS('Name list'!$E$3:$E$1048576,Abstract!$C28,'Name list'!$U$3:$U$1048576,"&gt;1")</f>
        <v/>
      </c>
      <c r="M28" s="105">
        <f>L28/D28</f>
        <v/>
      </c>
      <c r="N28" s="106">
        <f>AVERAGE(K28,M28)</f>
        <v/>
      </c>
      <c r="O28" s="17" t="n"/>
      <c r="P28" s="60">
        <f>D28-J28</f>
        <v/>
      </c>
      <c r="Q28" s="60">
        <f>D28-L28</f>
        <v/>
      </c>
      <c r="R28" s="53" t="n"/>
    </row>
    <row r="29" ht="21" customHeight="1" s="118">
      <c r="B29" s="181" t="inlineStr">
        <is>
          <t>TB QA Lead</t>
        </is>
      </c>
      <c r="C29" s="57" t="inlineStr">
        <is>
          <t>Tire building QA</t>
        </is>
      </c>
      <c r="D29" s="7">
        <f>COUNTIFS('Name list'!$E:$E,Abstract!$C29)</f>
        <v/>
      </c>
      <c r="E29" s="7">
        <f>COUNTIFS('Name list'!$Y:$Y,Abstract!E$3,'Name list'!$E:$E,Abstract!$C29)</f>
        <v/>
      </c>
      <c r="F29" s="7">
        <f>COUNTIFS('Name list'!$Y:$Y,Abstract!F$3,'Name list'!$E:$E,Abstract!$C29)</f>
        <v/>
      </c>
      <c r="G29" s="7">
        <f>COUNTIFS('Name list'!$Y:$Y,Abstract!G$3,'Name list'!$E:$E,Abstract!$C29)</f>
        <v/>
      </c>
      <c r="H29" s="7">
        <f>COUNTIFS('Name list'!$Y:$Y,Abstract!H$3,'Name list'!$E:$E,Abstract!$C29)</f>
        <v/>
      </c>
      <c r="I29" s="17" t="n"/>
      <c r="J29" s="38">
        <f>COUNTIFS('Name list'!$E$3:$E$1048576,Abstract!$C29,'Name list'!$O$3:$O$1048576,"&gt;1")</f>
        <v/>
      </c>
      <c r="K29" s="106">
        <f>J29/D29</f>
        <v/>
      </c>
      <c r="L29" s="38">
        <f>COUNTIFS('Name list'!$E$3:$E$1048576,Abstract!$C29,'Name list'!$U$3:$U$1048576,"&gt;1")</f>
        <v/>
      </c>
      <c r="M29" s="106">
        <f>L29/D29</f>
        <v/>
      </c>
      <c r="N29" s="106">
        <f>AVERAGE(K29,M29)</f>
        <v/>
      </c>
      <c r="O29" s="17" t="n"/>
      <c r="P29" s="60">
        <f>D29-J29</f>
        <v/>
      </c>
      <c r="Q29" s="60">
        <f>D29-L29</f>
        <v/>
      </c>
      <c r="R29" s="53" t="n"/>
    </row>
    <row r="30" ht="21" customHeight="1" s="118">
      <c r="B30" s="181" t="inlineStr">
        <is>
          <t>FF QA Lead</t>
        </is>
      </c>
      <c r="C30" s="57" t="inlineStr">
        <is>
          <t>Final Finish QA</t>
        </is>
      </c>
      <c r="D30" s="7">
        <f>COUNTIFS('Name list'!$E:$E,Abstract!$C30)</f>
        <v/>
      </c>
      <c r="E30" s="179">
        <f>COUNTIFS('Name list'!$Y:$Y,Abstract!E$3,'Name list'!$E:$E,Abstract!$C30)</f>
        <v/>
      </c>
      <c r="F30" s="179">
        <f>COUNTIFS('Name list'!$Y:$Y,Abstract!F$3,'Name list'!$E:$E,Abstract!$C30)</f>
        <v/>
      </c>
      <c r="G30" s="179">
        <f>COUNTIFS('Name list'!$Y:$Y,Abstract!G$3,'Name list'!$E:$E,Abstract!$C30)</f>
        <v/>
      </c>
      <c r="H30" s="179">
        <f>COUNTIFS('Name list'!$Y:$Y,Abstract!H$3,'Name list'!$E:$E,Abstract!$C30)</f>
        <v/>
      </c>
      <c r="I30" s="17" t="n"/>
      <c r="J30" s="38">
        <f>COUNTIFS('Name list'!$E$3:$E$1048576,Abstract!$C30,'Name list'!$O$3:$O$1048576,"&gt;1")</f>
        <v/>
      </c>
      <c r="K30" s="106">
        <f>J30/D30</f>
        <v/>
      </c>
      <c r="L30" s="38">
        <f>COUNTIFS('Name list'!$E$3:$E$1048576,Abstract!$C30,'Name list'!$U$3:$U$1048576,"&gt;1")</f>
        <v/>
      </c>
      <c r="M30" s="106">
        <f>L30/D30</f>
        <v/>
      </c>
      <c r="N30" s="106">
        <f>AVERAGE(K30,M30)</f>
        <v/>
      </c>
      <c r="O30" s="17" t="n"/>
      <c r="P30" s="60">
        <f>D30-J30</f>
        <v/>
      </c>
      <c r="Q30" s="60">
        <f>D30-L30</f>
        <v/>
      </c>
    </row>
    <row r="31" ht="21" customHeight="1" s="118">
      <c r="B31" s="181" t="inlineStr">
        <is>
          <t>PR QA Lead</t>
        </is>
      </c>
      <c r="C31" s="57" t="inlineStr">
        <is>
          <t>Preparatory QA</t>
        </is>
      </c>
      <c r="D31" s="7">
        <f>COUNTIFS('Name list'!$E:$E,Abstract!$C31)</f>
        <v/>
      </c>
      <c r="E31" s="7">
        <f>COUNTIFS('Name list'!$Y:$Y,Abstract!E$3,'Name list'!$E:$E,Abstract!$C31)</f>
        <v/>
      </c>
      <c r="F31" s="7">
        <f>COUNTIFS('Name list'!$Y:$Y,Abstract!F$3,'Name list'!$E:$E,Abstract!$C31)</f>
        <v/>
      </c>
      <c r="G31" s="7">
        <f>COUNTIFS('Name list'!$Y:$Y,Abstract!G$3,'Name list'!$E:$E,Abstract!$C31)</f>
        <v/>
      </c>
      <c r="H31" s="7">
        <f>COUNTIFS('Name list'!$Y:$Y,Abstract!H$3,'Name list'!$E:$E,Abstract!$C31)</f>
        <v/>
      </c>
      <c r="I31" s="17" t="n"/>
      <c r="J31" s="38">
        <f>COUNTIFS('Name list'!$E$3:$E$1048576,Abstract!$C31,'Name list'!$O$3:$O$1048576,"&gt;1")</f>
        <v/>
      </c>
      <c r="K31" s="106">
        <f>J31/D31</f>
        <v/>
      </c>
      <c r="L31" s="38">
        <f>COUNTIFS('Name list'!$E$3:$E$1048576,Abstract!$C31,'Name list'!$U$3:$U$1048576,"&gt;1")</f>
        <v/>
      </c>
      <c r="M31" s="106">
        <f>L31/D31</f>
        <v/>
      </c>
      <c r="N31" s="106">
        <f>AVERAGE(K31,M31)</f>
        <v/>
      </c>
      <c r="O31" s="17" t="n"/>
      <c r="P31" s="60">
        <f>D31-J31</f>
        <v/>
      </c>
      <c r="Q31" s="60">
        <f>D31-L31</f>
        <v/>
      </c>
    </row>
    <row r="32">
      <c r="B32" s="181" t="inlineStr">
        <is>
          <t>ST QA Lead</t>
        </is>
      </c>
      <c r="C32" s="57" t="inlineStr">
        <is>
          <t>Solid tire QA</t>
        </is>
      </c>
      <c r="D32" s="7">
        <f>COUNTIFS('Name list'!$E:$E,Abstract!$C32)</f>
        <v/>
      </c>
      <c r="E32" s="7">
        <f>COUNTIFS('Name list'!$Y:$Y,Abstract!E$3,'Name list'!$E:$E,Abstract!$C32)</f>
        <v/>
      </c>
      <c r="F32" s="7">
        <f>COUNTIFS('Name list'!$Y:$Y,Abstract!F$3,'Name list'!$E:$E,Abstract!$C32)</f>
        <v/>
      </c>
      <c r="G32" s="7">
        <f>COUNTIFS('Name list'!$Y:$Y,Abstract!G$3,'Name list'!$E:$E,Abstract!$C32)</f>
        <v/>
      </c>
      <c r="H32" s="7">
        <f>COUNTIFS('Name list'!$Y:$Y,Abstract!H$3,'Name list'!$E:$E,Abstract!$C32)</f>
        <v/>
      </c>
      <c r="I32" s="17" t="n"/>
      <c r="J32" s="38">
        <f>COUNTIFS('Name list'!$E$3:$E$1048576,Abstract!$C32,'Name list'!$O$3:$O$1048576,"&gt;1")</f>
        <v/>
      </c>
      <c r="K32" s="106">
        <f>J32/D32</f>
        <v/>
      </c>
      <c r="L32" s="38">
        <f>COUNTIFS('Name list'!$E$3:$E$1048576,Abstract!$C32,'Name list'!$U$3:$U$1048576,"&gt;1")</f>
        <v/>
      </c>
      <c r="M32" s="106">
        <f>L32/D32</f>
        <v/>
      </c>
      <c r="N32" s="106">
        <f>AVERAGE(K32,M32)</f>
        <v/>
      </c>
      <c r="O32" s="17" t="n"/>
      <c r="P32" s="60">
        <f>D32-J32</f>
        <v/>
      </c>
      <c r="Q32" s="60">
        <f>D32-L32</f>
        <v/>
      </c>
    </row>
    <row r="33">
      <c r="B33" s="181" t="inlineStr">
        <is>
          <t>WH QA Lead</t>
        </is>
      </c>
      <c r="C33" s="57" t="inlineStr">
        <is>
          <t>Warehouse QA</t>
        </is>
      </c>
      <c r="D33" s="7">
        <f>COUNTIFS('Name list'!$E:$E,Abstract!$C33)</f>
        <v/>
      </c>
      <c r="E33" s="7">
        <f>COUNTIFS('Name list'!$Y:$Y,Abstract!E$3,'Name list'!$E:$E,Abstract!$C33)</f>
        <v/>
      </c>
      <c r="F33" s="7">
        <f>COUNTIFS('Name list'!$Y:$Y,Abstract!F$3,'Name list'!$E:$E,Abstract!$C33)</f>
        <v/>
      </c>
      <c r="G33" s="7">
        <f>COUNTIFS('Name list'!$Y:$Y,Abstract!G$3,'Name list'!$E:$E,Abstract!$C33)</f>
        <v/>
      </c>
      <c r="H33" s="7">
        <f>COUNTIFS('Name list'!$Y:$Y,Abstract!H$3,'Name list'!$E:$E,Abstract!$C33)</f>
        <v/>
      </c>
      <c r="I33" s="17" t="n"/>
      <c r="J33" s="38">
        <f>COUNTIFS('Name list'!$E$3:$E$1048576,Abstract!$C33,'Name list'!$O$3:$O$1048576,"&gt;1")</f>
        <v/>
      </c>
      <c r="K33" s="106">
        <f>J33/D33</f>
        <v/>
      </c>
      <c r="L33" s="38">
        <f>COUNTIFS('Name list'!$E$3:$E$1048576,Abstract!$C33,'Name list'!$U$3:$U$1048576,"&gt;1")</f>
        <v/>
      </c>
      <c r="M33" s="106">
        <f>L33/D33</f>
        <v/>
      </c>
      <c r="N33" s="106">
        <f>AVERAGE(K33,M33)</f>
        <v/>
      </c>
      <c r="O33" s="17" t="n"/>
      <c r="P33" s="60">
        <f>D33-J33</f>
        <v/>
      </c>
      <c r="Q33" s="60">
        <f>D33-L33</f>
        <v/>
      </c>
    </row>
    <row r="34">
      <c r="B34" s="181" t="inlineStr">
        <is>
          <t>TC QA Lead</t>
        </is>
      </c>
      <c r="C34" s="57" t="inlineStr">
        <is>
          <t>Tire curing QA</t>
        </is>
      </c>
      <c r="D34" s="7">
        <f>COUNTIFS('Name list'!$E:$E,Abstract!$C34)</f>
        <v/>
      </c>
      <c r="E34" s="7">
        <f>COUNTIFS('Name list'!$Y:$Y,Abstract!E$3,'Name list'!$E:$E,Abstract!$C34)</f>
        <v/>
      </c>
      <c r="F34" s="7">
        <f>COUNTIFS('Name list'!$Y:$Y,Abstract!F$3,'Name list'!$E:$E,Abstract!$C34)</f>
        <v/>
      </c>
      <c r="G34" s="7">
        <f>COUNTIFS('Name list'!$Y:$Y,Abstract!G$3,'Name list'!$E:$E,Abstract!$C34)</f>
        <v/>
      </c>
      <c r="H34" s="7">
        <f>COUNTIFS('Name list'!$Y:$Y,Abstract!H$3,'Name list'!$E:$E,Abstract!$C34)</f>
        <v/>
      </c>
      <c r="I34" s="17" t="n"/>
      <c r="J34" s="38">
        <f>COUNTIFS('Name list'!$E$3:$E$1048576,Abstract!$C34,'Name list'!$O$3:$O$1048576,"&gt;1")</f>
        <v/>
      </c>
      <c r="K34" s="106">
        <f>J34/D34</f>
        <v/>
      </c>
      <c r="L34" s="38">
        <f>COUNTIFS('Name list'!$E$3:$E$1048576,Abstract!$C34,'Name list'!$U$3:$U$1048576,"&gt;1")</f>
        <v/>
      </c>
      <c r="M34" s="106">
        <f>L34/D34</f>
        <v/>
      </c>
      <c r="N34" s="106">
        <f>AVERAGE(K34,M34)</f>
        <v/>
      </c>
      <c r="O34" s="17" t="n"/>
      <c r="P34" s="60">
        <f>D34-J34</f>
        <v/>
      </c>
      <c r="Q34" s="60">
        <f>D34-L34</f>
        <v/>
      </c>
    </row>
    <row r="35">
      <c r="B35" s="181" t="inlineStr">
        <is>
          <t>RRO &amp; ALT Lead</t>
        </is>
      </c>
      <c r="C35" s="57" t="inlineStr">
        <is>
          <t>Final Finish RRO &amp; ALT QA</t>
        </is>
      </c>
      <c r="D35" s="7">
        <f>COUNTIFS('Name list'!$E:$E,Abstract!$C35)</f>
        <v/>
      </c>
      <c r="E35" s="7">
        <f>COUNTIFS('Name list'!$Y:$Y,Abstract!E$3,'Name list'!$E:$E,Abstract!$C35)</f>
        <v/>
      </c>
      <c r="F35" s="7">
        <f>COUNTIFS('Name list'!$Y:$Y,Abstract!F$3,'Name list'!$E:$E,Abstract!$C35)</f>
        <v/>
      </c>
      <c r="G35" s="7">
        <f>COUNTIFS('Name list'!$Y:$Y,Abstract!G$3,'Name list'!$E:$E,Abstract!$C35)</f>
        <v/>
      </c>
      <c r="H35" s="7">
        <f>COUNTIFS('Name list'!$Y:$Y,Abstract!H$3,'Name list'!$E:$E,Abstract!$C35)</f>
        <v/>
      </c>
      <c r="I35" s="17" t="n"/>
      <c r="J35" s="38">
        <f>COUNTIFS('Name list'!$E$3:$E$1048576,Abstract!$C35,'Name list'!$O$3:$O$1048576,"&gt;1")</f>
        <v/>
      </c>
      <c r="K35" s="106">
        <f>J35/D35</f>
        <v/>
      </c>
      <c r="L35" s="38">
        <f>COUNTIFS('Name list'!$E$3:$E$1048576,Abstract!$C35,'Name list'!$U$3:$U$1048576,"&gt;1")</f>
        <v/>
      </c>
      <c r="M35" s="106">
        <f>L35/D35</f>
        <v/>
      </c>
      <c r="N35" s="106">
        <f>AVERAGE(K35,M35)</f>
        <v/>
      </c>
      <c r="O35" s="17" t="n"/>
      <c r="P35" s="60">
        <f>D35-J35</f>
        <v/>
      </c>
      <c r="Q35" s="60">
        <f>D35-L35</f>
        <v/>
      </c>
    </row>
    <row r="36">
      <c r="B36" s="181" t="inlineStr">
        <is>
          <t>FID QA Lead</t>
        </is>
      </c>
      <c r="C36" s="57" t="inlineStr">
        <is>
          <t>FID inspector QA</t>
        </is>
      </c>
      <c r="D36" s="7">
        <f>COUNTIFS('Name list'!$E:$E,Abstract!$C36)</f>
        <v/>
      </c>
      <c r="E36" s="7">
        <f>COUNTIFS('Name list'!$Y:$Y,Abstract!E$3,'Name list'!$E:$E,Abstract!$C36)</f>
        <v/>
      </c>
      <c r="F36" s="7">
        <f>COUNTIFS('Name list'!$Y:$Y,Abstract!F$3,'Name list'!$E:$E,Abstract!$C36)</f>
        <v/>
      </c>
      <c r="G36" s="7">
        <f>COUNTIFS('Name list'!$Y:$Y,Abstract!G$3,'Name list'!$E:$E,Abstract!$C36)</f>
        <v/>
      </c>
      <c r="H36" s="7">
        <f>COUNTIFS('Name list'!$Y:$Y,Abstract!H$3,'Name list'!$E:$E,Abstract!$C36)</f>
        <v/>
      </c>
      <c r="I36" s="17" t="n"/>
      <c r="J36" s="38">
        <f>COUNTIFS('Name list'!$E$3:$E$1048576,Abstract!$C36,'Name list'!$O$3:$O$1048576,"&gt;1")</f>
        <v/>
      </c>
      <c r="K36" s="106">
        <f>J36/D36</f>
        <v/>
      </c>
      <c r="L36" s="38">
        <f>COUNTIFS('Name list'!$E$3:$E$1048576,Abstract!$C36,'Name list'!$U$3:$U$1048576,"&gt;1")</f>
        <v/>
      </c>
      <c r="M36" s="106">
        <f>L36/D36</f>
        <v/>
      </c>
      <c r="N36" s="106">
        <f>AVERAGE(K36,M36)</f>
        <v/>
      </c>
      <c r="O36" s="17" t="n"/>
      <c r="P36" s="60">
        <f>D36-J36</f>
        <v/>
      </c>
      <c r="Q36" s="60">
        <f>D36-L36</f>
        <v/>
      </c>
    </row>
    <row r="37">
      <c r="B37" s="182" t="n"/>
      <c r="C37" s="64" t="inlineStr">
        <is>
          <t>Grand Total</t>
        </is>
      </c>
      <c r="D37" s="162">
        <f>SUM(D4:D36)</f>
        <v/>
      </c>
      <c r="E37" s="162">
        <f>SUM(E4:E36)</f>
        <v/>
      </c>
      <c r="F37" s="162">
        <f>SUM(F4:F36)</f>
        <v/>
      </c>
      <c r="G37" s="162">
        <f>SUM(G4:G36)</f>
        <v/>
      </c>
      <c r="H37" s="162">
        <f>SUM(H4:H36)</f>
        <v/>
      </c>
      <c r="I37" s="17" t="n"/>
      <c r="J37" s="65">
        <f>SUM(J4:J36)</f>
        <v/>
      </c>
      <c r="K37" s="66">
        <f>AVERAGE(K4:K36)</f>
        <v/>
      </c>
      <c r="L37" s="65">
        <f>SUM(L4:L36)</f>
        <v/>
      </c>
      <c r="M37" s="66">
        <f>AVERAGE(M4:M36)</f>
        <v/>
      </c>
      <c r="N37" s="66">
        <f>AVERAGE(N4:N36)</f>
        <v/>
      </c>
      <c r="O37" s="67" t="n"/>
      <c r="P37" s="68">
        <f>SUM(P4:P36)</f>
        <v/>
      </c>
      <c r="Q37" s="68">
        <f>SUM(Q4:Q36)</f>
        <v/>
      </c>
    </row>
    <row r="38">
      <c r="E38" s="163">
        <f>E37/$D$37</f>
        <v/>
      </c>
      <c r="F38" s="163">
        <f>F37/$D$37</f>
        <v/>
      </c>
      <c r="G38" s="163">
        <f>G37/$D$37</f>
        <v/>
      </c>
      <c r="H38" s="163">
        <f>H37/$D$37</f>
        <v/>
      </c>
    </row>
    <row r="39">
      <c r="G39" s="163">
        <f>H38+G38</f>
        <v/>
      </c>
      <c r="H39" s="180" t="n"/>
    </row>
  </sheetData>
  <mergeCells count="9">
    <mergeCell ref="L2:M2"/>
    <mergeCell ref="J2:K2"/>
    <mergeCell ref="P2:Q2"/>
    <mergeCell ref="D2:D3"/>
    <mergeCell ref="B2:B3"/>
    <mergeCell ref="E1:H1"/>
    <mergeCell ref="N2:N3"/>
    <mergeCell ref="C2:C3"/>
    <mergeCell ref="G39:H39"/>
  </mergeCells>
  <pageMargins left="0.43" right="0.7" top="0.75" bottom="0.75" header="0.32" footer="0.3"/>
  <pageSetup orientation="portrait" fitToWidth="0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Z1464"/>
  <sheetViews>
    <sheetView zoomScaleNormal="100" workbookViewId="0">
      <pane xSplit="3" ySplit="2" topLeftCell="K1149" activePane="bottomRight" state="frozen"/>
      <selection activeCell="N4" sqref="N4"/>
      <selection pane="topRight" activeCell="N4" sqref="N4"/>
      <selection pane="bottomLeft" activeCell="N4" sqref="N4"/>
      <selection pane="bottomRight" activeCell="C1122" sqref="C1122"/>
    </sheetView>
  </sheetViews>
  <sheetFormatPr baseColWidth="8" defaultRowHeight="15"/>
  <cols>
    <col width="5.28515625" customWidth="1" style="114" min="1" max="1"/>
    <col width="9.7109375" customWidth="1" style="114" min="2" max="2"/>
    <col width="27.140625" customWidth="1" style="110" min="3" max="3"/>
    <col hidden="1" width="16.42578125" customWidth="1" style="114" min="4" max="4"/>
    <col width="24" bestFit="1" customWidth="1" style="110" min="5" max="5"/>
    <col width="13.5703125" customWidth="1" style="115" min="6" max="6"/>
    <col width="7.140625" customWidth="1" style="114" min="7" max="7"/>
    <col width="9.28515625" customWidth="1" style="116" min="8" max="8"/>
    <col width="7.85546875" customWidth="1" style="116" min="9" max="9"/>
    <col width="8.42578125" customWidth="1" style="116" min="10" max="10"/>
    <col width="7.85546875" customWidth="1" style="116" min="11" max="16"/>
    <col width="8.5703125" customWidth="1" style="116" min="17" max="17"/>
    <col width="3.7109375" customWidth="1" style="116" min="18" max="18"/>
    <col width="7.85546875" customWidth="1" style="109" min="19" max="20"/>
    <col width="7.85546875" customWidth="1" style="116" min="21" max="24"/>
    <col width="9.140625" customWidth="1" style="114" min="25" max="25"/>
    <col width="21.140625" bestFit="1" customWidth="1" style="118" min="26" max="26"/>
    <col width="9.140625" customWidth="1" style="118" min="27" max="16384"/>
  </cols>
  <sheetData>
    <row r="1">
      <c r="J1" s="170" t="inlineStr">
        <is>
          <t>Quest</t>
        </is>
      </c>
      <c r="K1" s="183" t="n"/>
      <c r="L1" s="183" t="n"/>
      <c r="M1" s="183" t="n"/>
      <c r="N1" s="183" t="n"/>
      <c r="O1" s="183" t="n"/>
      <c r="P1" s="183" t="n"/>
      <c r="Q1" s="184" t="n"/>
      <c r="R1" s="169" t="n"/>
      <c r="S1" s="168" t="inlineStr">
        <is>
          <t>Gemba</t>
        </is>
      </c>
      <c r="T1" s="183" t="n"/>
      <c r="U1" s="183" t="n"/>
      <c r="V1" s="183" t="n"/>
      <c r="W1" s="184" t="n"/>
    </row>
    <row r="2" ht="60" customFormat="1" customHeight="1" s="125">
      <c r="A2" s="123" t="inlineStr">
        <is>
          <t xml:space="preserve"> </t>
        </is>
      </c>
      <c r="B2" s="123" t="inlineStr">
        <is>
          <t>EMP NO</t>
        </is>
      </c>
      <c r="C2" s="123" t="inlineStr">
        <is>
          <t>NAME</t>
        </is>
      </c>
      <c r="D2" s="123" t="inlineStr">
        <is>
          <t>DEPT</t>
        </is>
      </c>
      <c r="E2" s="120" t="inlineStr">
        <is>
          <t>SECTION</t>
        </is>
      </c>
      <c r="F2" s="124" t="inlineStr">
        <is>
          <t>DOJ</t>
        </is>
      </c>
      <c r="G2" s="123" t="inlineStr">
        <is>
          <t>Exp</t>
        </is>
      </c>
      <c r="H2" s="122" t="inlineStr">
        <is>
          <t>Eligible skill level</t>
        </is>
      </c>
      <c r="I2" s="122" t="inlineStr">
        <is>
          <t>Current skill level 2025</t>
        </is>
      </c>
      <c r="J2" s="122" t="inlineStr">
        <is>
          <t>Safety</t>
        </is>
      </c>
      <c r="K2" s="122" t="inlineStr">
        <is>
          <t xml:space="preserve">Process </t>
        </is>
      </c>
      <c r="L2" s="122" t="inlineStr">
        <is>
          <t>Quality</t>
        </is>
      </c>
      <c r="M2" s="122" t="inlineStr">
        <is>
          <t>CI &amp; TPM</t>
        </is>
      </c>
      <c r="N2" s="122" t="inlineStr">
        <is>
          <t>System</t>
        </is>
      </c>
      <c r="O2" s="122" t="inlineStr">
        <is>
          <t>Knowledge Mark</t>
        </is>
      </c>
      <c r="P2" s="122" t="inlineStr">
        <is>
          <t>Knowledge %</t>
        </is>
      </c>
      <c r="Q2" s="122" t="inlineStr">
        <is>
          <t>Result</t>
        </is>
      </c>
      <c r="R2" s="122" t="n"/>
      <c r="S2" s="123" t="inlineStr">
        <is>
          <t>Safety/ 5S</t>
        </is>
      </c>
      <c r="T2" s="123" t="inlineStr">
        <is>
          <t>SOP's/ WI CHECK</t>
        </is>
      </c>
      <c r="U2" s="122" t="inlineStr">
        <is>
          <t>Skill Assessment Mark</t>
        </is>
      </c>
      <c r="V2" s="122" t="inlineStr">
        <is>
          <t>Skill Assessment %</t>
        </is>
      </c>
      <c r="W2" s="122" t="inlineStr">
        <is>
          <t>Result</t>
        </is>
      </c>
      <c r="X2" s="124" t="inlineStr">
        <is>
          <t>Overall Result</t>
        </is>
      </c>
      <c r="Y2" s="124" t="inlineStr">
        <is>
          <t>After evaluation Skill level</t>
        </is>
      </c>
      <c r="Z2" s="125" t="inlineStr">
        <is>
          <t>recheck</t>
        </is>
      </c>
    </row>
    <row r="3">
      <c r="A3" s="147">
        <f>ROW()-2</f>
        <v/>
      </c>
      <c r="B3" s="127" t="n">
        <v>900118</v>
      </c>
      <c r="C3" s="128" t="inlineStr">
        <is>
          <t>AROCKIA SAMY A</t>
        </is>
      </c>
      <c r="D3" s="127" t="inlineStr">
        <is>
          <t>PRODUCTION</t>
        </is>
      </c>
      <c r="E3" s="129" t="inlineStr">
        <is>
          <t>4 ROLL</t>
        </is>
      </c>
      <c r="F3" s="130" t="n">
        <v>40634</v>
      </c>
      <c r="G3" s="131">
        <f>NOW()-F3</f>
        <v/>
      </c>
      <c r="H3" s="104" t="inlineStr">
        <is>
          <t>O</t>
        </is>
      </c>
      <c r="I3" s="104" t="inlineStr">
        <is>
          <t>O</t>
        </is>
      </c>
      <c r="J3" s="104" t="n">
        <v>9</v>
      </c>
      <c r="K3" s="104" t="n">
        <v>7</v>
      </c>
      <c r="L3" s="104" t="n">
        <v>4</v>
      </c>
      <c r="M3" s="104" t="n">
        <v>8</v>
      </c>
      <c r="N3" s="104" t="n"/>
      <c r="O3" s="104">
        <f>SUM(J3:N3)</f>
        <v/>
      </c>
      <c r="P3" s="12">
        <f>O3/IF(H3="L",20,IF(H3="U",30,IF(H3="O",40,IF(H3="I",20,""))))</f>
        <v/>
      </c>
      <c r="Q3" s="132">
        <f>IF(AND(H3="L", P3&gt;=50%), "Pass",
 IF(AND(H3="U", P3&gt;=60%), "Pass",
 IF(AND(H3="O", P3&gt;=75%), "Pass", "Fail")))</f>
        <v/>
      </c>
      <c r="R3" s="104" t="n"/>
      <c r="S3" s="104" t="n">
        <v>16</v>
      </c>
      <c r="T3" s="104" t="n">
        <v>12</v>
      </c>
      <c r="U3" s="104">
        <f>SUM(S3:T3)</f>
        <v/>
      </c>
      <c r="V3" s="12">
        <f>U3/IF(H3="L",35,IF(H3="U",35,IF(H3="O",35,IF(H3="I",35,""))))</f>
        <v/>
      </c>
      <c r="W3" s="132">
        <f>IF(AND(H3="L", V3&gt;=50%), "Pass",
 IF(AND(H3="U", V3&gt;=60%), "Pass",
 IF(AND(H3="O", V3&gt;=75%), "Pass", "Fail")))</f>
        <v/>
      </c>
      <c r="X3" s="132">
        <f>IF(AND(Q3="Pass", W3="Pass"), "Pass", "Fail")</f>
        <v/>
      </c>
      <c r="Y3" s="15">
        <f>IF($X3="Pass",$H3,
IF(H3="L","I",
IF(H3="U","L",
IF(H3="O","U",
"I"))))</f>
        <v/>
      </c>
    </row>
    <row r="4">
      <c r="A4" s="147">
        <f>ROW()-2</f>
        <v/>
      </c>
      <c r="B4" s="133" t="n">
        <v>901128</v>
      </c>
      <c r="C4" s="148" t="inlineStr">
        <is>
          <t>MURUGAN M</t>
        </is>
      </c>
      <c r="D4" s="127" t="inlineStr">
        <is>
          <t>PRODUCTION</t>
        </is>
      </c>
      <c r="E4" s="135" t="inlineStr">
        <is>
          <t>MIXING</t>
        </is>
      </c>
      <c r="F4" s="136" t="n">
        <v>40260</v>
      </c>
      <c r="G4" s="131">
        <f>NOW()-F4</f>
        <v/>
      </c>
      <c r="H4" s="104" t="inlineStr">
        <is>
          <t>O</t>
        </is>
      </c>
      <c r="I4" s="104" t="inlineStr">
        <is>
          <t>U</t>
        </is>
      </c>
      <c r="J4" s="104" t="inlineStr">
        <is>
          <t>NIL</t>
        </is>
      </c>
      <c r="K4" s="104" t="n"/>
      <c r="L4" s="104" t="n"/>
      <c r="M4" s="104" t="n"/>
      <c r="N4" s="104" t="n"/>
      <c r="O4" s="104" t="n"/>
      <c r="P4" s="12">
        <f>O4/IF(H4="L",20,IF(H4="U",30,IF(H4="O",40,IF(H4="I",20,""))))</f>
        <v/>
      </c>
      <c r="Q4" s="132">
        <f>IF(AND(H4="L", P4&gt;=50%), "Pass",
IF(AND(H4="U", P4&gt;=60%), "Pass",
IF(AND(H4="O", P4&gt;=75%), "Pass", "Fail")))</f>
        <v/>
      </c>
      <c r="R4" s="104" t="n"/>
      <c r="S4" s="104" t="n">
        <v>12</v>
      </c>
      <c r="T4" s="104" t="n">
        <v>10</v>
      </c>
      <c r="U4" s="104">
        <f>SUM(S4:T4)</f>
        <v/>
      </c>
      <c r="V4" s="12">
        <f>U4/IF(H4="L",35,IF(H4="U",35,IF(H4="O",35,IF(H4="I",35,""))))</f>
        <v/>
      </c>
      <c r="W4" s="132">
        <f>IF(AND(H4="L", V4&gt;=50%), "Pass",
IF(AND(H4="U", V4&gt;=60%), "Pass",
IF(AND(H4="O", V4&gt;=75%), "Pass", "Fail")))</f>
        <v/>
      </c>
      <c r="X4" s="132">
        <f>IF(AND(Q4="Pass", W4="Pass"), "Pass", "Fail")</f>
        <v/>
      </c>
      <c r="Y4" s="15">
        <f>IF($X4="Pass",$H4,
IF(H4="L","I",
IF(H4="U","L",
IF(H4="O","U",
"I"))))</f>
        <v/>
      </c>
    </row>
    <row r="5">
      <c r="A5" s="147">
        <f>ROW()-2</f>
        <v/>
      </c>
      <c r="B5" s="127" t="inlineStr">
        <is>
          <t>SK1673</t>
        </is>
      </c>
      <c r="C5" s="128" t="inlineStr">
        <is>
          <t>PANDARAM S</t>
        </is>
      </c>
      <c r="D5" s="127" t="inlineStr">
        <is>
          <t>PRODUCTION</t>
        </is>
      </c>
      <c r="E5" s="129" t="inlineStr">
        <is>
          <t>TYRE BUILDING-P1</t>
        </is>
      </c>
      <c r="F5" s="130" t="n">
        <v>40496</v>
      </c>
      <c r="G5" s="131">
        <f>NOW()-F5</f>
        <v/>
      </c>
      <c r="H5" s="104" t="inlineStr">
        <is>
          <t>O</t>
        </is>
      </c>
      <c r="I5" s="104" t="inlineStr">
        <is>
          <t>U</t>
        </is>
      </c>
      <c r="J5" s="104" t="n">
        <v>10</v>
      </c>
      <c r="K5" s="104" t="n">
        <v>9</v>
      </c>
      <c r="L5" s="104" t="n">
        <v>9</v>
      </c>
      <c r="M5" s="104" t="n">
        <v>6</v>
      </c>
      <c r="N5" s="104" t="n"/>
      <c r="O5" s="104">
        <f>SUM(J5:N5)</f>
        <v/>
      </c>
      <c r="P5" s="12">
        <f>O5/IF(H5="L",20,IF(H5="U",30,IF(H5="O",40,IF(H5="I",20,""))))</f>
        <v/>
      </c>
      <c r="Q5" s="132">
        <f>IF(AND(H5="L", P5&gt;=50%), "Pass",
IF(AND(H5="U", P5&gt;=60%), "Pass",
IF(AND(H5="O", P5&gt;=75%), "Pass", "Fail")))</f>
        <v/>
      </c>
      <c r="R5" s="104" t="n"/>
      <c r="S5" s="104" t="n">
        <v>14</v>
      </c>
      <c r="T5" s="104" t="n">
        <v>15</v>
      </c>
      <c r="U5" s="104">
        <f>SUM(S5:T5)</f>
        <v/>
      </c>
      <c r="V5" s="12">
        <f>U5/IF(H5="L",35,IF(H5="U",35,IF(H5="O",35,IF(H5="I",35,""))))</f>
        <v/>
      </c>
      <c r="W5" s="132">
        <f>IF(AND(H5="L", V5&gt;=50%), "Pass",
IF(AND(H5="U", V5&gt;=60%), "Pass",
IF(AND(H5="O", V5&gt;=75%), "Pass", "Fail")))</f>
        <v/>
      </c>
      <c r="X5" s="132">
        <f>IF(AND(Q5="Pass", W5="Pass"), "Pass", "Fail")</f>
        <v/>
      </c>
      <c r="Y5" s="15">
        <f>IF($X5="Pass",$H5,
IF(H5="L","I",
IF(H5="U","L",
IF(H5="O","U",
"I"))))</f>
        <v/>
      </c>
    </row>
    <row r="6">
      <c r="A6" s="147">
        <f>ROW()-2</f>
        <v/>
      </c>
      <c r="B6" s="133" t="n">
        <v>900742</v>
      </c>
      <c r="C6" s="148" t="inlineStr">
        <is>
          <t>SELVARAJ S</t>
        </is>
      </c>
      <c r="D6" s="127" t="inlineStr">
        <is>
          <t>PRODUCTION</t>
        </is>
      </c>
      <c r="E6" s="135" t="inlineStr">
        <is>
          <t>MIXING</t>
        </is>
      </c>
      <c r="F6" s="136" t="n">
        <v>40610</v>
      </c>
      <c r="G6" s="131">
        <f>NOW()-F6</f>
        <v/>
      </c>
      <c r="H6" s="104" t="inlineStr">
        <is>
          <t>O</t>
        </is>
      </c>
      <c r="I6" s="104" t="inlineStr">
        <is>
          <t>U</t>
        </is>
      </c>
      <c r="J6" s="104" t="inlineStr">
        <is>
          <t>NIL</t>
        </is>
      </c>
      <c r="K6" s="104" t="n"/>
      <c r="L6" s="104" t="n"/>
      <c r="M6" s="104" t="n"/>
      <c r="N6" s="104" t="n"/>
      <c r="O6" s="104" t="n"/>
      <c r="P6" s="12">
        <f>O6/IF(H6="L",20,IF(H6="U",30,IF(H6="O",40,IF(H6="I",20,""))))</f>
        <v/>
      </c>
      <c r="Q6" s="132">
        <f>IF(AND(H6="L", P6&gt;=50%), "Pass",
IF(AND(H6="U", P6&gt;=60%), "Pass",
IF(AND(H6="O", P6&gt;=75%), "Pass", "Fail")))</f>
        <v/>
      </c>
      <c r="R6" s="104" t="n"/>
      <c r="S6" s="104" t="n">
        <v>13</v>
      </c>
      <c r="T6" s="104" t="n">
        <v>12</v>
      </c>
      <c r="U6" s="104">
        <f>SUM(S6:T6)</f>
        <v/>
      </c>
      <c r="V6" s="12">
        <f>U6/IF(H6="L",35,IF(H6="U",35,IF(H6="O",35,IF(H6="I",35,""))))</f>
        <v/>
      </c>
      <c r="W6" s="132">
        <f>IF(AND(H6="L", V6&gt;=50%), "Pass",
IF(AND(H6="U", V6&gt;=60%), "Pass",
IF(AND(H6="O", V6&gt;=75%), "Pass", "Fail")))</f>
        <v/>
      </c>
      <c r="X6" s="132">
        <f>IF(AND(Q6="Pass", W6="Pass"), "Pass", "Fail")</f>
        <v/>
      </c>
      <c r="Y6" s="15">
        <f>IF($X6="Pass",$H6,
IF(H6="L","I",
IF(H6="U","L",
IF(H6="O","U",
"I"))))</f>
        <v/>
      </c>
    </row>
    <row r="7">
      <c r="A7" s="147">
        <f>ROW()-2</f>
        <v/>
      </c>
      <c r="B7" s="127" t="n">
        <v>900119</v>
      </c>
      <c r="C7" s="128" t="inlineStr">
        <is>
          <t>CHINNA DURAI S</t>
        </is>
      </c>
      <c r="D7" s="127" t="inlineStr">
        <is>
          <t>PRODUCTION</t>
        </is>
      </c>
      <c r="E7" s="129" t="inlineStr">
        <is>
          <t>4 ROLL</t>
        </is>
      </c>
      <c r="F7" s="130" t="n">
        <v>40634</v>
      </c>
      <c r="G7" s="131">
        <f>NOW()-F7</f>
        <v/>
      </c>
      <c r="H7" s="104" t="inlineStr">
        <is>
          <t>O</t>
        </is>
      </c>
      <c r="I7" s="104" t="inlineStr">
        <is>
          <t>O</t>
        </is>
      </c>
      <c r="J7" s="104" t="n">
        <v>9</v>
      </c>
      <c r="K7" s="104" t="n">
        <v>8</v>
      </c>
      <c r="L7" s="104" t="n">
        <v>7</v>
      </c>
      <c r="M7" s="104" t="n">
        <v>7</v>
      </c>
      <c r="N7" s="104" t="n"/>
      <c r="O7" s="104">
        <f>SUM(J7:N7)</f>
        <v/>
      </c>
      <c r="P7" s="12">
        <f>O7/IF(H7="L",20,IF(H7="U",30,IF(H7="O",40,IF(H7="I",20,""))))</f>
        <v/>
      </c>
      <c r="Q7" s="132">
        <f>IF(AND(H7="L", P7&gt;=50%), "Pass",
IF(AND(H7="U", P7&gt;=60%), "Pass",
IF(AND(H7="O", P7&gt;=75%), "Pass", "Fail")))</f>
        <v/>
      </c>
      <c r="R7" s="104" t="n"/>
      <c r="S7" s="104" t="n">
        <v>16</v>
      </c>
      <c r="T7" s="104" t="n">
        <v>12</v>
      </c>
      <c r="U7" s="104">
        <f>SUM(S7:T7)</f>
        <v/>
      </c>
      <c r="V7" s="12">
        <f>U7/IF(H7="L",35,IF(H7="U",35,IF(H7="O",35,IF(H7="I",35,""))))</f>
        <v/>
      </c>
      <c r="W7" s="132">
        <f>IF(AND(H7="L", V7&gt;=50%), "Pass",
IF(AND(H7="U", V7&gt;=60%), "Pass",
IF(AND(H7="O", V7&gt;=75%), "Pass", "Fail")))</f>
        <v/>
      </c>
      <c r="X7" s="132">
        <f>IF(AND(Q7="Pass", W7="Pass"), "Pass", "Fail")</f>
        <v/>
      </c>
      <c r="Y7" s="15">
        <f>IF($X7="Pass",$H7,
IF(H7="L","I",
IF(H7="U","L",
IF(H7="O","U",
"I"))))</f>
        <v/>
      </c>
    </row>
    <row r="8">
      <c r="A8" s="147">
        <f>ROW()-2</f>
        <v/>
      </c>
      <c r="B8" s="127" t="n">
        <v>900120</v>
      </c>
      <c r="C8" s="128" t="inlineStr">
        <is>
          <t>SANKARA PANDIAN S</t>
        </is>
      </c>
      <c r="D8" s="127" t="inlineStr">
        <is>
          <t>PRODUCTION</t>
        </is>
      </c>
      <c r="E8" s="129" t="inlineStr">
        <is>
          <t>4 ROLL</t>
        </is>
      </c>
      <c r="F8" s="130" t="n">
        <v>40634</v>
      </c>
      <c r="G8" s="131">
        <f>NOW()-F8</f>
        <v/>
      </c>
      <c r="H8" s="104" t="inlineStr">
        <is>
          <t>O</t>
        </is>
      </c>
      <c r="I8" s="104" t="inlineStr">
        <is>
          <t>O</t>
        </is>
      </c>
      <c r="J8" s="104" t="n">
        <v>9</v>
      </c>
      <c r="K8" s="104" t="n">
        <v>7</v>
      </c>
      <c r="L8" s="104" t="n">
        <v>8</v>
      </c>
      <c r="M8" s="104" t="n">
        <v>8</v>
      </c>
      <c r="N8" s="104" t="n"/>
      <c r="O8" s="104">
        <f>SUM(J8:N8)</f>
        <v/>
      </c>
      <c r="P8" s="12">
        <f>O8/IF(H8="L",20,IF(H8="U",30,IF(H8="O",40,IF(H8="I",20,""))))</f>
        <v/>
      </c>
      <c r="Q8" s="132">
        <f>IF(AND(H8="L", P8&gt;=50%), "Pass",
IF(AND(H8="U", P8&gt;=60%), "Pass",
IF(AND(H8="O", P8&gt;=75%), "Pass", "Fail")))</f>
        <v/>
      </c>
      <c r="R8" s="104" t="n"/>
      <c r="S8" s="104" t="n">
        <v>14</v>
      </c>
      <c r="T8" s="104" t="n">
        <v>8</v>
      </c>
      <c r="U8" s="104">
        <f>SUM(S8:T8)</f>
        <v/>
      </c>
      <c r="V8" s="12">
        <f>U8/IF(H8="L",35,IF(H8="U",35,IF(H8="O",35,IF(H8="I",35,""))))</f>
        <v/>
      </c>
      <c r="W8" s="132">
        <f>IF(AND(H8="L", V8&gt;=50%), "Pass",
IF(AND(H8="U", V8&gt;=60%), "Pass",
IF(AND(H8="O", V8&gt;=75%), "Pass", "Fail")))</f>
        <v/>
      </c>
      <c r="X8" s="132">
        <f>IF(AND(Q8="Pass", W8="Pass"), "Pass", "Fail")</f>
        <v/>
      </c>
      <c r="Y8" s="15">
        <f>IF($X8="Pass",$H8,
IF(H8="L","I",
IF(H8="U","L",
IF(H8="O","U",
"I"))))</f>
        <v/>
      </c>
    </row>
    <row r="9">
      <c r="A9" s="147">
        <f>ROW()-2</f>
        <v/>
      </c>
      <c r="B9" s="127" t="n">
        <v>900121</v>
      </c>
      <c r="C9" s="128" t="inlineStr">
        <is>
          <t>SUNIL KUMAR SINGH</t>
        </is>
      </c>
      <c r="D9" s="127" t="inlineStr">
        <is>
          <t>PRODUCTION</t>
        </is>
      </c>
      <c r="E9" s="129" t="inlineStr">
        <is>
          <t>3 ROLL-P2</t>
        </is>
      </c>
      <c r="F9" s="130" t="n">
        <v>40634</v>
      </c>
      <c r="G9" s="131">
        <f>NOW()-F9</f>
        <v/>
      </c>
      <c r="H9" s="104" t="inlineStr">
        <is>
          <t>O</t>
        </is>
      </c>
      <c r="I9" s="104" t="inlineStr">
        <is>
          <t>U</t>
        </is>
      </c>
      <c r="J9" s="104" t="n">
        <v>6</v>
      </c>
      <c r="K9" s="104" t="n">
        <v>7</v>
      </c>
      <c r="L9" s="104" t="n">
        <v>5</v>
      </c>
      <c r="M9" s="104" t="n">
        <v>7</v>
      </c>
      <c r="N9" s="104" t="n"/>
      <c r="O9" s="104">
        <f>SUM(J9:N9)</f>
        <v/>
      </c>
      <c r="P9" s="12">
        <f>O9/IF(H9="L",20,IF(H9="U",30,IF(H9="O",40,IF(H9="I",20,""))))</f>
        <v/>
      </c>
      <c r="Q9" s="132">
        <f>IF(AND(H9="L", P9&gt;=50%), "Pass",
IF(AND(H9="U", P9&gt;=60%), "Pass",
IF(AND(H9="O", P9&gt;=75%), "Pass", "Fail")))</f>
        <v/>
      </c>
      <c r="R9" s="104" t="n"/>
      <c r="S9" s="104" t="n">
        <v>15</v>
      </c>
      <c r="T9" s="104" t="n">
        <v>11</v>
      </c>
      <c r="U9" s="104">
        <f>SUM(S9:T9)</f>
        <v/>
      </c>
      <c r="V9" s="12">
        <f>U9/IF(H9="L",35,IF(H9="U",35,IF(H9="O",35,IF(H9="I",35,""))))</f>
        <v/>
      </c>
      <c r="W9" s="132">
        <f>IF(AND(H9="L", V9&gt;=50%), "Pass",
IF(AND(H9="U", V9&gt;=60%), "Pass",
IF(AND(H9="O", V9&gt;=75%), "Pass", "Fail")))</f>
        <v/>
      </c>
      <c r="X9" s="132">
        <f>IF(AND(Q9="Pass", W9="Pass"), "Pass", "Fail")</f>
        <v/>
      </c>
      <c r="Y9" s="15">
        <f>IF($X9="Pass",$H9,
IF(H9="L","I",
IF(H9="U","L",
IF(H9="O","U",
"I"))))</f>
        <v/>
      </c>
    </row>
    <row r="10">
      <c r="A10" s="147">
        <f>ROW()-2</f>
        <v/>
      </c>
      <c r="B10" s="127" t="n">
        <v>900122</v>
      </c>
      <c r="C10" s="128" t="inlineStr">
        <is>
          <t>MUTHUKUTTI A</t>
        </is>
      </c>
      <c r="D10" s="127" t="inlineStr">
        <is>
          <t>PRODUCTION</t>
        </is>
      </c>
      <c r="E10" s="129" t="inlineStr">
        <is>
          <t>4 ROLL</t>
        </is>
      </c>
      <c r="F10" s="130" t="n">
        <v>40634</v>
      </c>
      <c r="G10" s="131">
        <f>NOW()-F10</f>
        <v/>
      </c>
      <c r="H10" s="104" t="inlineStr">
        <is>
          <t>O</t>
        </is>
      </c>
      <c r="I10" s="104" t="inlineStr">
        <is>
          <t>U</t>
        </is>
      </c>
      <c r="J10" s="104" t="n">
        <v>9</v>
      </c>
      <c r="K10" s="104" t="n">
        <v>7</v>
      </c>
      <c r="L10" s="104" t="n">
        <v>7</v>
      </c>
      <c r="M10" s="104" t="n">
        <v>8</v>
      </c>
      <c r="N10" s="104" t="n"/>
      <c r="O10" s="104">
        <f>SUM(J10:N10)</f>
        <v/>
      </c>
      <c r="P10" s="12">
        <f>O10/IF(H10="L",20,IF(H10="U",30,IF(H10="O",40,IF(H10="I",20,""))))</f>
        <v/>
      </c>
      <c r="Q10" s="132">
        <f>IF(AND(H10="L", P10&gt;=50%), "Pass",
IF(AND(H10="U", P10&gt;=60%), "Pass",
IF(AND(H10="O", P10&gt;=75%), "Pass", "Fail")))</f>
        <v/>
      </c>
      <c r="R10" s="104" t="n"/>
      <c r="S10" s="104" t="n">
        <v>13</v>
      </c>
      <c r="T10" s="104" t="n">
        <v>6</v>
      </c>
      <c r="U10" s="104">
        <f>SUM(S10:T10)</f>
        <v/>
      </c>
      <c r="V10" s="12">
        <f>U10/IF(H10="L",35,IF(H10="U",35,IF(H10="O",35,IF(H10="I",35,""))))</f>
        <v/>
      </c>
      <c r="W10" s="132">
        <f>IF(AND(H10="L", V10&gt;=50%), "Pass",
IF(AND(H10="U", V10&gt;=60%), "Pass",
IF(AND(H10="O", V10&gt;=75%), "Pass", "Fail")))</f>
        <v/>
      </c>
      <c r="X10" s="132">
        <f>IF(AND(Q10="Pass", W10="Pass"), "Pass", "Fail")</f>
        <v/>
      </c>
      <c r="Y10" s="15">
        <f>IF($X10="Pass",$H10,
IF(H10="L","I",
IF(H10="U","L",
IF(H10="O","U",
"I"))))</f>
        <v/>
      </c>
    </row>
    <row r="11">
      <c r="A11" s="147">
        <f>ROW()-2</f>
        <v/>
      </c>
      <c r="B11" s="127" t="n">
        <v>900123</v>
      </c>
      <c r="C11" s="128" t="inlineStr">
        <is>
          <t>THEVENDIRAN N</t>
        </is>
      </c>
      <c r="D11" s="127" t="inlineStr">
        <is>
          <t>PRODUCTION</t>
        </is>
      </c>
      <c r="E11" s="129" t="inlineStr">
        <is>
          <t>BAND BUILDING-P1</t>
        </is>
      </c>
      <c r="F11" s="130" t="n">
        <v>40634</v>
      </c>
      <c r="G11" s="131">
        <f>NOW()-F11</f>
        <v/>
      </c>
      <c r="H11" s="104" t="inlineStr">
        <is>
          <t>O</t>
        </is>
      </c>
      <c r="I11" s="104" t="inlineStr">
        <is>
          <t>U</t>
        </is>
      </c>
      <c r="J11" s="104" t="n">
        <v>10</v>
      </c>
      <c r="K11" s="104" t="n">
        <v>8</v>
      </c>
      <c r="L11" s="104" t="n">
        <v>9</v>
      </c>
      <c r="M11" s="104" t="n">
        <v>8</v>
      </c>
      <c r="N11" s="104" t="n"/>
      <c r="O11" s="104">
        <f>SUM(J11:N11)</f>
        <v/>
      </c>
      <c r="P11" s="12">
        <f>O11/IF(H11="L",20,IF(H11="U",30,IF(H11="O",40,IF(H11="I",20,""))))</f>
        <v/>
      </c>
      <c r="Q11" s="132">
        <f>IF(AND(H11="L", P11&gt;=50%), "Pass",
IF(AND(H11="U", P11&gt;=60%), "Pass",
IF(AND(H11="O", P11&gt;=75%), "Pass", "Fail")))</f>
        <v/>
      </c>
      <c r="R11" s="104" t="n"/>
      <c r="S11" s="104" t="n">
        <v>20</v>
      </c>
      <c r="T11" s="104" t="n">
        <v>15</v>
      </c>
      <c r="U11" s="104">
        <f>SUM(S11:T11)</f>
        <v/>
      </c>
      <c r="V11" s="12">
        <f>U11/IF(H11="L",35,IF(H11="U",35,IF(H11="O",35,IF(H11="I",35,""))))</f>
        <v/>
      </c>
      <c r="W11" s="132">
        <f>IF(AND(H11="L", V11&gt;=50%), "Pass",
IF(AND(H11="U", V11&gt;=60%), "Pass",
IF(AND(H11="O", V11&gt;=75%), "Pass", "Fail")))</f>
        <v/>
      </c>
      <c r="X11" s="132">
        <f>IF(AND(Q11="Pass", W11="Pass"), "Pass", "Fail")</f>
        <v/>
      </c>
      <c r="Y11" s="15">
        <f>IF($X11="Pass",$H11,
IF(H11="L","I",
IF(H11="U","L",
IF(H11="O","U",
"I"))))</f>
        <v/>
      </c>
    </row>
    <row r="12">
      <c r="A12" s="147">
        <f>ROW()-2</f>
        <v/>
      </c>
      <c r="B12" s="127" t="n">
        <v>900126</v>
      </c>
      <c r="C12" s="128" t="inlineStr">
        <is>
          <t>ATUL KUMAR SINGH</t>
        </is>
      </c>
      <c r="D12" s="127" t="inlineStr">
        <is>
          <t>PRODUCTION</t>
        </is>
      </c>
      <c r="E12" s="129" t="inlineStr">
        <is>
          <t>BEAD WINDING</t>
        </is>
      </c>
      <c r="F12" s="130" t="n">
        <v>40634</v>
      </c>
      <c r="G12" s="131">
        <f>NOW()-F12</f>
        <v/>
      </c>
      <c r="H12" s="104" t="inlineStr">
        <is>
          <t>O</t>
        </is>
      </c>
      <c r="I12" s="104" t="inlineStr">
        <is>
          <t>U</t>
        </is>
      </c>
      <c r="J12" s="104" t="n">
        <v>8</v>
      </c>
      <c r="K12" s="104" t="n">
        <v>6</v>
      </c>
      <c r="L12" s="104" t="n">
        <v>2</v>
      </c>
      <c r="M12" s="104" t="n">
        <v>5</v>
      </c>
      <c r="N12" s="104" t="n"/>
      <c r="O12" s="104">
        <f>SUM(J12:N12)</f>
        <v/>
      </c>
      <c r="P12" s="12">
        <f>O12/IF(H12="L",20,IF(H12="U",30,IF(H12="O",40,IF(H12="I",20,""))))</f>
        <v/>
      </c>
      <c r="Q12" s="132">
        <f>IF(AND(H12="L", P12&gt;=50%), "Pass",
IF(AND(H12="U", P12&gt;=60%), "Pass",
IF(AND(H12="O", P12&gt;=75%), "Pass", "Fail")))</f>
        <v/>
      </c>
      <c r="R12" s="104" t="n"/>
      <c r="S12" s="104" t="n">
        <v>15</v>
      </c>
      <c r="T12" s="104" t="n">
        <v>11</v>
      </c>
      <c r="U12" s="104">
        <f>SUM(S12:T12)</f>
        <v/>
      </c>
      <c r="V12" s="12">
        <f>U12/IF(H12="L",35,IF(H12="U",35,IF(H12="O",35,IF(H12="I",35,""))))</f>
        <v/>
      </c>
      <c r="W12" s="132">
        <f>IF(AND(H12="L", V12&gt;=50%), "Pass",
IF(AND(H12="U", V12&gt;=60%), "Pass",
IF(AND(H12="O", V12&gt;=75%), "Pass", "Fail")))</f>
        <v/>
      </c>
      <c r="X12" s="132">
        <f>IF(AND(Q12="Pass", W12="Pass"), "Pass", "Fail")</f>
        <v/>
      </c>
      <c r="Y12" s="15">
        <f>IF($X12="Pass",$H12,
IF(H12="L","I",
IF(H12="U","L",
IF(H12="O","U",
"I"))))</f>
        <v/>
      </c>
    </row>
    <row r="13">
      <c r="A13" s="147">
        <f>ROW()-2</f>
        <v/>
      </c>
      <c r="B13" s="127" t="n">
        <v>900127</v>
      </c>
      <c r="C13" s="128" t="inlineStr">
        <is>
          <t>RAJA S</t>
        </is>
      </c>
      <c r="D13" s="127" t="inlineStr">
        <is>
          <t>PRODUCTION</t>
        </is>
      </c>
      <c r="E13" s="129" t="inlineStr">
        <is>
          <t>BEAD WINDING</t>
        </is>
      </c>
      <c r="F13" s="130" t="n">
        <v>40634</v>
      </c>
      <c r="G13" s="131">
        <f>NOW()-F13</f>
        <v/>
      </c>
      <c r="H13" s="104" t="inlineStr">
        <is>
          <t>O</t>
        </is>
      </c>
      <c r="I13" s="104" t="inlineStr">
        <is>
          <t>O</t>
        </is>
      </c>
      <c r="J13" s="104" t="n">
        <v>9</v>
      </c>
      <c r="K13" s="104" t="n">
        <v>7</v>
      </c>
      <c r="L13" s="104" t="n">
        <v>4</v>
      </c>
      <c r="M13" s="104" t="n">
        <v>4</v>
      </c>
      <c r="N13" s="104" t="n"/>
      <c r="O13" s="104">
        <f>SUM(J13:N13)</f>
        <v/>
      </c>
      <c r="P13" s="12">
        <f>O13/IF(H13="L",20,IF(H13="U",30,IF(H13="O",40,IF(H13="I",20,""))))</f>
        <v/>
      </c>
      <c r="Q13" s="132">
        <f>IF(AND(H13="L", P13&gt;=50%), "Pass",
IF(AND(H13="U", P13&gt;=60%), "Pass",
IF(AND(H13="O", P13&gt;=75%), "Pass", "Fail")))</f>
        <v/>
      </c>
      <c r="R13" s="104" t="n"/>
      <c r="S13" s="104" t="n">
        <v>16</v>
      </c>
      <c r="T13" s="104" t="n">
        <v>8</v>
      </c>
      <c r="U13" s="104">
        <f>SUM(S13:T13)</f>
        <v/>
      </c>
      <c r="V13" s="12">
        <f>U13/IF(H13="L",35,IF(H13="U",35,IF(H13="O",35,IF(H13="I",35,""))))</f>
        <v/>
      </c>
      <c r="W13" s="132">
        <f>IF(AND(H13="L", V13&gt;=50%), "Pass",
IF(AND(H13="U", V13&gt;=60%), "Pass",
IF(AND(H13="O", V13&gt;=75%), "Pass", "Fail")))</f>
        <v/>
      </c>
      <c r="X13" s="132">
        <f>IF(AND(Q13="Pass", W13="Pass"), "Pass", "Fail")</f>
        <v/>
      </c>
      <c r="Y13" s="15">
        <f>IF($X13="Pass",$H13,
IF(H13="L","I",
IF(H13="U","L",
IF(H13="O","U",
"I"))))</f>
        <v/>
      </c>
    </row>
    <row r="14">
      <c r="A14" s="147">
        <f>ROW()-2</f>
        <v/>
      </c>
      <c r="B14" s="127" t="n">
        <v>900128</v>
      </c>
      <c r="C14" s="128" t="inlineStr">
        <is>
          <t>DABLU KUMAR</t>
        </is>
      </c>
      <c r="D14" s="127" t="inlineStr">
        <is>
          <t>PRODUCTION</t>
        </is>
      </c>
      <c r="E14" s="129" t="inlineStr">
        <is>
          <t>BEAD WINDING</t>
        </is>
      </c>
      <c r="F14" s="130" t="n">
        <v>40634</v>
      </c>
      <c r="G14" s="131">
        <f>NOW()-F14</f>
        <v/>
      </c>
      <c r="H14" s="104" t="inlineStr">
        <is>
          <t>O</t>
        </is>
      </c>
      <c r="I14" s="104" t="inlineStr">
        <is>
          <t>U</t>
        </is>
      </c>
      <c r="J14" s="104" t="n">
        <v>7</v>
      </c>
      <c r="K14" s="104" t="n">
        <v>9</v>
      </c>
      <c r="L14" s="104" t="n">
        <v>7</v>
      </c>
      <c r="M14" s="104" t="n">
        <v>8</v>
      </c>
      <c r="N14" s="104" t="n"/>
      <c r="O14" s="104">
        <f>SUM(J14:N14)</f>
        <v/>
      </c>
      <c r="P14" s="12">
        <f>O14/IF(H14="L",20,IF(H14="U",30,IF(H14="O",40,IF(H14="I",20,""))))</f>
        <v/>
      </c>
      <c r="Q14" s="132">
        <f>IF(AND(H14="L", P14&gt;=50%), "Pass",
IF(AND(H14="U", P14&gt;=60%), "Pass",
IF(AND(H14="O", P14&gt;=75%), "Pass", "Fail")))</f>
        <v/>
      </c>
      <c r="R14" s="104" t="n"/>
      <c r="S14" s="104" t="n">
        <v>16</v>
      </c>
      <c r="T14" s="104" t="n">
        <v>12</v>
      </c>
      <c r="U14" s="104">
        <f>SUM(S14:T14)</f>
        <v/>
      </c>
      <c r="V14" s="12">
        <f>U14/IF(H14="L",35,IF(H14="U",35,IF(H14="O",35,IF(H14="I",35,""))))</f>
        <v/>
      </c>
      <c r="W14" s="132">
        <f>IF(AND(H14="L", V14&gt;=50%), "Pass",
IF(AND(H14="U", V14&gt;=60%), "Pass",
IF(AND(H14="O", V14&gt;=75%), "Pass", "Fail")))</f>
        <v/>
      </c>
      <c r="X14" s="132">
        <f>IF(AND(Q14="Pass", W14="Pass"), "Pass", "Fail")</f>
        <v/>
      </c>
      <c r="Y14" s="15">
        <f>IF($X14="Pass",$H14,
IF(H14="L","I",
IF(H14="U","L",
IF(H14="O","U",
"I"))))</f>
        <v/>
      </c>
    </row>
    <row r="15">
      <c r="A15" s="147">
        <f>ROW()-2</f>
        <v/>
      </c>
      <c r="B15" s="127" t="n">
        <v>900129</v>
      </c>
      <c r="C15" s="128" t="inlineStr">
        <is>
          <t>THANGA MUTHU S</t>
        </is>
      </c>
      <c r="D15" s="127" t="inlineStr">
        <is>
          <t>PRODUCTION</t>
        </is>
      </c>
      <c r="E15" s="129" t="inlineStr">
        <is>
          <t>BIAS CUTTING-4</t>
        </is>
      </c>
      <c r="F15" s="130" t="n">
        <v>40634</v>
      </c>
      <c r="G15" s="131">
        <f>NOW()-F15</f>
        <v/>
      </c>
      <c r="H15" s="104" t="inlineStr">
        <is>
          <t>O</t>
        </is>
      </c>
      <c r="I15" s="104" t="inlineStr">
        <is>
          <t>O</t>
        </is>
      </c>
      <c r="J15" s="104" t="n">
        <v>9</v>
      </c>
      <c r="K15" s="104" t="n">
        <v>4</v>
      </c>
      <c r="L15" s="104" t="n">
        <v>5</v>
      </c>
      <c r="M15" s="104" t="n">
        <v>5</v>
      </c>
      <c r="N15" s="104" t="n"/>
      <c r="O15" s="104">
        <f>SUM(J15:N15)</f>
        <v/>
      </c>
      <c r="P15" s="12">
        <f>O15/IF(H15="L",20,IF(H15="U",30,IF(H15="O",40,IF(H15="I",20,""))))</f>
        <v/>
      </c>
      <c r="Q15" s="132">
        <f>IF(AND(H15="L", P15&gt;=50%), "Pass",
IF(AND(H15="U", P15&gt;=60%), "Pass",
IF(AND(H15="O", P15&gt;=75%), "Pass", "Fail")))</f>
        <v/>
      </c>
      <c r="R15" s="104" t="n"/>
      <c r="S15" s="104" t="n">
        <v>18</v>
      </c>
      <c r="T15" s="104" t="n">
        <v>15</v>
      </c>
      <c r="U15" s="104">
        <f>SUM(S15:T15)</f>
        <v/>
      </c>
      <c r="V15" s="12">
        <f>U15/IF(H15="L",35,IF(H15="U",35,IF(H15="O",35,IF(H15="I",35,""))))</f>
        <v/>
      </c>
      <c r="W15" s="132">
        <f>IF(AND(H15="L", V15&gt;=50%), "Pass",
IF(AND(H15="U", V15&gt;=60%), "Pass",
IF(AND(H15="O", V15&gt;=75%), "Pass", "Fail")))</f>
        <v/>
      </c>
      <c r="X15" s="132">
        <f>IF(AND(Q15="Pass", W15="Pass"), "Pass", "Fail")</f>
        <v/>
      </c>
      <c r="Y15" s="15">
        <f>IF($X15="Pass",$H15,
IF(H15="L","I",
IF(H15="U","L",
IF(H15="O","U",
"I"))))</f>
        <v/>
      </c>
    </row>
    <row r="16">
      <c r="A16" s="147">
        <f>ROW()-2</f>
        <v/>
      </c>
      <c r="B16" s="127" t="n">
        <v>900130</v>
      </c>
      <c r="C16" s="128" t="inlineStr">
        <is>
          <t>SANKAR E</t>
        </is>
      </c>
      <c r="D16" s="127" t="inlineStr">
        <is>
          <t>PRODUCTION</t>
        </is>
      </c>
      <c r="E16" s="129" t="inlineStr">
        <is>
          <t>BIAS CUTTING-2</t>
        </is>
      </c>
      <c r="F16" s="130" t="n">
        <v>40634</v>
      </c>
      <c r="G16" s="131">
        <f>NOW()-F16</f>
        <v/>
      </c>
      <c r="H16" s="104" t="inlineStr">
        <is>
          <t>O</t>
        </is>
      </c>
      <c r="I16" s="104" t="inlineStr">
        <is>
          <t>O</t>
        </is>
      </c>
      <c r="J16" s="104" t="n">
        <v>10</v>
      </c>
      <c r="K16" s="104" t="n">
        <v>9</v>
      </c>
      <c r="L16" s="104" t="n">
        <v>1</v>
      </c>
      <c r="M16" s="104" t="n">
        <v>8</v>
      </c>
      <c r="N16" s="104" t="n"/>
      <c r="O16" s="104">
        <f>SUM(J16:N16)</f>
        <v/>
      </c>
      <c r="P16" s="12">
        <f>O16/IF(H16="L",20,IF(H16="U",30,IF(H16="O",40,IF(H16="I",20,""))))</f>
        <v/>
      </c>
      <c r="Q16" s="132">
        <f>IF(AND(H16="L", P16&gt;=50%), "Pass",
IF(AND(H16="U", P16&gt;=60%), "Pass",
IF(AND(H16="O", P16&gt;=75%), "Pass", "Fail")))</f>
        <v/>
      </c>
      <c r="R16" s="104" t="n"/>
      <c r="S16" s="104" t="n">
        <v>19</v>
      </c>
      <c r="T16" s="104" t="n">
        <v>13</v>
      </c>
      <c r="U16" s="104">
        <f>SUM(S16:T16)</f>
        <v/>
      </c>
      <c r="V16" s="12">
        <f>U16/IF(H16="L",35,IF(H16="U",35,IF(H16="O",35,IF(H16="I",35,""))))</f>
        <v/>
      </c>
      <c r="W16" s="132">
        <f>IF(AND(H16="L", V16&gt;=50%), "Pass",
IF(AND(H16="U", V16&gt;=60%), "Pass",
IF(AND(H16="O", V16&gt;=75%), "Pass", "Fail")))</f>
        <v/>
      </c>
      <c r="X16" s="132">
        <f>IF(AND(Q16="Pass", W16="Pass"), "Pass", "Fail")</f>
        <v/>
      </c>
      <c r="Y16" s="15">
        <f>IF($X16="Pass",$H16,
IF(H16="L","I",
IF(H16="U","L",
IF(H16="O","U",
"I"))))</f>
        <v/>
      </c>
    </row>
    <row r="17">
      <c r="A17" s="147">
        <f>ROW()-2</f>
        <v/>
      </c>
      <c r="B17" s="127" t="n">
        <v>900131</v>
      </c>
      <c r="C17" s="128" t="inlineStr">
        <is>
          <t>ETTAPPAN D</t>
        </is>
      </c>
      <c r="D17" s="127" t="inlineStr">
        <is>
          <t>PRODUCTION</t>
        </is>
      </c>
      <c r="E17" s="129" t="inlineStr">
        <is>
          <t>BIAS CUTTING-5</t>
        </is>
      </c>
      <c r="F17" s="130" t="n">
        <v>40634</v>
      </c>
      <c r="G17" s="131">
        <f>NOW()-F17</f>
        <v/>
      </c>
      <c r="H17" s="104" t="inlineStr">
        <is>
          <t>O</t>
        </is>
      </c>
      <c r="I17" s="104" t="inlineStr">
        <is>
          <t>U</t>
        </is>
      </c>
      <c r="J17" s="104" t="n">
        <v>10</v>
      </c>
      <c r="K17" s="104" t="n">
        <v>9</v>
      </c>
      <c r="L17" s="104" t="n">
        <v>8</v>
      </c>
      <c r="M17" s="104" t="n">
        <v>9</v>
      </c>
      <c r="N17" s="104" t="n"/>
      <c r="O17" s="104">
        <f>SUM(J17:N17)</f>
        <v/>
      </c>
      <c r="P17" s="12">
        <f>O17/IF(H17="L",20,IF(H17="U",30,IF(H17="O",40,IF(H17="I",20,""))))</f>
        <v/>
      </c>
      <c r="Q17" s="132">
        <f>IF(AND(H17="L", P17&gt;=50%), "Pass",
IF(AND(H17="U", P17&gt;=60%), "Pass",
IF(AND(H17="O", P17&gt;=75%), "Pass", "Fail")))</f>
        <v/>
      </c>
      <c r="R17" s="104" t="n"/>
      <c r="S17" s="104" t="n">
        <v>14</v>
      </c>
      <c r="T17" s="104" t="n">
        <v>11</v>
      </c>
      <c r="U17" s="104">
        <f>SUM(S17:T17)</f>
        <v/>
      </c>
      <c r="V17" s="12">
        <f>U17/IF(H17="L",35,IF(H17="U",35,IF(H17="O",35,IF(H17="I",35,""))))</f>
        <v/>
      </c>
      <c r="W17" s="132">
        <f>IF(AND(H17="L", V17&gt;=50%), "Pass",
IF(AND(H17="U", V17&gt;=60%), "Pass",
IF(AND(H17="O", V17&gt;=75%), "Pass", "Fail")))</f>
        <v/>
      </c>
      <c r="X17" s="132">
        <f>IF(AND(Q17="Pass", W17="Pass"), "Pass", "Fail")</f>
        <v/>
      </c>
      <c r="Y17" s="15">
        <f>IF($X17="Pass",$H17,
IF(H17="L","I",
IF(H17="U","L",
IF(H17="O","U",
"I"))))</f>
        <v/>
      </c>
    </row>
    <row r="18">
      <c r="A18" s="147">
        <f>ROW()-2</f>
        <v/>
      </c>
      <c r="B18" s="127" t="n">
        <v>900132</v>
      </c>
      <c r="C18" s="128" t="inlineStr">
        <is>
          <t>KOMBAN M</t>
        </is>
      </c>
      <c r="D18" s="127" t="inlineStr">
        <is>
          <t>PRODUCTION</t>
        </is>
      </c>
      <c r="E18" s="129" t="inlineStr">
        <is>
          <t>BIAS CUTTING-4</t>
        </is>
      </c>
      <c r="F18" s="130" t="n">
        <v>40634</v>
      </c>
      <c r="G18" s="131">
        <f>NOW()-F18</f>
        <v/>
      </c>
      <c r="H18" s="104" t="inlineStr">
        <is>
          <t>O</t>
        </is>
      </c>
      <c r="I18" s="104" t="inlineStr">
        <is>
          <t>U</t>
        </is>
      </c>
      <c r="J18" s="104" t="n">
        <v>9</v>
      </c>
      <c r="K18" s="104" t="n">
        <v>5</v>
      </c>
      <c r="L18" s="104" t="n">
        <v>7</v>
      </c>
      <c r="M18" s="104" t="n">
        <v>6</v>
      </c>
      <c r="N18" s="104" t="n"/>
      <c r="O18" s="104">
        <f>SUM(J18:N18)</f>
        <v/>
      </c>
      <c r="P18" s="12">
        <f>O18/IF(H18="L",20,IF(H18="U",30,IF(H18="O",40,IF(H18="I",20,""))))</f>
        <v/>
      </c>
      <c r="Q18" s="132">
        <f>IF(AND(H18="L", P18&gt;=50%), "Pass",
IF(AND(H18="U", P18&gt;=60%), "Pass",
IF(AND(H18="O", P18&gt;=75%), "Pass", "Fail")))</f>
        <v/>
      </c>
      <c r="R18" s="104" t="n"/>
      <c r="S18" s="104" t="n">
        <v>20</v>
      </c>
      <c r="T18" s="104" t="n">
        <v>15</v>
      </c>
      <c r="U18" s="104">
        <f>SUM(S18:T18)</f>
        <v/>
      </c>
      <c r="V18" s="12">
        <f>U18/IF(H18="L",35,IF(H18="U",35,IF(H18="O",35,IF(H18="I",35,""))))</f>
        <v/>
      </c>
      <c r="W18" s="132">
        <f>IF(AND(H18="L", V18&gt;=50%), "Pass",
IF(AND(H18="U", V18&gt;=60%), "Pass",
IF(AND(H18="O", V18&gt;=75%), "Pass", "Fail")))</f>
        <v/>
      </c>
      <c r="X18" s="132">
        <f>IF(AND(Q18="Pass", W18="Pass"), "Pass", "Fail")</f>
        <v/>
      </c>
      <c r="Y18" s="15">
        <f>IF($X18="Pass",$H18,
IF(H18="L","I",
IF(H18="U","L",
IF(H18="O","U",
"I"))))</f>
        <v/>
      </c>
    </row>
    <row r="19">
      <c r="A19" s="147">
        <f>ROW()-2</f>
        <v/>
      </c>
      <c r="B19" s="127" t="n">
        <v>900133</v>
      </c>
      <c r="C19" s="128" t="inlineStr">
        <is>
          <t>NATARAJAN P</t>
        </is>
      </c>
      <c r="D19" s="127" t="inlineStr">
        <is>
          <t>PRODUCTION</t>
        </is>
      </c>
      <c r="E19" s="129" t="inlineStr">
        <is>
          <t>BIAS CUTTING-2</t>
        </is>
      </c>
      <c r="F19" s="130" t="n">
        <v>40634</v>
      </c>
      <c r="G19" s="131">
        <f>NOW()-F19</f>
        <v/>
      </c>
      <c r="H19" s="104" t="inlineStr">
        <is>
          <t>O</t>
        </is>
      </c>
      <c r="I19" s="104" t="inlineStr">
        <is>
          <t>O</t>
        </is>
      </c>
      <c r="J19" s="104" t="n">
        <v>9</v>
      </c>
      <c r="K19" s="104" t="n">
        <v>8</v>
      </c>
      <c r="L19" s="104" t="n">
        <v>9</v>
      </c>
      <c r="M19" s="104" t="n">
        <v>8</v>
      </c>
      <c r="N19" s="104" t="n"/>
      <c r="O19" s="104">
        <f>SUM(J19:N19)</f>
        <v/>
      </c>
      <c r="P19" s="12">
        <f>O19/IF(H19="L",20,IF(H19="U",30,IF(H19="O",40,IF(H19="I",20,""))))</f>
        <v/>
      </c>
      <c r="Q19" s="132">
        <f>IF(AND(H19="L", P19&gt;=50%), "Pass",
IF(AND(H19="U", P19&gt;=60%), "Pass",
IF(AND(H19="O", P19&gt;=75%), "Pass", "Fail")))</f>
        <v/>
      </c>
      <c r="R19" s="104" t="n"/>
      <c r="S19" s="104" t="n">
        <v>17</v>
      </c>
      <c r="T19" s="104" t="n">
        <v>14</v>
      </c>
      <c r="U19" s="104">
        <f>SUM(S19:T19)</f>
        <v/>
      </c>
      <c r="V19" s="12">
        <f>U19/IF(H19="L",35,IF(H19="U",35,IF(H19="O",35,IF(H19="I",35,""))))</f>
        <v/>
      </c>
      <c r="W19" s="132">
        <f>IF(AND(H19="L", V19&gt;=50%), "Pass",
IF(AND(H19="U", V19&gt;=60%), "Pass",
IF(AND(H19="O", V19&gt;=75%), "Pass", "Fail")))</f>
        <v/>
      </c>
      <c r="X19" s="132">
        <f>IF(AND(Q19="Pass", W19="Pass"), "Pass", "Fail")</f>
        <v/>
      </c>
      <c r="Y19" s="15">
        <f>IF($X19="Pass",$H19,
IF(H19="L","I",
IF(H19="U","L",
IF(H19="O","U",
"I"))))</f>
        <v/>
      </c>
    </row>
    <row r="20">
      <c r="A20" s="147">
        <f>ROW()-2</f>
        <v/>
      </c>
      <c r="B20" s="127" t="n">
        <v>900134</v>
      </c>
      <c r="C20" s="128" t="inlineStr">
        <is>
          <t>VINOTH KANNA S</t>
        </is>
      </c>
      <c r="D20" s="127" t="inlineStr">
        <is>
          <t>PRODUCTION</t>
        </is>
      </c>
      <c r="E20" s="129" t="inlineStr">
        <is>
          <t>BIAS CUTTING-4</t>
        </is>
      </c>
      <c r="F20" s="130" t="n">
        <v>40634</v>
      </c>
      <c r="G20" s="131">
        <f>NOW()-F20</f>
        <v/>
      </c>
      <c r="H20" s="104" t="inlineStr">
        <is>
          <t>O</t>
        </is>
      </c>
      <c r="I20" s="104" t="inlineStr">
        <is>
          <t>U</t>
        </is>
      </c>
      <c r="J20" s="104" t="n">
        <v>9</v>
      </c>
      <c r="K20" s="104" t="n">
        <v>9</v>
      </c>
      <c r="L20" s="104" t="n">
        <v>8</v>
      </c>
      <c r="M20" s="104" t="n">
        <v>8</v>
      </c>
      <c r="N20" s="104" t="n"/>
      <c r="O20" s="104">
        <f>SUM(J20:N20)</f>
        <v/>
      </c>
      <c r="P20" s="12">
        <f>O20/IF(H20="L",20,IF(H20="U",30,IF(H20="O",40,IF(H20="I",20,""))))</f>
        <v/>
      </c>
      <c r="Q20" s="132">
        <f>IF(AND(H20="L", P20&gt;=50%), "Pass",
IF(AND(H20="U", P20&gt;=60%), "Pass",
IF(AND(H20="O", P20&gt;=75%), "Pass", "Fail")))</f>
        <v/>
      </c>
      <c r="R20" s="104" t="n"/>
      <c r="S20" s="104" t="n">
        <v>20</v>
      </c>
      <c r="T20" s="104" t="n">
        <v>15</v>
      </c>
      <c r="U20" s="104">
        <f>SUM(S20:T20)</f>
        <v/>
      </c>
      <c r="V20" s="12">
        <f>U20/IF(H20="L",35,IF(H20="U",35,IF(H20="O",35,IF(H20="I",35,""))))</f>
        <v/>
      </c>
      <c r="W20" s="132">
        <f>IF(AND(H20="L", V20&gt;=50%), "Pass",
IF(AND(H20="U", V20&gt;=60%), "Pass",
IF(AND(H20="O", V20&gt;=75%), "Pass", "Fail")))</f>
        <v/>
      </c>
      <c r="X20" s="132">
        <f>IF(AND(Q20="Pass", W20="Pass"), "Pass", "Fail")</f>
        <v/>
      </c>
      <c r="Y20" s="15">
        <f>IF($X20="Pass",$H20,
IF(H20="L","I",
IF(H20="U","L",
IF(H20="O","U",
"I"))))</f>
        <v/>
      </c>
    </row>
    <row r="21">
      <c r="A21" s="147">
        <f>ROW()-2</f>
        <v/>
      </c>
      <c r="B21" s="127" t="n">
        <v>900135</v>
      </c>
      <c r="C21" s="128" t="inlineStr">
        <is>
          <t>ASHOK KUMAR S</t>
        </is>
      </c>
      <c r="D21" s="127" t="inlineStr">
        <is>
          <t>PRODUCTION</t>
        </is>
      </c>
      <c r="E21" s="129" t="inlineStr">
        <is>
          <t>BIAS CUTTING-2</t>
        </is>
      </c>
      <c r="F21" s="130" t="n">
        <v>40634</v>
      </c>
      <c r="G21" s="131">
        <f>NOW()-F21</f>
        <v/>
      </c>
      <c r="H21" s="104" t="inlineStr">
        <is>
          <t>O</t>
        </is>
      </c>
      <c r="I21" s="104" t="inlineStr">
        <is>
          <t>O</t>
        </is>
      </c>
      <c r="J21" s="104" t="n">
        <v>10</v>
      </c>
      <c r="K21" s="104" t="n">
        <v>8</v>
      </c>
      <c r="L21" s="104" t="n">
        <v>10</v>
      </c>
      <c r="M21" s="104" t="n">
        <v>7</v>
      </c>
      <c r="N21" s="104" t="n"/>
      <c r="O21" s="104">
        <f>SUM(J21:N21)</f>
        <v/>
      </c>
      <c r="P21" s="12">
        <f>O21/IF(H21="L",20,IF(H21="U",30,IF(H21="O",40,IF(H21="I",20,""))))</f>
        <v/>
      </c>
      <c r="Q21" s="132">
        <f>IF(AND(H21="L", P21&gt;=50%), "Pass",
IF(AND(H21="U", P21&gt;=60%), "Pass",
IF(AND(H21="O", P21&gt;=75%), "Pass", "Fail")))</f>
        <v/>
      </c>
      <c r="R21" s="104" t="n"/>
      <c r="S21" s="104" t="n">
        <v>15</v>
      </c>
      <c r="T21" s="104" t="n">
        <v>12</v>
      </c>
      <c r="U21" s="104">
        <f>SUM(S21:T21)</f>
        <v/>
      </c>
      <c r="V21" s="12">
        <f>U21/IF(H21="L",35,IF(H21="U",35,IF(H21="O",35,IF(H21="I",35,""))))</f>
        <v/>
      </c>
      <c r="W21" s="132">
        <f>IF(AND(H21="L", V21&gt;=50%), "Pass",
IF(AND(H21="U", V21&gt;=60%), "Pass",
IF(AND(H21="O", V21&gt;=75%), "Pass", "Fail")))</f>
        <v/>
      </c>
      <c r="X21" s="132">
        <f>IF(AND(Q21="Pass", W21="Pass"), "Pass", "Fail")</f>
        <v/>
      </c>
      <c r="Y21" s="15">
        <f>IF($X21="Pass",$H21,
IF(H21="L","I",
IF(H21="U","L",
IF(H21="O","U",
"I"))))</f>
        <v/>
      </c>
    </row>
    <row r="22">
      <c r="A22" s="147">
        <f>ROW()-2</f>
        <v/>
      </c>
      <c r="B22" s="127" t="n">
        <v>900136</v>
      </c>
      <c r="C22" s="128" t="inlineStr">
        <is>
          <t>KARUPPASAMY S</t>
        </is>
      </c>
      <c r="D22" s="127" t="inlineStr">
        <is>
          <t>PRODUCTION</t>
        </is>
      </c>
      <c r="E22" s="129" t="inlineStr">
        <is>
          <t>EXTRUDER</t>
        </is>
      </c>
      <c r="F22" s="130" t="n">
        <v>40634</v>
      </c>
      <c r="G22" s="131">
        <f>NOW()-F22</f>
        <v/>
      </c>
      <c r="H22" s="104" t="inlineStr">
        <is>
          <t>O</t>
        </is>
      </c>
      <c r="I22" s="104" t="inlineStr">
        <is>
          <t>O</t>
        </is>
      </c>
      <c r="J22" s="104" t="n">
        <v>8</v>
      </c>
      <c r="K22" s="104" t="n">
        <v>9</v>
      </c>
      <c r="L22" s="104" t="n">
        <v>8</v>
      </c>
      <c r="M22" s="104" t="n">
        <v>9</v>
      </c>
      <c r="N22" s="104" t="n"/>
      <c r="O22" s="104">
        <f>SUM(J22:N22)</f>
        <v/>
      </c>
      <c r="P22" s="12">
        <f>O22/IF(H22="L",20,IF(H22="U",30,IF(H22="O",40,IF(H22="I",20,""))))</f>
        <v/>
      </c>
      <c r="Q22" s="132">
        <f>IF(AND(H22="L", P22&gt;=50%), "Pass",
IF(AND(H22="U", P22&gt;=60%), "Pass",
IF(AND(H22="O", P22&gt;=75%), "Pass", "Fail")))</f>
        <v/>
      </c>
      <c r="R22" s="104" t="n"/>
      <c r="S22" s="104" t="n">
        <v>20</v>
      </c>
      <c r="T22" s="104" t="n">
        <v>14</v>
      </c>
      <c r="U22" s="104">
        <f>SUM(S22:T22)</f>
        <v/>
      </c>
      <c r="V22" s="12">
        <f>U22/IF(H22="L",35,IF(H22="U",35,IF(H22="O",35,IF(H22="I",35,""))))</f>
        <v/>
      </c>
      <c r="W22" s="132">
        <f>IF(AND(H22="L", V22&gt;=50%), "Pass",
IF(AND(H22="U", V22&gt;=60%), "Pass",
IF(AND(H22="O", V22&gt;=75%), "Pass", "Fail")))</f>
        <v/>
      </c>
      <c r="X22" s="132">
        <f>IF(AND(Q22="Pass", W22="Pass"), "Pass", "Fail")</f>
        <v/>
      </c>
      <c r="Y22" s="15">
        <f>IF($X22="Pass",$H22,
IF(H22="L","I",
IF(H22="U","L",
IF(H22="O","U",
"I"))))</f>
        <v/>
      </c>
    </row>
    <row r="23">
      <c r="A23" s="147">
        <f>ROW()-2</f>
        <v/>
      </c>
      <c r="B23" s="127" t="n">
        <v>900137</v>
      </c>
      <c r="C23" s="128" t="inlineStr">
        <is>
          <t>BABU S</t>
        </is>
      </c>
      <c r="D23" s="127" t="inlineStr">
        <is>
          <t>PRODUCTION</t>
        </is>
      </c>
      <c r="E23" s="129" t="inlineStr">
        <is>
          <t>EXTRUDER</t>
        </is>
      </c>
      <c r="F23" s="130" t="n">
        <v>40634</v>
      </c>
      <c r="G23" s="131">
        <f>NOW()-F23</f>
        <v/>
      </c>
      <c r="H23" s="104" t="inlineStr">
        <is>
          <t>O</t>
        </is>
      </c>
      <c r="I23" s="104" t="inlineStr">
        <is>
          <t>O</t>
        </is>
      </c>
      <c r="J23" s="104" t="n">
        <v>8</v>
      </c>
      <c r="K23" s="104" t="n">
        <v>7</v>
      </c>
      <c r="L23" s="104" t="n">
        <v>10</v>
      </c>
      <c r="M23" s="104" t="n">
        <v>9</v>
      </c>
      <c r="N23" s="104" t="n"/>
      <c r="O23" s="104">
        <f>SUM(J23:N23)</f>
        <v/>
      </c>
      <c r="P23" s="12">
        <f>O23/IF(H23="L",20,IF(H23="U",30,IF(H23="O",40,IF(H23="I",20,""))))</f>
        <v/>
      </c>
      <c r="Q23" s="132">
        <f>IF(AND(H23="L", P23&gt;=50%), "Pass",
IF(AND(H23="U", P23&gt;=60%), "Pass",
IF(AND(H23="O", P23&gt;=75%), "Pass", "Fail")))</f>
        <v/>
      </c>
      <c r="R23" s="104" t="n"/>
      <c r="S23" s="104" t="n">
        <v>16</v>
      </c>
      <c r="T23" s="104" t="n">
        <v>12</v>
      </c>
      <c r="U23" s="104">
        <f>SUM(S23:T23)</f>
        <v/>
      </c>
      <c r="V23" s="12">
        <f>U23/IF(H23="L",35,IF(H23="U",35,IF(H23="O",35,IF(H23="I",35,""))))</f>
        <v/>
      </c>
      <c r="W23" s="132">
        <f>IF(AND(H23="L", V23&gt;=50%), "Pass",
IF(AND(H23="U", V23&gt;=60%), "Pass",
IF(AND(H23="O", V23&gt;=75%), "Pass", "Fail")))</f>
        <v/>
      </c>
      <c r="X23" s="132">
        <f>IF(AND(Q23="Pass", W23="Pass"), "Pass", "Fail")</f>
        <v/>
      </c>
      <c r="Y23" s="15">
        <f>IF($X23="Pass",$H23,
IF(H23="L","I",
IF(H23="U","L",
IF(H23="O","U",
"I"))))</f>
        <v/>
      </c>
      <c r="Z23" s="82" t="n"/>
    </row>
    <row r="24">
      <c r="A24" s="147">
        <f>ROW()-2</f>
        <v/>
      </c>
      <c r="B24" s="127" t="n">
        <v>900139</v>
      </c>
      <c r="C24" s="128" t="inlineStr">
        <is>
          <t>SHIV MURAT SINGH</t>
        </is>
      </c>
      <c r="D24" s="127" t="inlineStr">
        <is>
          <t>PRODUCTION</t>
        </is>
      </c>
      <c r="E24" s="129" t="inlineStr">
        <is>
          <t>EXTRUDER</t>
        </is>
      </c>
      <c r="F24" s="130" t="n">
        <v>40634</v>
      </c>
      <c r="G24" s="131">
        <f>NOW()-F24</f>
        <v/>
      </c>
      <c r="H24" s="104" t="inlineStr">
        <is>
          <t>O</t>
        </is>
      </c>
      <c r="I24" s="104" t="inlineStr">
        <is>
          <t>U</t>
        </is>
      </c>
      <c r="J24" s="104" t="n">
        <v>9</v>
      </c>
      <c r="K24" s="104" t="n">
        <v>5</v>
      </c>
      <c r="L24" s="104" t="n">
        <v>8</v>
      </c>
      <c r="M24" s="104" t="n">
        <v>4</v>
      </c>
      <c r="N24" s="104" t="n"/>
      <c r="O24" s="104">
        <f>SUM(J24:N24)</f>
        <v/>
      </c>
      <c r="P24" s="12">
        <f>O24/IF(H24="L",20,IF(H24="U",30,IF(H24="O",40,IF(H24="I",20,""))))</f>
        <v/>
      </c>
      <c r="Q24" s="132">
        <f>IF(AND(H24="L", P24&gt;=50%), "Pass",
IF(AND(H24="U", P24&gt;=60%), "Pass",
IF(AND(H24="O", P24&gt;=75%), "Pass", "Fail")))</f>
        <v/>
      </c>
      <c r="R24" s="104" t="n"/>
      <c r="S24" s="104" t="n">
        <v>15</v>
      </c>
      <c r="T24" s="104" t="n">
        <v>15</v>
      </c>
      <c r="U24" s="104">
        <f>SUM(S24:T24)</f>
        <v/>
      </c>
      <c r="V24" s="12">
        <f>U24/IF(H24="L",35,IF(H24="U",35,IF(H24="O",35,IF(H24="I",35,""))))</f>
        <v/>
      </c>
      <c r="W24" s="132">
        <f>IF(AND(H24="L", V24&gt;=50%), "Pass",
IF(AND(H24="U", V24&gt;=60%), "Pass",
IF(AND(H24="O", V24&gt;=75%), "Pass", "Fail")))</f>
        <v/>
      </c>
      <c r="X24" s="132">
        <f>IF(AND(Q24="Pass", W24="Pass"), "Pass", "Fail")</f>
        <v/>
      </c>
      <c r="Y24" s="15">
        <f>IF($X24="Pass",$H24,
IF(H24="L","I",
IF(H24="U","L",
IF(H24="O","U",
"I"))))</f>
        <v/>
      </c>
      <c r="Z24" s="82" t="n"/>
    </row>
    <row r="25">
      <c r="A25" s="147">
        <f>ROW()-2</f>
        <v/>
      </c>
      <c r="B25" s="127" t="n">
        <v>900140</v>
      </c>
      <c r="C25" s="128" t="inlineStr">
        <is>
          <t>MAHA RAJAN B</t>
        </is>
      </c>
      <c r="D25" s="127" t="inlineStr">
        <is>
          <t>PRODUCTION</t>
        </is>
      </c>
      <c r="E25" s="129" t="inlineStr">
        <is>
          <t>EXTRUDER</t>
        </is>
      </c>
      <c r="F25" s="130" t="n">
        <v>40634</v>
      </c>
      <c r="G25" s="131">
        <f>NOW()-F25</f>
        <v/>
      </c>
      <c r="H25" s="104" t="inlineStr">
        <is>
          <t>O</t>
        </is>
      </c>
      <c r="I25" s="104" t="inlineStr">
        <is>
          <t>O</t>
        </is>
      </c>
      <c r="J25" s="104" t="n">
        <v>8</v>
      </c>
      <c r="K25" s="104" t="n">
        <v>7</v>
      </c>
      <c r="L25" s="104" t="n">
        <v>10</v>
      </c>
      <c r="M25" s="104" t="n">
        <v>9</v>
      </c>
      <c r="N25" s="104" t="n"/>
      <c r="O25" s="104">
        <f>SUM(J25:N25)</f>
        <v/>
      </c>
      <c r="P25" s="12">
        <f>O25/IF(H25="L",20,IF(H25="U",30,IF(H25="O",40,IF(H25="I",20,""))))</f>
        <v/>
      </c>
      <c r="Q25" s="132">
        <f>IF(AND(H25="L", P25&gt;=50%), "Pass",
IF(AND(H25="U", P25&gt;=60%), "Pass",
IF(AND(H25="O", P25&gt;=75%), "Pass", "Fail")))</f>
        <v/>
      </c>
      <c r="R25" s="104" t="n"/>
      <c r="S25" s="104" t="n">
        <v>20</v>
      </c>
      <c r="T25" s="104" t="n">
        <v>14</v>
      </c>
      <c r="U25" s="104">
        <f>SUM(S25:T25)</f>
        <v/>
      </c>
      <c r="V25" s="12">
        <f>U25/IF(H25="L",35,IF(H25="U",35,IF(H25="O",35,IF(H25="I",35,""))))</f>
        <v/>
      </c>
      <c r="W25" s="132">
        <f>IF(AND(H25="L", V25&gt;=50%), "Pass",
IF(AND(H25="U", V25&gt;=60%), "Pass",
IF(AND(H25="O", V25&gt;=75%), "Pass", "Fail")))</f>
        <v/>
      </c>
      <c r="X25" s="132">
        <f>IF(AND(Q25="Pass", W25="Pass"), "Pass", "Fail")</f>
        <v/>
      </c>
      <c r="Y25" s="15">
        <f>IF($X25="Pass",$H25,
IF(H25="L","I",
IF(H25="U","L",
IF(H25="O","U",
"I"))))</f>
        <v/>
      </c>
    </row>
    <row r="26">
      <c r="A26" s="147">
        <f>ROW()-2</f>
        <v/>
      </c>
      <c r="B26" s="127" t="n">
        <v>900145</v>
      </c>
      <c r="C26" s="128" t="inlineStr">
        <is>
          <t>ATHIMUTHU E</t>
        </is>
      </c>
      <c r="D26" s="127" t="inlineStr">
        <is>
          <t>PRODUCTION</t>
        </is>
      </c>
      <c r="E26" s="129" t="inlineStr">
        <is>
          <t>RADIAL MARANGONI</t>
        </is>
      </c>
      <c r="F26" s="130" t="n">
        <v>40634</v>
      </c>
      <c r="G26" s="131">
        <f>NOW()-F26</f>
        <v/>
      </c>
      <c r="H26" s="104" t="inlineStr">
        <is>
          <t>O</t>
        </is>
      </c>
      <c r="I26" s="104" t="inlineStr">
        <is>
          <t>O</t>
        </is>
      </c>
      <c r="J26" s="104" t="n">
        <v>9</v>
      </c>
      <c r="K26" s="104" t="n">
        <v>9</v>
      </c>
      <c r="L26" s="104" t="n">
        <v>10</v>
      </c>
      <c r="M26" s="104" t="n">
        <v>9</v>
      </c>
      <c r="N26" s="104" t="n"/>
      <c r="O26" s="104">
        <f>SUM(J26:N26)</f>
        <v/>
      </c>
      <c r="P26" s="12">
        <f>O26/IF(H26="L",20,IF(H26="U",30,IF(H26="O",40,IF(H26="I",20,""))))</f>
        <v/>
      </c>
      <c r="Q26" s="132">
        <f>IF(AND(H26="L", P26&gt;=50%), "Pass",
IF(AND(H26="U", P26&gt;=60%), "Pass",
IF(AND(H26="O", P26&gt;=75%), "Pass", "Fail")))</f>
        <v/>
      </c>
      <c r="R26" s="104" t="n"/>
      <c r="S26" s="104" t="n">
        <v>16</v>
      </c>
      <c r="T26" s="104" t="n">
        <v>12</v>
      </c>
      <c r="U26" s="104">
        <f>SUM(S26:T26)</f>
        <v/>
      </c>
      <c r="V26" s="12">
        <f>U26/IF(H26="L",35,IF(H26="U",35,IF(H26="O",35,IF(H26="I",35,""))))</f>
        <v/>
      </c>
      <c r="W26" s="132">
        <f>IF(AND(H26="L", V26&gt;=50%), "Pass",
IF(AND(H26="U", V26&gt;=60%), "Pass",
IF(AND(H26="O", V26&gt;=75%), "Pass", "Fail")))</f>
        <v/>
      </c>
      <c r="X26" s="132">
        <f>IF(AND(Q26="Pass", W26="Pass"), "Pass", "Fail")</f>
        <v/>
      </c>
      <c r="Y26" s="15">
        <f>IF($X26="Pass",$H26,
IF(H26="L","I",
IF(H26="U","L",
IF(H26="O","U",
"I"))))</f>
        <v/>
      </c>
    </row>
    <row r="27">
      <c r="A27" s="147">
        <f>ROW()-2</f>
        <v/>
      </c>
      <c r="B27" s="127" t="n">
        <v>900146</v>
      </c>
      <c r="C27" s="128" t="inlineStr">
        <is>
          <t>PUTHIA RAJ R</t>
        </is>
      </c>
      <c r="D27" s="127" t="inlineStr">
        <is>
          <t>PRODUCTION</t>
        </is>
      </c>
      <c r="E27" s="129" t="inlineStr">
        <is>
          <t>RADIAL MARANGONI</t>
        </is>
      </c>
      <c r="F27" s="130" t="n">
        <v>40634</v>
      </c>
      <c r="G27" s="131">
        <f>NOW()-F27</f>
        <v/>
      </c>
      <c r="H27" s="104" t="inlineStr">
        <is>
          <t>O</t>
        </is>
      </c>
      <c r="I27" s="104" t="inlineStr">
        <is>
          <t>O</t>
        </is>
      </c>
      <c r="J27" s="104" t="n">
        <v>9</v>
      </c>
      <c r="K27" s="104" t="n">
        <v>9</v>
      </c>
      <c r="L27" s="104" t="n">
        <v>9</v>
      </c>
      <c r="M27" s="104" t="n">
        <v>10</v>
      </c>
      <c r="N27" s="104" t="n"/>
      <c r="O27" s="104">
        <f>SUM(J27:N27)</f>
        <v/>
      </c>
      <c r="P27" s="12">
        <f>O27/IF(H27="L",20,IF(H27="U",30,IF(H27="O",40,IF(H27="I",20,""))))</f>
        <v/>
      </c>
      <c r="Q27" s="132">
        <f>IF(AND(H27="L", P27&gt;=50%), "Pass",
IF(AND(H27="U", P27&gt;=60%), "Pass",
IF(AND(H27="O", P27&gt;=75%), "Pass", "Fail")))</f>
        <v/>
      </c>
      <c r="R27" s="104" t="n"/>
      <c r="S27" s="104" t="n">
        <v>16</v>
      </c>
      <c r="T27" s="104" t="n">
        <v>12</v>
      </c>
      <c r="U27" s="104">
        <f>SUM(S27:T27)</f>
        <v/>
      </c>
      <c r="V27" s="12">
        <f>U27/IF(H27="L",35,IF(H27="U",35,IF(H27="O",35,IF(H27="I",35,""))))</f>
        <v/>
      </c>
      <c r="W27" s="132">
        <f>IF(AND(H27="L", V27&gt;=50%), "Pass",
IF(AND(H27="U", V27&gt;=60%), "Pass",
IF(AND(H27="O", V27&gt;=75%), "Pass", "Fail")))</f>
        <v/>
      </c>
      <c r="X27" s="132">
        <f>IF(AND(Q27="Pass", W27="Pass"), "Pass", "Fail")</f>
        <v/>
      </c>
      <c r="Y27" s="15">
        <f>IF($X27="Pass",$H27,
IF(H27="L","I",
IF(H27="U","L",
IF(H27="O","U",
"I"))))</f>
        <v/>
      </c>
    </row>
    <row r="28">
      <c r="A28" s="147">
        <f>ROW()-2</f>
        <v/>
      </c>
      <c r="B28" s="127" t="n">
        <v>900147</v>
      </c>
      <c r="C28" s="128" t="inlineStr">
        <is>
          <t>VENKAT NARAYANAN S</t>
        </is>
      </c>
      <c r="D28" s="127" t="inlineStr">
        <is>
          <t>PRODUCTION</t>
        </is>
      </c>
      <c r="E28" s="129" t="inlineStr">
        <is>
          <t>BIAS MARANGONI&amp;BESTRY</t>
        </is>
      </c>
      <c r="F28" s="130" t="n">
        <v>40634</v>
      </c>
      <c r="G28" s="131">
        <f>NOW()-F28</f>
        <v/>
      </c>
      <c r="H28" s="104" t="inlineStr">
        <is>
          <t>O</t>
        </is>
      </c>
      <c r="I28" s="104" t="inlineStr">
        <is>
          <t>U</t>
        </is>
      </c>
      <c r="J28" s="104" t="n">
        <v>8</v>
      </c>
      <c r="K28" s="104" t="n">
        <v>9</v>
      </c>
      <c r="L28" s="104" t="n">
        <v>9</v>
      </c>
      <c r="M28" s="104" t="n">
        <v>8</v>
      </c>
      <c r="N28" s="104" t="n"/>
      <c r="O28" s="104">
        <f>SUM(J28:N28)</f>
        <v/>
      </c>
      <c r="P28" s="12">
        <f>O28/IF(H28="L",20,IF(H28="U",30,IF(H28="O",40,IF(H28="I",20,""))))</f>
        <v/>
      </c>
      <c r="Q28" s="132">
        <f>IF(AND(H28="L", P28&gt;=50%), "Pass",
IF(AND(H28="U", P28&gt;=60%), "Pass",
IF(AND(H28="O", P28&gt;=75%), "Pass", "Fail")))</f>
        <v/>
      </c>
      <c r="R28" s="104" t="n"/>
      <c r="S28" s="104" t="n">
        <v>15</v>
      </c>
      <c r="T28" s="104" t="n">
        <v>12</v>
      </c>
      <c r="U28" s="104">
        <f>SUM(S28:T28)</f>
        <v/>
      </c>
      <c r="V28" s="12">
        <f>U28/IF(H28="L",35,IF(H28="U",35,IF(H28="O",35,IF(H28="I",35,""))))</f>
        <v/>
      </c>
      <c r="W28" s="132">
        <f>IF(AND(H28="L", V28&gt;=50%), "Pass",
IF(AND(H28="U", V28&gt;=60%), "Pass",
IF(AND(H28="O", V28&gt;=75%), "Pass", "Fail")))</f>
        <v/>
      </c>
      <c r="X28" s="132">
        <f>IF(AND(Q28="Pass", W28="Pass"), "Pass", "Fail")</f>
        <v/>
      </c>
      <c r="Y28" s="15">
        <f>IF($X28="Pass",$H28,
IF(H28="L","I",
IF(H28="U","L",
IF(H28="O","U",
"I"))))</f>
        <v/>
      </c>
    </row>
    <row r="29">
      <c r="A29" s="147">
        <f>ROW()-2</f>
        <v/>
      </c>
      <c r="B29" s="127" t="n">
        <v>900149</v>
      </c>
      <c r="C29" s="128" t="inlineStr">
        <is>
          <t>IYYANAR M</t>
        </is>
      </c>
      <c r="D29" s="127" t="inlineStr">
        <is>
          <t>PRODUCTION</t>
        </is>
      </c>
      <c r="E29" s="129" t="inlineStr">
        <is>
          <t>BIAS MARANGONI&amp;BESTRY</t>
        </is>
      </c>
      <c r="F29" s="130" t="n">
        <v>40634</v>
      </c>
      <c r="G29" s="131">
        <f>NOW()-F29</f>
        <v/>
      </c>
      <c r="H29" s="104" t="inlineStr">
        <is>
          <t>O</t>
        </is>
      </c>
      <c r="I29" s="104" t="inlineStr">
        <is>
          <t>O</t>
        </is>
      </c>
      <c r="J29" s="104" t="n">
        <v>8</v>
      </c>
      <c r="K29" s="104" t="n">
        <v>8</v>
      </c>
      <c r="L29" s="104" t="n">
        <v>9</v>
      </c>
      <c r="M29" s="104" t="n">
        <v>8</v>
      </c>
      <c r="N29" s="104" t="n"/>
      <c r="O29" s="104">
        <f>SUM(J29:N29)</f>
        <v/>
      </c>
      <c r="P29" s="12">
        <f>O29/IF(H29="L",20,IF(H29="U",30,IF(H29="O",40,IF(H29="I",20,""))))</f>
        <v/>
      </c>
      <c r="Q29" s="132">
        <f>IF(AND(H29="L", P29&gt;=50%), "Pass",
IF(AND(H29="U", P29&gt;=60%), "Pass",
IF(AND(H29="O", P29&gt;=75%), "Pass", "Fail")))</f>
        <v/>
      </c>
      <c r="R29" s="104" t="n"/>
      <c r="S29" s="104" t="n">
        <v>16</v>
      </c>
      <c r="T29" s="104" t="n">
        <v>12</v>
      </c>
      <c r="U29" s="104">
        <f>SUM(S29:T29)</f>
        <v/>
      </c>
      <c r="V29" s="12">
        <f>U29/IF(H29="L",35,IF(H29="U",35,IF(H29="O",35,IF(H29="I",35,""))))</f>
        <v/>
      </c>
      <c r="W29" s="132">
        <f>IF(AND(H29="L", V29&gt;=50%), "Pass",
IF(AND(H29="U", V29&gt;=60%), "Pass",
IF(AND(H29="O", V29&gt;=75%), "Pass", "Fail")))</f>
        <v/>
      </c>
      <c r="X29" s="132">
        <f>IF(AND(Q29="Pass", W29="Pass"), "Pass", "Fail")</f>
        <v/>
      </c>
      <c r="Y29" s="15">
        <f>IF($X29="Pass",$H29,
IF(H29="L","I",
IF(H29="U","L",
IF(H29="O","U",
"I"))))</f>
        <v/>
      </c>
      <c r="Z29" s="82" t="n"/>
    </row>
    <row r="30">
      <c r="A30" s="147">
        <f>ROW()-2</f>
        <v/>
      </c>
      <c r="B30" s="127" t="n">
        <v>900150</v>
      </c>
      <c r="C30" s="128" t="inlineStr">
        <is>
          <t>SELVAM K</t>
        </is>
      </c>
      <c r="D30" s="127" t="inlineStr">
        <is>
          <t>PRODUCTION</t>
        </is>
      </c>
      <c r="E30" s="129" t="inlineStr">
        <is>
          <t>BIAS MARANGONI&amp;BESTRY</t>
        </is>
      </c>
      <c r="F30" s="130" t="n">
        <v>40634</v>
      </c>
      <c r="G30" s="131">
        <f>NOW()-F30</f>
        <v/>
      </c>
      <c r="H30" s="104" t="inlineStr">
        <is>
          <t>O</t>
        </is>
      </c>
      <c r="I30" s="104" t="inlineStr">
        <is>
          <t>U</t>
        </is>
      </c>
      <c r="J30" s="104" t="n">
        <v>10</v>
      </c>
      <c r="K30" s="104" t="n">
        <v>6</v>
      </c>
      <c r="L30" s="104" t="n">
        <v>5</v>
      </c>
      <c r="M30" s="104" t="n">
        <v>7</v>
      </c>
      <c r="N30" s="104" t="n"/>
      <c r="O30" s="104">
        <f>SUM(J30:N30)</f>
        <v/>
      </c>
      <c r="P30" s="12">
        <f>O30/IF(H30="L",20,IF(H30="U",30,IF(H30="O",40,IF(H30="I",20,""))))</f>
        <v/>
      </c>
      <c r="Q30" s="132">
        <f>IF(AND(H30="L", P30&gt;=50%), "Pass",
IF(AND(H30="U", P30&gt;=60%), "Pass",
IF(AND(H30="O", P30&gt;=75%), "Pass", "Fail")))</f>
        <v/>
      </c>
      <c r="R30" s="104" t="n"/>
      <c r="S30" s="104" t="n">
        <v>14</v>
      </c>
      <c r="T30" s="104" t="n">
        <v>12</v>
      </c>
      <c r="U30" s="104">
        <f>SUM(S30:T30)</f>
        <v/>
      </c>
      <c r="V30" s="12">
        <f>U30/IF(H30="L",35,IF(H30="U",35,IF(H30="O",35,IF(H30="I",35,""))))</f>
        <v/>
      </c>
      <c r="W30" s="132">
        <f>IF(AND(H30="L", V30&gt;=50%), "Pass",
IF(AND(H30="U", V30&gt;=60%), "Pass",
IF(AND(H30="O", V30&gt;=75%), "Pass", "Fail")))</f>
        <v/>
      </c>
      <c r="X30" s="132">
        <f>IF(AND(Q30="Pass", W30="Pass"), "Pass", "Fail")</f>
        <v/>
      </c>
      <c r="Y30" s="15">
        <f>IF($X30="Pass",$H30,
IF(H30="L","I",
IF(H30="U","L",
IF(H30="O","U",
"I"))))</f>
        <v/>
      </c>
    </row>
    <row r="31">
      <c r="A31" s="147">
        <f>ROW()-2</f>
        <v/>
      </c>
      <c r="B31" s="127" t="n">
        <v>900151</v>
      </c>
      <c r="C31" s="128" t="inlineStr">
        <is>
          <t>SANKARA PANDI R</t>
        </is>
      </c>
      <c r="D31" s="127" t="inlineStr">
        <is>
          <t>PRODUCTION</t>
        </is>
      </c>
      <c r="E31" s="129" t="inlineStr">
        <is>
          <t>BIAS MARANGONI&amp;BESTRY</t>
        </is>
      </c>
      <c r="F31" s="130" t="n">
        <v>40634</v>
      </c>
      <c r="G31" s="131">
        <f>NOW()-F31</f>
        <v/>
      </c>
      <c r="H31" s="104" t="inlineStr">
        <is>
          <t>O</t>
        </is>
      </c>
      <c r="I31" s="104" t="inlineStr">
        <is>
          <t>U</t>
        </is>
      </c>
      <c r="J31" s="104" t="n">
        <v>7</v>
      </c>
      <c r="K31" s="104" t="n">
        <v>7</v>
      </c>
      <c r="L31" s="104" t="n">
        <v>5</v>
      </c>
      <c r="M31" s="104" t="n">
        <v>6</v>
      </c>
      <c r="N31" s="104" t="n"/>
      <c r="O31" s="104">
        <f>SUM(J31:N31)</f>
        <v/>
      </c>
      <c r="P31" s="12">
        <f>O31/IF(H31="L",20,IF(H31="U",30,IF(H31="O",40,IF(H31="I",20,""))))</f>
        <v/>
      </c>
      <c r="Q31" s="132">
        <f>IF(AND(H31="L", P31&gt;=50%), "Pass",
IF(AND(H31="U", P31&gt;=60%), "Pass",
IF(AND(H31="O", P31&gt;=75%), "Pass", "Fail")))</f>
        <v/>
      </c>
      <c r="R31" s="104" t="n"/>
      <c r="S31" s="104" t="n">
        <v>12</v>
      </c>
      <c r="T31" s="104" t="n">
        <v>9</v>
      </c>
      <c r="U31" s="104">
        <f>SUM(S31:T31)</f>
        <v/>
      </c>
      <c r="V31" s="12">
        <f>U31/IF(H31="L",35,IF(H31="U",35,IF(H31="O",35,IF(H31="I",35,""))))</f>
        <v/>
      </c>
      <c r="W31" s="132">
        <f>IF(AND(H31="L", V31&gt;=50%), "Pass",
IF(AND(H31="U", V31&gt;=60%), "Pass",
IF(AND(H31="O", V31&gt;=75%), "Pass", "Fail")))</f>
        <v/>
      </c>
      <c r="X31" s="132">
        <f>IF(AND(Q31="Pass", W31="Pass"), "Pass", "Fail")</f>
        <v/>
      </c>
      <c r="Y31" s="15">
        <f>IF($X31="Pass",$H31,
IF(H31="L","I",
IF(H31="U","L",
IF(H31="O","U",
"I"))))</f>
        <v/>
      </c>
    </row>
    <row r="32">
      <c r="A32" s="147">
        <f>ROW()-2</f>
        <v/>
      </c>
      <c r="B32" s="127" t="n">
        <v>900152</v>
      </c>
      <c r="C32" s="128" t="inlineStr">
        <is>
          <t>SAKTHI VEL M</t>
        </is>
      </c>
      <c r="D32" s="127" t="inlineStr">
        <is>
          <t>PRODUCTION</t>
        </is>
      </c>
      <c r="E32" s="129" t="inlineStr">
        <is>
          <t>RADIAL MARANGONI</t>
        </is>
      </c>
      <c r="F32" s="130" t="n">
        <v>40634</v>
      </c>
      <c r="G32" s="131">
        <f>NOW()-F32</f>
        <v/>
      </c>
      <c r="H32" s="104" t="inlineStr">
        <is>
          <t>O</t>
        </is>
      </c>
      <c r="I32" s="104" t="inlineStr">
        <is>
          <t>O</t>
        </is>
      </c>
      <c r="J32" s="104" t="n">
        <v>9</v>
      </c>
      <c r="K32" s="104" t="n">
        <v>9</v>
      </c>
      <c r="L32" s="104" t="n">
        <v>9</v>
      </c>
      <c r="M32" s="104" t="n">
        <v>10</v>
      </c>
      <c r="N32" s="104" t="n"/>
      <c r="O32" s="104">
        <f>SUM(J32:N32)</f>
        <v/>
      </c>
      <c r="P32" s="12">
        <f>O32/IF(H32="L",20,IF(H32="U",30,IF(H32="O",40,IF(H32="I",20,""))))</f>
        <v/>
      </c>
      <c r="Q32" s="132">
        <f>IF(AND(H32="L", P32&gt;=50%), "Pass",
IF(AND(H32="U", P32&gt;=60%), "Pass",
IF(AND(H32="O", P32&gt;=75%), "Pass", "Fail")))</f>
        <v/>
      </c>
      <c r="R32" s="104" t="n"/>
      <c r="S32" s="104" t="n">
        <v>16</v>
      </c>
      <c r="T32" s="104" t="n">
        <v>12</v>
      </c>
      <c r="U32" s="104">
        <f>SUM(S32:T32)</f>
        <v/>
      </c>
      <c r="V32" s="12">
        <f>U32/IF(H32="L",35,IF(H32="U",35,IF(H32="O",35,IF(H32="I",35,""))))</f>
        <v/>
      </c>
      <c r="W32" s="132">
        <f>IF(AND(H32="L", V32&gt;=50%), "Pass",
IF(AND(H32="U", V32&gt;=60%), "Pass",
IF(AND(H32="O", V32&gt;=75%), "Pass", "Fail")))</f>
        <v/>
      </c>
      <c r="X32" s="132">
        <f>IF(AND(Q32="Pass", W32="Pass"), "Pass", "Fail")</f>
        <v/>
      </c>
      <c r="Y32" s="15">
        <f>IF($X32="Pass",$H32,
IF(H32="L","I",
IF(H32="U","L",
IF(H32="O","U",
"I"))))</f>
        <v/>
      </c>
      <c r="Z32" s="82" t="n"/>
    </row>
    <row r="33">
      <c r="A33" s="147">
        <f>ROW()-2</f>
        <v/>
      </c>
      <c r="B33" s="127" t="n">
        <v>900154</v>
      </c>
      <c r="C33" s="128" t="inlineStr">
        <is>
          <t>SUBRAMANIAN K</t>
        </is>
      </c>
      <c r="D33" s="127" t="inlineStr">
        <is>
          <t>PRODUCTION</t>
        </is>
      </c>
      <c r="E33" s="129" t="inlineStr">
        <is>
          <t>BIAS MARANGONI&amp;BESTRY</t>
        </is>
      </c>
      <c r="F33" s="130" t="n">
        <v>40634</v>
      </c>
      <c r="G33" s="131">
        <f>NOW()-F33</f>
        <v/>
      </c>
      <c r="H33" s="104" t="inlineStr">
        <is>
          <t>O</t>
        </is>
      </c>
      <c r="I33" s="104" t="inlineStr">
        <is>
          <t>U</t>
        </is>
      </c>
      <c r="J33" s="104" t="n">
        <v>10</v>
      </c>
      <c r="K33" s="104" t="n">
        <v>9</v>
      </c>
      <c r="L33" s="104" t="n">
        <v>6</v>
      </c>
      <c r="M33" s="104" t="n">
        <v>8</v>
      </c>
      <c r="N33" s="104" t="n"/>
      <c r="O33" s="104">
        <f>SUM(J33:N33)</f>
        <v/>
      </c>
      <c r="P33" s="12">
        <f>O33/IF(H33="L",20,IF(H33="U",30,IF(H33="O",40,IF(H33="I",20,""))))</f>
        <v/>
      </c>
      <c r="Q33" s="132">
        <f>IF(AND(H33="L", P33&gt;=50%), "Pass",
IF(AND(H33="U", P33&gt;=60%), "Pass",
IF(AND(H33="O", P33&gt;=75%), "Pass", "Fail")))</f>
        <v/>
      </c>
      <c r="R33" s="104" t="n"/>
      <c r="S33" s="104" t="n">
        <v>15</v>
      </c>
      <c r="T33" s="104" t="n">
        <v>12</v>
      </c>
      <c r="U33" s="104">
        <f>SUM(S33:T33)</f>
        <v/>
      </c>
      <c r="V33" s="12">
        <f>U33/IF(H33="L",35,IF(H33="U",35,IF(H33="O",35,IF(H33="I",35,""))))</f>
        <v/>
      </c>
      <c r="W33" s="132">
        <f>IF(AND(H33="L", V33&gt;=50%), "Pass",
IF(AND(H33="U", V33&gt;=60%), "Pass",
IF(AND(H33="O", V33&gt;=75%), "Pass", "Fail")))</f>
        <v/>
      </c>
      <c r="X33" s="132">
        <f>IF(AND(Q33="Pass", W33="Pass"), "Pass", "Fail")</f>
        <v/>
      </c>
      <c r="Y33" s="15">
        <f>IF($X33="Pass",$H33,
IF(H33="L","I",
IF(H33="U","L",
IF(H33="O","U",
"I"))))</f>
        <v/>
      </c>
    </row>
    <row r="34">
      <c r="A34" s="147">
        <f>ROW()-2</f>
        <v/>
      </c>
      <c r="B34" s="127" t="n">
        <v>900155</v>
      </c>
      <c r="C34" s="128" t="inlineStr">
        <is>
          <t>DANIEL ELANGO P</t>
        </is>
      </c>
      <c r="D34" s="127" t="inlineStr">
        <is>
          <t>PRODUCTION</t>
        </is>
      </c>
      <c r="E34" s="129" t="inlineStr">
        <is>
          <t>RADIAL MARANGONI</t>
        </is>
      </c>
      <c r="F34" s="130" t="n">
        <v>40634</v>
      </c>
      <c r="G34" s="131">
        <f>NOW()-F34</f>
        <v/>
      </c>
      <c r="H34" s="104" t="inlineStr">
        <is>
          <t>O</t>
        </is>
      </c>
      <c r="I34" s="104" t="inlineStr">
        <is>
          <t>O</t>
        </is>
      </c>
      <c r="J34" s="104" t="n">
        <v>10</v>
      </c>
      <c r="K34" s="104" t="n">
        <v>10</v>
      </c>
      <c r="L34" s="104" t="n">
        <v>10</v>
      </c>
      <c r="M34" s="104" t="n">
        <v>10</v>
      </c>
      <c r="N34" s="104" t="n"/>
      <c r="O34" s="104">
        <f>SUM(J34:N34)</f>
        <v/>
      </c>
      <c r="P34" s="12">
        <f>O34/IF(H34="L",20,IF(H34="U",30,IF(H34="O",40,IF(H34="I",20,""))))</f>
        <v/>
      </c>
      <c r="Q34" s="132">
        <f>IF(AND(H34="L", P34&gt;=50%), "Pass",
IF(AND(H34="U", P34&gt;=60%), "Pass",
IF(AND(H34="O", P34&gt;=75%), "Pass", "Fail")))</f>
        <v/>
      </c>
      <c r="R34" s="104" t="n"/>
      <c r="S34" s="104" t="n">
        <v>16</v>
      </c>
      <c r="T34" s="104" t="n">
        <v>12</v>
      </c>
      <c r="U34" s="104">
        <f>SUM(S34:T34)</f>
        <v/>
      </c>
      <c r="V34" s="12">
        <f>U34/IF(H34="L",35,IF(H34="U",35,IF(H34="O",35,IF(H34="I",35,""))))</f>
        <v/>
      </c>
      <c r="W34" s="132">
        <f>IF(AND(H34="L", V34&gt;=50%), "Pass",
IF(AND(H34="U", V34&gt;=60%), "Pass",
IF(AND(H34="O", V34&gt;=75%), "Pass", "Fail")))</f>
        <v/>
      </c>
      <c r="X34" s="132">
        <f>IF(AND(Q34="Pass", W34="Pass"), "Pass", "Fail")</f>
        <v/>
      </c>
      <c r="Y34" s="15">
        <f>IF($X34="Pass",$H34,
IF(H34="L","I",
IF(H34="U","L",
IF(H34="O","U",
"I"))))</f>
        <v/>
      </c>
    </row>
    <row r="35">
      <c r="A35" s="147">
        <f>ROW()-2</f>
        <v/>
      </c>
      <c r="B35" s="127" t="n">
        <v>900156</v>
      </c>
      <c r="C35" s="128" t="inlineStr">
        <is>
          <t>SANKAR V</t>
        </is>
      </c>
      <c r="D35" s="127" t="inlineStr">
        <is>
          <t>PRODUCTION</t>
        </is>
      </c>
      <c r="E35" s="129" t="inlineStr">
        <is>
          <t>RADIAL MARANGONI</t>
        </is>
      </c>
      <c r="F35" s="130" t="n">
        <v>40634</v>
      </c>
      <c r="G35" s="131">
        <f>NOW()-F35</f>
        <v/>
      </c>
      <c r="H35" s="104" t="inlineStr">
        <is>
          <t>O</t>
        </is>
      </c>
      <c r="I35" s="104" t="inlineStr">
        <is>
          <t>O</t>
        </is>
      </c>
      <c r="J35" s="104" t="n">
        <v>9</v>
      </c>
      <c r="K35" s="104" t="n">
        <v>10</v>
      </c>
      <c r="L35" s="104" t="n">
        <v>9</v>
      </c>
      <c r="M35" s="104" t="n">
        <v>10</v>
      </c>
      <c r="N35" s="104" t="n"/>
      <c r="O35" s="104">
        <f>SUM(J35:N35)</f>
        <v/>
      </c>
      <c r="P35" s="12">
        <f>O35/IF(H35="L",20,IF(H35="U",30,IF(H35="O",40,IF(H35="I",20,""))))</f>
        <v/>
      </c>
      <c r="Q35" s="132">
        <f>IF(AND(H35="L", P35&gt;=50%), "Pass",
IF(AND(H35="U", P35&gt;=60%), "Pass",
IF(AND(H35="O", P35&gt;=75%), "Pass", "Fail")))</f>
        <v/>
      </c>
      <c r="R35" s="104" t="n"/>
      <c r="S35" s="104" t="n">
        <v>16</v>
      </c>
      <c r="T35" s="104" t="n">
        <v>12</v>
      </c>
      <c r="U35" s="104">
        <f>SUM(S35:T35)</f>
        <v/>
      </c>
      <c r="V35" s="12">
        <f>U35/IF(H35="L",35,IF(H35="U",35,IF(H35="O",35,IF(H35="I",35,""))))</f>
        <v/>
      </c>
      <c r="W35" s="132">
        <f>IF(AND(H35="L", V35&gt;=50%), "Pass",
IF(AND(H35="U", V35&gt;=60%), "Pass",
IF(AND(H35="O", V35&gt;=75%), "Pass", "Fail")))</f>
        <v/>
      </c>
      <c r="X35" s="132">
        <f>IF(AND(Q35="Pass", W35="Pass"), "Pass", "Fail")</f>
        <v/>
      </c>
      <c r="Y35" s="15">
        <f>IF($X35="Pass",$H35,
IF(H35="L","I",
IF(H35="U","L",
IF(H35="O","U",
"I"))))</f>
        <v/>
      </c>
      <c r="Z35" s="82" t="n"/>
    </row>
    <row r="36">
      <c r="A36" s="147">
        <f>ROW()-2</f>
        <v/>
      </c>
      <c r="B36" s="127" t="n">
        <v>900157</v>
      </c>
      <c r="C36" s="128" t="inlineStr">
        <is>
          <t>MURUGAN E</t>
        </is>
      </c>
      <c r="D36" s="127" t="inlineStr">
        <is>
          <t>PRODUCTION</t>
        </is>
      </c>
      <c r="E36" s="129" t="inlineStr">
        <is>
          <t>RADIAL MARANGONI</t>
        </is>
      </c>
      <c r="F36" s="130" t="n">
        <v>40634</v>
      </c>
      <c r="G36" s="131">
        <f>NOW()-F36</f>
        <v/>
      </c>
      <c r="H36" s="104" t="inlineStr">
        <is>
          <t>O</t>
        </is>
      </c>
      <c r="I36" s="104" t="inlineStr">
        <is>
          <t>O</t>
        </is>
      </c>
      <c r="J36" s="104" t="n">
        <v>9</v>
      </c>
      <c r="K36" s="104" t="n">
        <v>6</v>
      </c>
      <c r="L36" s="104" t="n">
        <v>9</v>
      </c>
      <c r="M36" s="104" t="n">
        <v>7</v>
      </c>
      <c r="N36" s="104" t="n"/>
      <c r="O36" s="104">
        <f>SUM(J36:N36)</f>
        <v/>
      </c>
      <c r="P36" s="12">
        <f>O36/IF(H36="L",20,IF(H36="U",30,IF(H36="O",40,IF(H36="I",20,""))))</f>
        <v/>
      </c>
      <c r="Q36" s="132">
        <f>IF(AND(H36="L", P36&gt;=50%), "Pass",
IF(AND(H36="U", P36&gt;=60%), "Pass",
IF(AND(H36="O", P36&gt;=75%), "Pass", "Fail")))</f>
        <v/>
      </c>
      <c r="R36" s="104" t="n"/>
      <c r="S36" s="104" t="n">
        <v>15</v>
      </c>
      <c r="T36" s="104" t="n">
        <v>12</v>
      </c>
      <c r="U36" s="104">
        <f>SUM(S36:T36)</f>
        <v/>
      </c>
      <c r="V36" s="12">
        <f>U36/IF(H36="L",35,IF(H36="U",35,IF(H36="O",35,IF(H36="I",35,""))))</f>
        <v/>
      </c>
      <c r="W36" s="132">
        <f>IF(AND(H36="L", V36&gt;=50%), "Pass",
IF(AND(H36="U", V36&gt;=60%), "Pass",
IF(AND(H36="O", V36&gt;=75%), "Pass", "Fail")))</f>
        <v/>
      </c>
      <c r="X36" s="132">
        <f>IF(AND(Q36="Pass", W36="Pass"), "Pass", "Fail")</f>
        <v/>
      </c>
      <c r="Y36" s="15">
        <f>IF($X36="Pass",$H36,
IF(H36="L","I",
IF(H36="U","L",
IF(H36="O","U",
"I"))))</f>
        <v/>
      </c>
    </row>
    <row r="37">
      <c r="A37" s="147">
        <f>ROW()-2</f>
        <v/>
      </c>
      <c r="B37" s="127" t="n">
        <v>900159</v>
      </c>
      <c r="C37" s="128" t="inlineStr">
        <is>
          <t>RAJA S P</t>
        </is>
      </c>
      <c r="D37" s="127" t="inlineStr">
        <is>
          <t>PRODUCTION</t>
        </is>
      </c>
      <c r="E37" s="129" t="inlineStr">
        <is>
          <t>BIAS MARANGONI&amp;BESTRY</t>
        </is>
      </c>
      <c r="F37" s="130" t="n">
        <v>40634</v>
      </c>
      <c r="G37" s="131">
        <f>NOW()-F37</f>
        <v/>
      </c>
      <c r="H37" s="104" t="inlineStr">
        <is>
          <t>O</t>
        </is>
      </c>
      <c r="I37" s="104" t="inlineStr">
        <is>
          <t>U</t>
        </is>
      </c>
      <c r="J37" s="104" t="n">
        <v>6</v>
      </c>
      <c r="K37" s="104" t="n">
        <v>2</v>
      </c>
      <c r="L37" s="104" t="n">
        <v>3</v>
      </c>
      <c r="M37" s="104" t="n">
        <v>2</v>
      </c>
      <c r="N37" s="104" t="n"/>
      <c r="O37" s="104">
        <f>SUM(J37:N37)</f>
        <v/>
      </c>
      <c r="P37" s="12">
        <f>O37/IF(H37="L",20,IF(H37="U",30,IF(H37="O",40,IF(H37="I",20,""))))</f>
        <v/>
      </c>
      <c r="Q37" s="132">
        <f>IF(AND(H37="L", P37&gt;=50%), "Pass",
IF(AND(H37="U", P37&gt;=60%), "Pass",
IF(AND(H37="O", P37&gt;=75%), "Pass", "Fail")))</f>
        <v/>
      </c>
      <c r="R37" s="104" t="n"/>
      <c r="S37" s="104" t="n">
        <v>11</v>
      </c>
      <c r="T37" s="104" t="n">
        <v>12</v>
      </c>
      <c r="U37" s="104">
        <f>SUM(S37:T37)</f>
        <v/>
      </c>
      <c r="V37" s="12">
        <f>U37/IF(H37="L",35,IF(H37="U",35,IF(H37="O",35,IF(H37="I",35,""))))</f>
        <v/>
      </c>
      <c r="W37" s="132">
        <f>IF(AND(H37="L", V37&gt;=50%), "Pass",
IF(AND(H37="U", V37&gt;=60%), "Pass",
IF(AND(H37="O", V37&gt;=75%), "Pass", "Fail")))</f>
        <v/>
      </c>
      <c r="X37" s="132">
        <f>IF(AND(Q37="Pass", W37="Pass"), "Pass", "Fail")</f>
        <v/>
      </c>
      <c r="Y37" s="15">
        <f>IF($X37="Pass",$H37,
IF(H37="L","I",
IF(H37="U","L",
IF(H37="O","U",
"I"))))</f>
        <v/>
      </c>
    </row>
    <row r="38">
      <c r="A38" s="147">
        <f>ROW()-2</f>
        <v/>
      </c>
      <c r="B38" s="127" t="n">
        <v>900160</v>
      </c>
      <c r="C38" s="128" t="inlineStr">
        <is>
          <t>NALLA  MADASAMY N</t>
        </is>
      </c>
      <c r="D38" s="127" t="inlineStr">
        <is>
          <t>PRODUCTION</t>
        </is>
      </c>
      <c r="E38" s="129" t="inlineStr">
        <is>
          <t>RADIAL MARANGONI</t>
        </is>
      </c>
      <c r="F38" s="130" t="n">
        <v>40634</v>
      </c>
      <c r="G38" s="131">
        <f>NOW()-F38</f>
        <v/>
      </c>
      <c r="H38" s="104" t="inlineStr">
        <is>
          <t>O</t>
        </is>
      </c>
      <c r="I38" s="104" t="inlineStr">
        <is>
          <t>O</t>
        </is>
      </c>
      <c r="J38" s="104" t="n">
        <v>9</v>
      </c>
      <c r="K38" s="104" t="n">
        <v>9</v>
      </c>
      <c r="L38" s="104" t="n">
        <v>9</v>
      </c>
      <c r="M38" s="104" t="n">
        <v>10</v>
      </c>
      <c r="N38" s="104" t="n"/>
      <c r="O38" s="104">
        <f>SUM(J38:N38)</f>
        <v/>
      </c>
      <c r="P38" s="12">
        <f>O38/IF(H38="L",20,IF(H38="U",30,IF(H38="O",40,IF(H38="I",20,""))))</f>
        <v/>
      </c>
      <c r="Q38" s="132">
        <f>IF(AND(H38="L", P38&gt;=50%), "Pass",
IF(AND(H38="U", P38&gt;=60%), "Pass",
IF(AND(H38="O", P38&gt;=75%), "Pass", "Fail")))</f>
        <v/>
      </c>
      <c r="R38" s="104" t="n"/>
      <c r="S38" s="104" t="n">
        <v>15</v>
      </c>
      <c r="T38" s="104" t="n">
        <v>12</v>
      </c>
      <c r="U38" s="104">
        <f>SUM(S38:T38)</f>
        <v/>
      </c>
      <c r="V38" s="12">
        <f>U38/IF(H38="L",35,IF(H38="U",35,IF(H38="O",35,IF(H38="I",35,""))))</f>
        <v/>
      </c>
      <c r="W38" s="132">
        <f>IF(AND(H38="L", V38&gt;=50%), "Pass",
IF(AND(H38="U", V38&gt;=60%), "Pass",
IF(AND(H38="O", V38&gt;=75%), "Pass", "Fail")))</f>
        <v/>
      </c>
      <c r="X38" s="132">
        <f>IF(AND(Q38="Pass", W38="Pass"), "Pass", "Fail")</f>
        <v/>
      </c>
      <c r="Y38" s="15">
        <f>IF($X38="Pass",$H38,
IF(H38="L","I",
IF(H38="U","L",
IF(H38="O","U",
"I"))))</f>
        <v/>
      </c>
    </row>
    <row r="39">
      <c r="A39" s="147">
        <f>ROW()-2</f>
        <v/>
      </c>
      <c r="B39" s="133" t="n">
        <v>900161</v>
      </c>
      <c r="C39" s="148" t="inlineStr">
        <is>
          <t>MASANAM P</t>
        </is>
      </c>
      <c r="D39" s="127" t="inlineStr">
        <is>
          <t>PRODUCTION</t>
        </is>
      </c>
      <c r="E39" s="135" t="inlineStr">
        <is>
          <t>MIXING</t>
        </is>
      </c>
      <c r="F39" s="136" t="n">
        <v>40634</v>
      </c>
      <c r="G39" s="131">
        <f>NOW()-F39</f>
        <v/>
      </c>
      <c r="H39" s="104" t="inlineStr">
        <is>
          <t>O</t>
        </is>
      </c>
      <c r="I39" s="104" t="inlineStr">
        <is>
          <t>U</t>
        </is>
      </c>
      <c r="J39" s="104" t="inlineStr">
        <is>
          <t>NIL</t>
        </is>
      </c>
      <c r="K39" s="104" t="n"/>
      <c r="L39" s="104" t="n"/>
      <c r="M39" s="104" t="n"/>
      <c r="N39" s="104" t="n"/>
      <c r="O39" s="104" t="n"/>
      <c r="P39" s="12">
        <f>O39/IF(H39="L",20,IF(H39="U",30,IF(H39="O",40,IF(H39="I",20,""))))</f>
        <v/>
      </c>
      <c r="Q39" s="132">
        <f>IF(AND(H39="L", P39&gt;=50%), "Pass",
IF(AND(H39="U", P39&gt;=60%), "Pass",
IF(AND(H39="O", P39&gt;=75%), "Pass", "Fail")))</f>
        <v/>
      </c>
      <c r="R39" s="104" t="n"/>
      <c r="S39" s="104" t="n">
        <v>14</v>
      </c>
      <c r="T39" s="104" t="n">
        <v>11</v>
      </c>
      <c r="U39" s="104">
        <f>SUM(S39:T39)</f>
        <v/>
      </c>
      <c r="V39" s="12">
        <f>U39/IF(H39="L",35,IF(H39="U",35,IF(H39="O",35,IF(H39="I",35,""))))</f>
        <v/>
      </c>
      <c r="W39" s="132">
        <f>IF(AND(H39="L", V39&gt;=50%), "Pass",
IF(AND(H39="U", V39&gt;=60%), "Pass",
IF(AND(H39="O", V39&gt;=75%), "Pass", "Fail")))</f>
        <v/>
      </c>
      <c r="X39" s="132">
        <f>IF(AND(Q39="Pass", W39="Pass"), "Pass", "Fail")</f>
        <v/>
      </c>
      <c r="Y39" s="15">
        <f>IF($X39="Pass",$H39,
IF(H39="L","I",
IF(H39="U","L",
IF(H39="O","U",
"I"))))</f>
        <v/>
      </c>
    </row>
    <row r="40">
      <c r="A40" s="147">
        <f>ROW()-2</f>
        <v/>
      </c>
      <c r="B40" s="133" t="n">
        <v>900162</v>
      </c>
      <c r="C40" s="148" t="inlineStr">
        <is>
          <t>THIRUNAVUKKARASU A</t>
        </is>
      </c>
      <c r="D40" s="127" t="inlineStr">
        <is>
          <t>PRODUCTION</t>
        </is>
      </c>
      <c r="E40" s="135" t="inlineStr">
        <is>
          <t>MIXING</t>
        </is>
      </c>
      <c r="F40" s="136" t="n">
        <v>40634</v>
      </c>
      <c r="G40" s="131">
        <f>NOW()-F40</f>
        <v/>
      </c>
      <c r="H40" s="104" t="inlineStr">
        <is>
          <t>O</t>
        </is>
      </c>
      <c r="I40" s="104" t="inlineStr">
        <is>
          <t>U</t>
        </is>
      </c>
      <c r="J40" s="104" t="inlineStr">
        <is>
          <t>NIL</t>
        </is>
      </c>
      <c r="K40" s="104" t="n"/>
      <c r="L40" s="104" t="n"/>
      <c r="M40" s="104" t="n"/>
      <c r="N40" s="104" t="n"/>
      <c r="O40" s="104" t="n"/>
      <c r="P40" s="12">
        <f>O40/IF(H40="L",20,IF(H40="U",30,IF(H40="O",40,IF(H40="I",20,""))))</f>
        <v/>
      </c>
      <c r="Q40" s="132">
        <f>IF(AND(H40="L", P40&gt;=50%), "Pass",
IF(AND(H40="U", P40&gt;=60%), "Pass",
IF(AND(H40="O", P40&gt;=75%), "Pass", "Fail")))</f>
        <v/>
      </c>
      <c r="R40" s="104" t="n"/>
      <c r="S40" s="104" t="n">
        <v>16</v>
      </c>
      <c r="T40" s="104" t="n">
        <v>12</v>
      </c>
      <c r="U40" s="104">
        <f>SUM(S40:T40)</f>
        <v/>
      </c>
      <c r="V40" s="12">
        <f>U40/IF(H40="L",35,IF(H40="U",35,IF(H40="O",35,IF(H40="I",35,""))))</f>
        <v/>
      </c>
      <c r="W40" s="132">
        <f>IF(AND(H40="L", V40&gt;=50%), "Pass",
IF(AND(H40="U", V40&gt;=60%), "Pass",
IF(AND(H40="O", V40&gt;=75%), "Pass", "Fail")))</f>
        <v/>
      </c>
      <c r="X40" s="132">
        <f>IF(AND(Q40="Pass", W40="Pass"), "Pass", "Fail")</f>
        <v/>
      </c>
      <c r="Y40" s="15">
        <f>IF($X40="Pass",$H40,
IF(H40="L","I",
IF(H40="U","L",
IF(H40="O","U",
"I"))))</f>
        <v/>
      </c>
    </row>
    <row r="41">
      <c r="A41" s="147">
        <f>ROW()-2</f>
        <v/>
      </c>
      <c r="B41" s="133" t="n">
        <v>900163</v>
      </c>
      <c r="C41" s="148" t="inlineStr">
        <is>
          <t>NARAYANAN A</t>
        </is>
      </c>
      <c r="D41" s="127" t="inlineStr">
        <is>
          <t>PRODUCTION</t>
        </is>
      </c>
      <c r="E41" s="135" t="inlineStr">
        <is>
          <t>MIXING</t>
        </is>
      </c>
      <c r="F41" s="136" t="n">
        <v>40634</v>
      </c>
      <c r="G41" s="131">
        <f>NOW()-F41</f>
        <v/>
      </c>
      <c r="H41" s="104" t="inlineStr">
        <is>
          <t>O</t>
        </is>
      </c>
      <c r="I41" s="104" t="inlineStr">
        <is>
          <t>U</t>
        </is>
      </c>
      <c r="J41" s="104" t="inlineStr">
        <is>
          <t>NIL</t>
        </is>
      </c>
      <c r="K41" s="104" t="n"/>
      <c r="L41" s="104" t="n"/>
      <c r="M41" s="104" t="n"/>
      <c r="N41" s="104" t="n"/>
      <c r="O41" s="104" t="n"/>
      <c r="P41" s="12">
        <f>O41/IF(H41="L",20,IF(H41="U",30,IF(H41="O",40,IF(H41="I",20,""))))</f>
        <v/>
      </c>
      <c r="Q41" s="132">
        <f>IF(AND(H41="L", P41&gt;=50%), "Pass",
IF(AND(H41="U", P41&gt;=60%), "Pass",
IF(AND(H41="O", P41&gt;=75%), "Pass", "Fail")))</f>
        <v/>
      </c>
      <c r="R41" s="104" t="n"/>
      <c r="S41" s="104" t="n">
        <v>15</v>
      </c>
      <c r="T41" s="104" t="n">
        <v>12</v>
      </c>
      <c r="U41" s="104">
        <f>SUM(S41:T41)</f>
        <v/>
      </c>
      <c r="V41" s="12">
        <f>U41/IF(H41="L",35,IF(H41="U",35,IF(H41="O",35,IF(H41="I",35,""))))</f>
        <v/>
      </c>
      <c r="W41" s="132">
        <f>IF(AND(H41="L", V41&gt;=50%), "Pass",
IF(AND(H41="U", V41&gt;=60%), "Pass",
IF(AND(H41="O", V41&gt;=75%), "Pass", "Fail")))</f>
        <v/>
      </c>
      <c r="X41" s="132">
        <f>IF(AND(Q41="Pass", W41="Pass"), "Pass", "Fail")</f>
        <v/>
      </c>
      <c r="Y41" s="15">
        <f>IF($X41="Pass",$H41,
IF(H41="L","I",
IF(H41="U","L",
IF(H41="O","U",
"I"))))</f>
        <v/>
      </c>
    </row>
    <row r="42">
      <c r="A42" s="147">
        <f>ROW()-2</f>
        <v/>
      </c>
      <c r="B42" s="133" t="n">
        <v>900164</v>
      </c>
      <c r="C42" s="148" t="inlineStr">
        <is>
          <t>RAMESH T</t>
        </is>
      </c>
      <c r="D42" s="127" t="inlineStr">
        <is>
          <t>PRODUCTION</t>
        </is>
      </c>
      <c r="E42" s="135" t="inlineStr">
        <is>
          <t>MIXING</t>
        </is>
      </c>
      <c r="F42" s="136" t="n">
        <v>40634</v>
      </c>
      <c r="G42" s="131">
        <f>NOW()-F42</f>
        <v/>
      </c>
      <c r="H42" s="104" t="inlineStr">
        <is>
          <t>O</t>
        </is>
      </c>
      <c r="I42" s="104" t="inlineStr">
        <is>
          <t>U</t>
        </is>
      </c>
      <c r="J42" s="104" t="inlineStr">
        <is>
          <t>NIL</t>
        </is>
      </c>
      <c r="K42" s="104" t="n"/>
      <c r="L42" s="104" t="n"/>
      <c r="M42" s="104" t="n"/>
      <c r="N42" s="104" t="n"/>
      <c r="O42" s="104" t="n"/>
      <c r="P42" s="12">
        <f>O42/IF(H42="L",20,IF(H42="U",30,IF(H42="O",40,IF(H42="I",20,""))))</f>
        <v/>
      </c>
      <c r="Q42" s="132">
        <f>IF(AND(H42="L", P42&gt;=50%), "Pass",
IF(AND(H42="U", P42&gt;=60%), "Pass",
IF(AND(H42="O", P42&gt;=75%), "Pass", "Fail")))</f>
        <v/>
      </c>
      <c r="R42" s="104" t="n"/>
      <c r="S42" s="104" t="n">
        <v>15</v>
      </c>
      <c r="T42" s="104" t="n">
        <v>11</v>
      </c>
      <c r="U42" s="104">
        <f>SUM(S42:T42)</f>
        <v/>
      </c>
      <c r="V42" s="12">
        <f>U42/IF(H42="L",35,IF(H42="U",35,IF(H42="O",35,IF(H42="I",35,""))))</f>
        <v/>
      </c>
      <c r="W42" s="132">
        <f>IF(AND(H42="L", V42&gt;=50%), "Pass",
IF(AND(H42="U", V42&gt;=60%), "Pass",
IF(AND(H42="O", V42&gt;=75%), "Pass", "Fail")))</f>
        <v/>
      </c>
      <c r="X42" s="132">
        <f>IF(AND(Q42="Pass", W42="Pass"), "Pass", "Fail")</f>
        <v/>
      </c>
      <c r="Y42" s="15">
        <f>IF($X42="Pass",$H42,
IF(H42="L","I",
IF(H42="U","L",
IF(H42="O","U",
"I"))))</f>
        <v/>
      </c>
    </row>
    <row r="43">
      <c r="A43" s="147">
        <f>ROW()-2</f>
        <v/>
      </c>
      <c r="B43" s="127" t="n">
        <v>900165</v>
      </c>
      <c r="C43" s="128" t="inlineStr">
        <is>
          <t>MUTHU KUMAR G</t>
        </is>
      </c>
      <c r="D43" s="127" t="inlineStr">
        <is>
          <t>PRODUCTION</t>
        </is>
      </c>
      <c r="E43" s="129" t="inlineStr">
        <is>
          <t>3 ROLL-P2</t>
        </is>
      </c>
      <c r="F43" s="130" t="n">
        <v>40634</v>
      </c>
      <c r="G43" s="131">
        <f>NOW()-F43</f>
        <v/>
      </c>
      <c r="H43" s="104" t="inlineStr">
        <is>
          <t>O</t>
        </is>
      </c>
      <c r="I43" s="104" t="inlineStr">
        <is>
          <t>U</t>
        </is>
      </c>
      <c r="J43" s="104" t="n">
        <v>8</v>
      </c>
      <c r="K43" s="104" t="n">
        <v>5</v>
      </c>
      <c r="L43" s="104" t="n">
        <v>6</v>
      </c>
      <c r="M43" s="104" t="n">
        <v>8</v>
      </c>
      <c r="N43" s="104" t="n"/>
      <c r="O43" s="104">
        <f>SUM(J43:N43)</f>
        <v/>
      </c>
      <c r="P43" s="12">
        <f>O43/IF(H43="L",20,IF(H43="U",30,IF(H43="O",40,IF(H43="I",20,""))))</f>
        <v/>
      </c>
      <c r="Q43" s="132">
        <f>IF(AND(H43="L", P43&gt;=50%), "Pass",
IF(AND(H43="U", P43&gt;=60%), "Pass",
IF(AND(H43="O", P43&gt;=75%), "Pass", "Fail")))</f>
        <v/>
      </c>
      <c r="R43" s="104" t="n"/>
      <c r="S43" s="104" t="n">
        <v>15</v>
      </c>
      <c r="T43" s="104" t="n">
        <v>6</v>
      </c>
      <c r="U43" s="104">
        <f>SUM(S43:T43)</f>
        <v/>
      </c>
      <c r="V43" s="12">
        <f>U43/IF(H43="L",35,IF(H43="U",35,IF(H43="O",35,IF(H43="I",35,""))))</f>
        <v/>
      </c>
      <c r="W43" s="132">
        <f>IF(AND(H43="L", V43&gt;=50%), "Pass",
IF(AND(H43="U", V43&gt;=60%), "Pass",
IF(AND(H43="O", V43&gt;=75%), "Pass", "Fail")))</f>
        <v/>
      </c>
      <c r="X43" s="132">
        <f>IF(AND(Q43="Pass", W43="Pass"), "Pass", "Fail")</f>
        <v/>
      </c>
      <c r="Y43" s="15">
        <f>IF($X43="Pass",$H43,
IF(H43="L","I",
IF(H43="U","L",
IF(H43="O","U",
"I"))))</f>
        <v/>
      </c>
    </row>
    <row r="44">
      <c r="A44" s="147">
        <f>ROW()-2</f>
        <v/>
      </c>
      <c r="B44" s="133" t="n">
        <v>900166</v>
      </c>
      <c r="C44" s="148" t="inlineStr">
        <is>
          <t>RAMESH V</t>
        </is>
      </c>
      <c r="D44" s="127" t="inlineStr">
        <is>
          <t>PRODUCTION</t>
        </is>
      </c>
      <c r="E44" s="135" t="inlineStr">
        <is>
          <t>MIXING</t>
        </is>
      </c>
      <c r="F44" s="136" t="n">
        <v>40634</v>
      </c>
      <c r="G44" s="131">
        <f>NOW()-F44</f>
        <v/>
      </c>
      <c r="H44" s="104" t="inlineStr">
        <is>
          <t>O</t>
        </is>
      </c>
      <c r="I44" s="104" t="inlineStr">
        <is>
          <t>U</t>
        </is>
      </c>
      <c r="J44" s="104" t="inlineStr">
        <is>
          <t>NIL</t>
        </is>
      </c>
      <c r="K44" s="104" t="n"/>
      <c r="L44" s="104" t="n"/>
      <c r="M44" s="104" t="n"/>
      <c r="N44" s="104" t="n"/>
      <c r="O44" s="104" t="n"/>
      <c r="P44" s="12">
        <f>O44/IF(H44="L",20,IF(H44="U",30,IF(H44="O",40,IF(H44="I",20,""))))</f>
        <v/>
      </c>
      <c r="Q44" s="132">
        <f>IF(AND(H44="L", P44&gt;=50%), "Pass",
IF(AND(H44="U", P44&gt;=60%), "Pass",
IF(AND(H44="O", P44&gt;=75%), "Pass", "Fail")))</f>
        <v/>
      </c>
      <c r="R44" s="104" t="n"/>
      <c r="S44" s="104" t="n">
        <v>14</v>
      </c>
      <c r="T44" s="104" t="n">
        <v>12</v>
      </c>
      <c r="U44" s="104">
        <f>SUM(S44:T44)</f>
        <v/>
      </c>
      <c r="V44" s="12">
        <f>U44/IF(H44="L",35,IF(H44="U",35,IF(H44="O",35,IF(H44="I",35,""))))</f>
        <v/>
      </c>
      <c r="W44" s="132">
        <f>IF(AND(H44="L", V44&gt;=50%), "Pass",
IF(AND(H44="U", V44&gt;=60%), "Pass",
IF(AND(H44="O", V44&gt;=75%), "Pass", "Fail")))</f>
        <v/>
      </c>
      <c r="X44" s="132">
        <f>IF(AND(Q44="Pass", W44="Pass"), "Pass", "Fail")</f>
        <v/>
      </c>
      <c r="Y44" s="15">
        <f>IF($X44="Pass",$H44,
IF(H44="L","I",
IF(H44="U","L",
IF(H44="O","U",
"I"))))</f>
        <v/>
      </c>
    </row>
    <row r="45">
      <c r="A45" s="147">
        <f>ROW()-2</f>
        <v/>
      </c>
      <c r="B45" s="133" t="n">
        <v>900167</v>
      </c>
      <c r="C45" s="148" t="inlineStr">
        <is>
          <t>PARAMASIVAN M</t>
        </is>
      </c>
      <c r="D45" s="127" t="inlineStr">
        <is>
          <t>PRODUCTION</t>
        </is>
      </c>
      <c r="E45" s="135" t="inlineStr">
        <is>
          <t>MIXING</t>
        </is>
      </c>
      <c r="F45" s="136" t="n">
        <v>40634</v>
      </c>
      <c r="G45" s="131">
        <f>NOW()-F45</f>
        <v/>
      </c>
      <c r="H45" s="104" t="inlineStr">
        <is>
          <t>O</t>
        </is>
      </c>
      <c r="I45" s="104" t="inlineStr">
        <is>
          <t>U</t>
        </is>
      </c>
      <c r="J45" s="104" t="inlineStr">
        <is>
          <t>NIL</t>
        </is>
      </c>
      <c r="K45" s="104" t="n"/>
      <c r="L45" s="104" t="n"/>
      <c r="M45" s="104" t="n"/>
      <c r="N45" s="104" t="n"/>
      <c r="O45" s="104" t="n"/>
      <c r="P45" s="12">
        <f>O45/IF(H45="L",20,IF(H45="U",30,IF(H45="O",40,IF(H45="I",20,""))))</f>
        <v/>
      </c>
      <c r="Q45" s="132">
        <f>IF(AND(H45="L", P45&gt;=50%), "Pass",
IF(AND(H45="U", P45&gt;=60%), "Pass",
IF(AND(H45="O", P45&gt;=75%), "Pass", "Fail")))</f>
        <v/>
      </c>
      <c r="R45" s="104" t="n"/>
      <c r="S45" s="104" t="n">
        <v>15</v>
      </c>
      <c r="T45" s="104" t="n">
        <v>10</v>
      </c>
      <c r="U45" s="104">
        <f>SUM(S45:T45)</f>
        <v/>
      </c>
      <c r="V45" s="12">
        <f>U45/IF(H45="L",35,IF(H45="U",35,IF(H45="O",35,IF(H45="I",35,""))))</f>
        <v/>
      </c>
      <c r="W45" s="132">
        <f>IF(AND(H45="L", V45&gt;=50%), "Pass",
IF(AND(H45="U", V45&gt;=60%), "Pass",
IF(AND(H45="O", V45&gt;=75%), "Pass", "Fail")))</f>
        <v/>
      </c>
      <c r="X45" s="132">
        <f>IF(AND(Q45="Pass", W45="Pass"), "Pass", "Fail")</f>
        <v/>
      </c>
      <c r="Y45" s="15">
        <f>IF($X45="Pass",$H45,
IF(H45="L","I",
IF(H45="U","L",
IF(H45="O","U",
"I"))))</f>
        <v/>
      </c>
    </row>
    <row r="46">
      <c r="A46" s="147">
        <f>ROW()-2</f>
        <v/>
      </c>
      <c r="B46" s="133" t="n">
        <v>900168</v>
      </c>
      <c r="C46" s="148" t="inlineStr">
        <is>
          <t>UGI SAMUEL Y</t>
        </is>
      </c>
      <c r="D46" s="127" t="inlineStr">
        <is>
          <t>PRODUCTION</t>
        </is>
      </c>
      <c r="E46" s="135" t="inlineStr">
        <is>
          <t>MIXING</t>
        </is>
      </c>
      <c r="F46" s="136" t="n">
        <v>40634</v>
      </c>
      <c r="G46" s="131">
        <f>NOW()-F46</f>
        <v/>
      </c>
      <c r="H46" s="104" t="inlineStr">
        <is>
          <t>O</t>
        </is>
      </c>
      <c r="I46" s="104" t="inlineStr">
        <is>
          <t>O</t>
        </is>
      </c>
      <c r="J46" s="104" t="inlineStr">
        <is>
          <t>NIL</t>
        </is>
      </c>
      <c r="K46" s="104" t="n"/>
      <c r="L46" s="104" t="n"/>
      <c r="M46" s="104" t="n"/>
      <c r="N46" s="104" t="n"/>
      <c r="O46" s="104" t="n"/>
      <c r="P46" s="12">
        <f>O46/IF(H46="L",20,IF(H46="U",30,IF(H46="O",40,IF(H46="I",20,""))))</f>
        <v/>
      </c>
      <c r="Q46" s="132">
        <f>IF(AND(H46="L", P46&gt;=50%), "Pass",
IF(AND(H46="U", P46&gt;=60%), "Pass",
IF(AND(H46="O", P46&gt;=75%), "Pass", "Fail")))</f>
        <v/>
      </c>
      <c r="R46" s="104" t="n"/>
      <c r="S46" s="104" t="n">
        <v>16</v>
      </c>
      <c r="T46" s="104" t="n">
        <v>12</v>
      </c>
      <c r="U46" s="104">
        <f>SUM(S46:T46)</f>
        <v/>
      </c>
      <c r="V46" s="12">
        <f>U46/IF(H46="L",35,IF(H46="U",35,IF(H46="O",35,IF(H46="I",35,""))))</f>
        <v/>
      </c>
      <c r="W46" s="132">
        <f>IF(AND(H46="L", V46&gt;=50%), "Pass",
IF(AND(H46="U", V46&gt;=60%), "Pass",
IF(AND(H46="O", V46&gt;=75%), "Pass", "Fail")))</f>
        <v/>
      </c>
      <c r="X46" s="132">
        <f>IF(AND(Q46="Pass", W46="Pass"), "Pass", "Fail")</f>
        <v/>
      </c>
      <c r="Y46" s="15">
        <f>IF($X46="Pass",$H46,
IF(H46="L","I",
IF(H46="U","L",
IF(H46="O","U",
"I"))))</f>
        <v/>
      </c>
    </row>
    <row r="47">
      <c r="A47" s="147">
        <f>ROW()-2</f>
        <v/>
      </c>
      <c r="B47" s="133" t="n">
        <v>900169</v>
      </c>
      <c r="C47" s="148" t="inlineStr">
        <is>
          <t>MARIAPPAN P</t>
        </is>
      </c>
      <c r="D47" s="127" t="inlineStr">
        <is>
          <t>PRODUCTION</t>
        </is>
      </c>
      <c r="E47" s="135" t="inlineStr">
        <is>
          <t>MIXING</t>
        </is>
      </c>
      <c r="F47" s="136" t="n">
        <v>40634</v>
      </c>
      <c r="G47" s="131">
        <f>NOW()-F47</f>
        <v/>
      </c>
      <c r="H47" s="104" t="inlineStr">
        <is>
          <t>O</t>
        </is>
      </c>
      <c r="I47" s="104" t="inlineStr">
        <is>
          <t>U</t>
        </is>
      </c>
      <c r="J47" s="104" t="inlineStr">
        <is>
          <t>NIL</t>
        </is>
      </c>
      <c r="K47" s="104" t="n"/>
      <c r="L47" s="104" t="n"/>
      <c r="M47" s="104" t="n"/>
      <c r="N47" s="104" t="n"/>
      <c r="O47" s="104" t="n"/>
      <c r="P47" s="12">
        <f>O47/IF(H47="L",20,IF(H47="U",30,IF(H47="O",40,IF(H47="I",20,""))))</f>
        <v/>
      </c>
      <c r="Q47" s="132">
        <f>IF(AND(H47="L", P47&gt;=50%), "Pass",
IF(AND(H47="U", P47&gt;=60%), "Pass",
IF(AND(H47="O", P47&gt;=75%), "Pass", "Fail")))</f>
        <v/>
      </c>
      <c r="R47" s="104" t="n"/>
      <c r="S47" s="104" t="n">
        <v>16</v>
      </c>
      <c r="T47" s="104" t="n">
        <v>10</v>
      </c>
      <c r="U47" s="104">
        <f>SUM(S47:T47)</f>
        <v/>
      </c>
      <c r="V47" s="12">
        <f>U47/IF(H47="L",35,IF(H47="U",35,IF(H47="O",35,IF(H47="I",35,""))))</f>
        <v/>
      </c>
      <c r="W47" s="132">
        <f>IF(AND(H47="L", V47&gt;=50%), "Pass",
IF(AND(H47="U", V47&gt;=60%), "Pass",
IF(AND(H47="O", V47&gt;=75%), "Pass", "Fail")))</f>
        <v/>
      </c>
      <c r="X47" s="132">
        <f>IF(AND(Q47="Pass", W47="Pass"), "Pass", "Fail")</f>
        <v/>
      </c>
      <c r="Y47" s="15">
        <f>IF($X47="Pass",$H47,
IF(H47="L","I",
IF(H47="U","L",
IF(H47="O","U",
"I"))))</f>
        <v/>
      </c>
    </row>
    <row r="48">
      <c r="A48" s="147">
        <f>ROW()-2</f>
        <v/>
      </c>
      <c r="B48" s="133" t="n">
        <v>900170</v>
      </c>
      <c r="C48" s="148" t="inlineStr">
        <is>
          <t>PERUMAL KRISHNAN S</t>
        </is>
      </c>
      <c r="D48" s="127" t="inlineStr">
        <is>
          <t>PRODUCTION</t>
        </is>
      </c>
      <c r="E48" s="135" t="inlineStr">
        <is>
          <t>MIXING</t>
        </is>
      </c>
      <c r="F48" s="136" t="n">
        <v>40634</v>
      </c>
      <c r="G48" s="131">
        <f>NOW()-F48</f>
        <v/>
      </c>
      <c r="H48" s="104" t="inlineStr">
        <is>
          <t>O</t>
        </is>
      </c>
      <c r="I48" s="104" t="inlineStr">
        <is>
          <t>U</t>
        </is>
      </c>
      <c r="J48" s="104" t="inlineStr">
        <is>
          <t>NIL</t>
        </is>
      </c>
      <c r="K48" s="104" t="n"/>
      <c r="L48" s="104" t="n"/>
      <c r="M48" s="104" t="n"/>
      <c r="N48" s="104" t="n"/>
      <c r="O48" s="104" t="n"/>
      <c r="P48" s="12">
        <f>O48/IF(H48="L",20,IF(H48="U",30,IF(H48="O",40,IF(H48="I",20,""))))</f>
        <v/>
      </c>
      <c r="Q48" s="132">
        <f>IF(AND(H48="L", P48&gt;=50%), "Pass",
IF(AND(H48="U", P48&gt;=60%), "Pass",
IF(AND(H48="O", P48&gt;=75%), "Pass", "Fail")))</f>
        <v/>
      </c>
      <c r="R48" s="104" t="n"/>
      <c r="S48" s="104" t="n">
        <v>14</v>
      </c>
      <c r="T48" s="104" t="n">
        <v>11</v>
      </c>
      <c r="U48" s="104">
        <f>SUM(S48:T48)</f>
        <v/>
      </c>
      <c r="V48" s="12">
        <f>U48/IF(H48="L",35,IF(H48="U",35,IF(H48="O",35,IF(H48="I",35,""))))</f>
        <v/>
      </c>
      <c r="W48" s="132">
        <f>IF(AND(H48="L", V48&gt;=50%), "Pass",
IF(AND(H48="U", V48&gt;=60%), "Pass",
IF(AND(H48="O", V48&gt;=75%), "Pass", "Fail")))</f>
        <v/>
      </c>
      <c r="X48" s="132">
        <f>IF(AND(Q48="Pass", W48="Pass"), "Pass", "Fail")</f>
        <v/>
      </c>
      <c r="Y48" s="15">
        <f>IF($X48="Pass",$H48,
IF(H48="L","I",
IF(H48="U","L",
IF(H48="O","U",
"I"))))</f>
        <v/>
      </c>
    </row>
    <row r="49">
      <c r="A49" s="147">
        <f>ROW()-2</f>
        <v/>
      </c>
      <c r="B49" s="133" t="n">
        <v>900171</v>
      </c>
      <c r="C49" s="148" t="inlineStr">
        <is>
          <t>JEYA KUMAR A</t>
        </is>
      </c>
      <c r="D49" s="127" t="inlineStr">
        <is>
          <t>PRODUCTION</t>
        </is>
      </c>
      <c r="E49" s="135" t="inlineStr">
        <is>
          <t>MIXING</t>
        </is>
      </c>
      <c r="F49" s="136" t="n">
        <v>40634</v>
      </c>
      <c r="G49" s="131">
        <f>NOW()-F49</f>
        <v/>
      </c>
      <c r="H49" s="104" t="inlineStr">
        <is>
          <t>O</t>
        </is>
      </c>
      <c r="I49" s="104" t="inlineStr">
        <is>
          <t>U</t>
        </is>
      </c>
      <c r="J49" s="104" t="inlineStr">
        <is>
          <t>NIL</t>
        </is>
      </c>
      <c r="K49" s="104" t="n"/>
      <c r="L49" s="104" t="n"/>
      <c r="M49" s="104" t="n"/>
      <c r="N49" s="104" t="n"/>
      <c r="O49" s="104" t="n"/>
      <c r="P49" s="12">
        <f>O49/IF(H49="L",20,IF(H49="U",30,IF(H49="O",40,IF(H49="I",20,""))))</f>
        <v/>
      </c>
      <c r="Q49" s="132">
        <f>IF(AND(H49="L", P49&gt;=50%), "Pass",
IF(AND(H49="U", P49&gt;=60%), "Pass",
IF(AND(H49="O", P49&gt;=75%), "Pass", "Fail")))</f>
        <v/>
      </c>
      <c r="R49" s="104" t="n"/>
      <c r="S49" s="104" t="n">
        <v>14</v>
      </c>
      <c r="T49" s="104" t="n">
        <v>12</v>
      </c>
      <c r="U49" s="104">
        <f>SUM(S49:T49)</f>
        <v/>
      </c>
      <c r="V49" s="12">
        <f>U49/IF(H49="L",35,IF(H49="U",35,IF(H49="O",35,IF(H49="I",35,""))))</f>
        <v/>
      </c>
      <c r="W49" s="132">
        <f>IF(AND(H49="L", V49&gt;=50%), "Pass",
IF(AND(H49="U", V49&gt;=60%), "Pass",
IF(AND(H49="O", V49&gt;=75%), "Pass", "Fail")))</f>
        <v/>
      </c>
      <c r="X49" s="132">
        <f>IF(AND(Q49="Pass", W49="Pass"), "Pass", "Fail")</f>
        <v/>
      </c>
      <c r="Y49" s="15">
        <f>IF($X49="Pass",$H49,
IF(H49="L","I",
IF(H49="U","L",
IF(H49="O","U",
"I"))))</f>
        <v/>
      </c>
    </row>
    <row r="50">
      <c r="A50" s="147">
        <f>ROW()-2</f>
        <v/>
      </c>
      <c r="B50" s="133" t="n">
        <v>900172</v>
      </c>
      <c r="C50" s="148" t="inlineStr">
        <is>
          <t>KANAGARAJ K</t>
        </is>
      </c>
      <c r="D50" s="127" t="inlineStr">
        <is>
          <t>PRODUCTION</t>
        </is>
      </c>
      <c r="E50" s="135" t="inlineStr">
        <is>
          <t>MIXING</t>
        </is>
      </c>
      <c r="F50" s="136" t="n">
        <v>40634</v>
      </c>
      <c r="G50" s="131">
        <f>NOW()-F50</f>
        <v/>
      </c>
      <c r="H50" s="104" t="inlineStr">
        <is>
          <t>O</t>
        </is>
      </c>
      <c r="I50" s="104" t="inlineStr">
        <is>
          <t>U</t>
        </is>
      </c>
      <c r="J50" s="104" t="inlineStr">
        <is>
          <t>NIL</t>
        </is>
      </c>
      <c r="K50" s="104" t="n"/>
      <c r="L50" s="104" t="n"/>
      <c r="M50" s="104" t="n"/>
      <c r="N50" s="104" t="n"/>
      <c r="O50" s="104" t="n"/>
      <c r="P50" s="12">
        <f>O50/IF(H50="L",20,IF(H50="U",30,IF(H50="O",40,IF(H50="I",20,""))))</f>
        <v/>
      </c>
      <c r="Q50" s="132">
        <f>IF(AND(H50="L", P50&gt;=50%), "Pass",
IF(AND(H50="U", P50&gt;=60%), "Pass",
IF(AND(H50="O", P50&gt;=75%), "Pass", "Fail")))</f>
        <v/>
      </c>
      <c r="R50" s="104" t="n"/>
      <c r="S50" s="104" t="n">
        <v>16</v>
      </c>
      <c r="T50" s="104" t="n">
        <v>10</v>
      </c>
      <c r="U50" s="104">
        <f>SUM(S50:T50)</f>
        <v/>
      </c>
      <c r="V50" s="12">
        <f>U50/IF(H50="L",35,IF(H50="U",35,IF(H50="O",35,IF(H50="I",35,""))))</f>
        <v/>
      </c>
      <c r="W50" s="132">
        <f>IF(AND(H50="L", V50&gt;=50%), "Pass",
IF(AND(H50="U", V50&gt;=60%), "Pass",
IF(AND(H50="O", V50&gt;=75%), "Pass", "Fail")))</f>
        <v/>
      </c>
      <c r="X50" s="132">
        <f>IF(AND(Q50="Pass", W50="Pass"), "Pass", "Fail")</f>
        <v/>
      </c>
      <c r="Y50" s="15">
        <f>IF($X50="Pass",$H50,
IF(H50="L","I",
IF(H50="U","L",
IF(H50="O","U",
"I"))))</f>
        <v/>
      </c>
    </row>
    <row r="51">
      <c r="A51" s="147">
        <f>ROW()-2</f>
        <v/>
      </c>
      <c r="B51" s="133" t="n">
        <v>900174</v>
      </c>
      <c r="C51" s="148" t="inlineStr">
        <is>
          <t>SANJAY KUMAR</t>
        </is>
      </c>
      <c r="D51" s="127" t="inlineStr">
        <is>
          <t>PRODUCTION</t>
        </is>
      </c>
      <c r="E51" s="135" t="inlineStr">
        <is>
          <t>MIXING</t>
        </is>
      </c>
      <c r="F51" s="136" t="n">
        <v>40634</v>
      </c>
      <c r="G51" s="131">
        <f>NOW()-F51</f>
        <v/>
      </c>
      <c r="H51" s="104" t="inlineStr">
        <is>
          <t>O</t>
        </is>
      </c>
      <c r="I51" s="104" t="inlineStr">
        <is>
          <t>U</t>
        </is>
      </c>
      <c r="J51" s="104" t="inlineStr">
        <is>
          <t>NIL</t>
        </is>
      </c>
      <c r="K51" s="104" t="n"/>
      <c r="L51" s="104" t="n"/>
      <c r="M51" s="104" t="n"/>
      <c r="N51" s="104" t="n"/>
      <c r="O51" s="104" t="n"/>
      <c r="P51" s="12">
        <f>O51/IF(H51="L",20,IF(H51="U",30,IF(H51="O",40,IF(H51="I",20,""))))</f>
        <v/>
      </c>
      <c r="Q51" s="132">
        <f>IF(AND(H51="L", P51&gt;=50%), "Pass",
IF(AND(H51="U", P51&gt;=60%), "Pass",
IF(AND(H51="O", P51&gt;=75%), "Pass", "Fail")))</f>
        <v/>
      </c>
      <c r="R51" s="104" t="n"/>
      <c r="S51" s="104" t="n">
        <v>15</v>
      </c>
      <c r="T51" s="104" t="n">
        <v>11</v>
      </c>
      <c r="U51" s="104">
        <f>SUM(S51:T51)</f>
        <v/>
      </c>
      <c r="V51" s="12">
        <f>U51/IF(H51="L",35,IF(H51="U",35,IF(H51="O",35,IF(H51="I",35,""))))</f>
        <v/>
      </c>
      <c r="W51" s="132">
        <f>IF(AND(H51="L", V51&gt;=50%), "Pass",
IF(AND(H51="U", V51&gt;=60%), "Pass",
IF(AND(H51="O", V51&gt;=75%), "Pass", "Fail")))</f>
        <v/>
      </c>
      <c r="X51" s="132">
        <f>IF(AND(Q51="Pass", W51="Pass"), "Pass", "Fail")</f>
        <v/>
      </c>
      <c r="Y51" s="15">
        <f>IF($X51="Pass",$H51,
IF(H51="L","I",
IF(H51="U","L",
IF(H51="O","U",
"I"))))</f>
        <v/>
      </c>
    </row>
    <row r="52">
      <c r="A52" s="147">
        <f>ROW()-2</f>
        <v/>
      </c>
      <c r="B52" s="133" t="n">
        <v>900175</v>
      </c>
      <c r="C52" s="148" t="inlineStr">
        <is>
          <t>RAJENDRA RAI</t>
        </is>
      </c>
      <c r="D52" s="127" t="inlineStr">
        <is>
          <t>PRODUCTION</t>
        </is>
      </c>
      <c r="E52" s="135" t="inlineStr">
        <is>
          <t>MIXING</t>
        </is>
      </c>
      <c r="F52" s="136" t="n">
        <v>40634</v>
      </c>
      <c r="G52" s="131">
        <f>NOW()-F52</f>
        <v/>
      </c>
      <c r="H52" s="104" t="inlineStr">
        <is>
          <t>O</t>
        </is>
      </c>
      <c r="I52" s="104" t="inlineStr">
        <is>
          <t>U</t>
        </is>
      </c>
      <c r="J52" s="104" t="inlineStr">
        <is>
          <t>NIL</t>
        </is>
      </c>
      <c r="K52" s="104" t="n"/>
      <c r="L52" s="104" t="n"/>
      <c r="M52" s="104" t="n"/>
      <c r="N52" s="104" t="n"/>
      <c r="O52" s="104" t="n"/>
      <c r="P52" s="12">
        <f>O52/IF(H52="L",20,IF(H52="U",30,IF(H52="O",40,IF(H52="I",20,""))))</f>
        <v/>
      </c>
      <c r="Q52" s="132">
        <f>IF(AND(H52="L", P52&gt;=50%), "Pass",
IF(AND(H52="U", P52&gt;=60%), "Pass",
IF(AND(H52="O", P52&gt;=75%), "Pass", "Fail")))</f>
        <v/>
      </c>
      <c r="R52" s="104" t="n"/>
      <c r="S52" s="104" t="n">
        <v>16</v>
      </c>
      <c r="T52" s="104" t="n">
        <v>10</v>
      </c>
      <c r="U52" s="104">
        <f>SUM(S52:T52)</f>
        <v/>
      </c>
      <c r="V52" s="12">
        <f>U52/IF(H52="L",35,IF(H52="U",35,IF(H52="O",35,IF(H52="I",35,""))))</f>
        <v/>
      </c>
      <c r="W52" s="132">
        <f>IF(AND(H52="L", V52&gt;=50%), "Pass",
IF(AND(H52="U", V52&gt;=60%), "Pass",
IF(AND(H52="O", V52&gt;=75%), "Pass", "Fail")))</f>
        <v/>
      </c>
      <c r="X52" s="132">
        <f>IF(AND(Q52="Pass", W52="Pass"), "Pass", "Fail")</f>
        <v/>
      </c>
      <c r="Y52" s="15">
        <f>IF($X52="Pass",$H52,
IF(H52="L","I",
IF(H52="U","L",
IF(H52="O","U",
"I"))))</f>
        <v/>
      </c>
    </row>
    <row r="53">
      <c r="A53" s="147">
        <f>ROW()-2</f>
        <v/>
      </c>
      <c r="B53" s="133" t="n">
        <v>900176</v>
      </c>
      <c r="C53" s="148" t="inlineStr">
        <is>
          <t>MUTHU RAJ G</t>
        </is>
      </c>
      <c r="D53" s="127" t="inlineStr">
        <is>
          <t>PRODUCTION</t>
        </is>
      </c>
      <c r="E53" s="135" t="inlineStr">
        <is>
          <t>MIXING</t>
        </is>
      </c>
      <c r="F53" s="136" t="n">
        <v>40634</v>
      </c>
      <c r="G53" s="131">
        <f>NOW()-F53</f>
        <v/>
      </c>
      <c r="H53" s="104" t="inlineStr">
        <is>
          <t>O</t>
        </is>
      </c>
      <c r="I53" s="104" t="inlineStr">
        <is>
          <t>O</t>
        </is>
      </c>
      <c r="J53" s="104" t="inlineStr">
        <is>
          <t>NIL</t>
        </is>
      </c>
      <c r="K53" s="104" t="n"/>
      <c r="L53" s="104" t="n"/>
      <c r="M53" s="104" t="n"/>
      <c r="N53" s="104" t="n"/>
      <c r="O53" s="104" t="n"/>
      <c r="P53" s="12">
        <f>O53/IF(H53="L",20,IF(H53="U",30,IF(H53="O",40,IF(H53="I",20,""))))</f>
        <v/>
      </c>
      <c r="Q53" s="132">
        <f>IF(AND(H53="L", P53&gt;=50%), "Pass",
IF(AND(H53="U", P53&gt;=60%), "Pass",
IF(AND(H53="O", P53&gt;=75%), "Pass", "Fail")))</f>
        <v/>
      </c>
      <c r="R53" s="104" t="n"/>
      <c r="S53" s="104" t="n">
        <v>15</v>
      </c>
      <c r="T53" s="104" t="n">
        <v>12</v>
      </c>
      <c r="U53" s="104">
        <f>SUM(S53:T53)</f>
        <v/>
      </c>
      <c r="V53" s="12">
        <f>U53/IF(H53="L",35,IF(H53="U",35,IF(H53="O",35,IF(H53="I",35,""))))</f>
        <v/>
      </c>
      <c r="W53" s="132">
        <f>IF(AND(H53="L", V53&gt;=50%), "Pass",
IF(AND(H53="U", V53&gt;=60%), "Pass",
IF(AND(H53="O", V53&gt;=75%), "Pass", "Fail")))</f>
        <v/>
      </c>
      <c r="X53" s="132">
        <f>IF(AND(Q53="Pass", W53="Pass"), "Pass", "Fail")</f>
        <v/>
      </c>
      <c r="Y53" s="15">
        <f>IF($X53="Pass",$H53,
IF(H53="L","I",
IF(H53="U","L",
IF(H53="O","U",
"I"))))</f>
        <v/>
      </c>
    </row>
    <row r="54">
      <c r="A54" s="147">
        <f>ROW()-2</f>
        <v/>
      </c>
      <c r="B54" s="133" t="n">
        <v>900177</v>
      </c>
      <c r="C54" s="148" t="inlineStr">
        <is>
          <t>DEEPAK KUMAR JENA N</t>
        </is>
      </c>
      <c r="D54" s="127" t="inlineStr">
        <is>
          <t>PRODUCTION</t>
        </is>
      </c>
      <c r="E54" s="135" t="inlineStr">
        <is>
          <t>MIXING</t>
        </is>
      </c>
      <c r="F54" s="136" t="n">
        <v>40634</v>
      </c>
      <c r="G54" s="131">
        <f>NOW()-F54</f>
        <v/>
      </c>
      <c r="H54" s="104" t="inlineStr">
        <is>
          <t>O</t>
        </is>
      </c>
      <c r="I54" s="104" t="inlineStr">
        <is>
          <t>U</t>
        </is>
      </c>
      <c r="J54" s="104" t="inlineStr">
        <is>
          <t>NIL</t>
        </is>
      </c>
      <c r="K54" s="104" t="n"/>
      <c r="L54" s="104" t="n"/>
      <c r="M54" s="104" t="n"/>
      <c r="N54" s="104" t="n"/>
      <c r="O54" s="104" t="n"/>
      <c r="P54" s="12">
        <f>O54/IF(H54="L",20,IF(H54="U",30,IF(H54="O",40,IF(H54="I",20,""))))</f>
        <v/>
      </c>
      <c r="Q54" s="132">
        <f>IF(AND(H54="L", P54&gt;=50%), "Pass",
IF(AND(H54="U", P54&gt;=60%), "Pass",
IF(AND(H54="O", P54&gt;=75%), "Pass", "Fail")))</f>
        <v/>
      </c>
      <c r="R54" s="104" t="n"/>
      <c r="S54" s="104" t="n">
        <v>13</v>
      </c>
      <c r="T54" s="104" t="n">
        <v>11</v>
      </c>
      <c r="U54" s="104">
        <f>SUM(S54:T54)</f>
        <v/>
      </c>
      <c r="V54" s="12">
        <f>U54/IF(H54="L",35,IF(H54="U",35,IF(H54="O",35,IF(H54="I",35,""))))</f>
        <v/>
      </c>
      <c r="W54" s="132">
        <f>IF(AND(H54="L", V54&gt;=50%), "Pass",
IF(AND(H54="U", V54&gt;=60%), "Pass",
IF(AND(H54="O", V54&gt;=75%), "Pass", "Fail")))</f>
        <v/>
      </c>
      <c r="X54" s="132">
        <f>IF(AND(Q54="Pass", W54="Pass"), "Pass", "Fail")</f>
        <v/>
      </c>
      <c r="Y54" s="15">
        <f>IF($X54="Pass",$H54,
IF(H54="L","I",
IF(H54="U","L",
IF(H54="O","U",
"I"))))</f>
        <v/>
      </c>
    </row>
    <row r="55">
      <c r="A55" s="147">
        <f>ROW()-2</f>
        <v/>
      </c>
      <c r="B55" s="127" t="n">
        <v>900178</v>
      </c>
      <c r="C55" s="128" t="inlineStr">
        <is>
          <t>MARI MUTHU S</t>
        </is>
      </c>
      <c r="D55" s="127" t="inlineStr">
        <is>
          <t>PRODUCTION</t>
        </is>
      </c>
      <c r="E55" s="129" t="inlineStr">
        <is>
          <t>TYRE BUILDING-P1</t>
        </is>
      </c>
      <c r="F55" s="130" t="n">
        <v>40634</v>
      </c>
      <c r="G55" s="131">
        <f>NOW()-F55</f>
        <v/>
      </c>
      <c r="H55" s="104" t="inlineStr">
        <is>
          <t>O</t>
        </is>
      </c>
      <c r="I55" s="104" t="inlineStr">
        <is>
          <t>O</t>
        </is>
      </c>
      <c r="J55" s="104" t="n">
        <v>8</v>
      </c>
      <c r="K55" s="104" t="n">
        <v>9</v>
      </c>
      <c r="L55" s="104" t="n">
        <v>9</v>
      </c>
      <c r="M55" s="104" t="n">
        <v>9</v>
      </c>
      <c r="N55" s="104" t="n"/>
      <c r="O55" s="104">
        <f>SUM(J55:N55)</f>
        <v/>
      </c>
      <c r="P55" s="12">
        <f>O55/IF(H55="L",20,IF(H55="U",30,IF(H55="O",40,IF(H55="I",20,""))))</f>
        <v/>
      </c>
      <c r="Q55" s="132">
        <f>IF(AND(H55="L", P55&gt;=50%), "Pass",
IF(AND(H55="U", P55&gt;=60%), "Pass",
IF(AND(H55="O", P55&gt;=75%), "Pass", "Fail")))</f>
        <v/>
      </c>
      <c r="R55" s="104" t="n"/>
      <c r="S55" s="104" t="n">
        <v>17</v>
      </c>
      <c r="T55" s="104" t="n">
        <v>15</v>
      </c>
      <c r="U55" s="104">
        <f>SUM(S55:T55)</f>
        <v/>
      </c>
      <c r="V55" s="12">
        <f>U55/IF(H55="L",35,IF(H55="U",35,IF(H55="O",35,IF(H55="I",35,""))))</f>
        <v/>
      </c>
      <c r="W55" s="132">
        <f>IF(AND(H55="L", V55&gt;=50%), "Pass",
IF(AND(H55="U", V55&gt;=60%), "Pass",
IF(AND(H55="O", V55&gt;=75%), "Pass", "Fail")))</f>
        <v/>
      </c>
      <c r="X55" s="132">
        <f>IF(AND(Q55="Pass", W55="Pass"), "Pass", "Fail")</f>
        <v/>
      </c>
      <c r="Y55" s="15">
        <f>IF($X55="Pass",$H55,
IF(H55="L","I",
IF(H55="U","L",
IF(H55="O","U",
"I"))))</f>
        <v/>
      </c>
    </row>
    <row r="56">
      <c r="A56" s="147">
        <f>ROW()-2</f>
        <v/>
      </c>
      <c r="B56" s="127" t="n">
        <v>900179</v>
      </c>
      <c r="C56" s="128" t="inlineStr">
        <is>
          <t>ELANGAMANI K</t>
        </is>
      </c>
      <c r="D56" s="127" t="inlineStr">
        <is>
          <t>PRODUCTION</t>
        </is>
      </c>
      <c r="E56" s="129" t="inlineStr">
        <is>
          <t>TYRE BUILDING-P2</t>
        </is>
      </c>
      <c r="F56" s="130" t="n">
        <v>40634</v>
      </c>
      <c r="G56" s="131">
        <f>NOW()-F56</f>
        <v/>
      </c>
      <c r="H56" s="104" t="inlineStr">
        <is>
          <t>O</t>
        </is>
      </c>
      <c r="I56" s="104" t="inlineStr">
        <is>
          <t>O</t>
        </is>
      </c>
      <c r="J56" s="104" t="n">
        <v>9</v>
      </c>
      <c r="K56" s="104" t="n">
        <v>10</v>
      </c>
      <c r="L56" s="104" t="n">
        <v>6</v>
      </c>
      <c r="M56" s="104" t="n">
        <v>8</v>
      </c>
      <c r="N56" s="104" t="n"/>
      <c r="O56" s="104">
        <f>SUM(J56:N56)</f>
        <v/>
      </c>
      <c r="P56" s="12">
        <f>O56/IF(H56="L",20,IF(H56="U",30,IF(H56="O",40,IF(H56="I",20,""))))</f>
        <v/>
      </c>
      <c r="Q56" s="132">
        <f>IF(AND(H56="L", P56&gt;=50%), "Pass",
IF(AND(H56="U", P56&gt;=60%), "Pass",
IF(AND(H56="O", P56&gt;=75%), "Pass", "Fail")))</f>
        <v/>
      </c>
      <c r="R56" s="104" t="n"/>
      <c r="S56" s="104" t="n">
        <v>14</v>
      </c>
      <c r="T56" s="104" t="n">
        <v>11</v>
      </c>
      <c r="U56" s="104">
        <f>SUM(S56:T56)</f>
        <v/>
      </c>
      <c r="V56" s="12">
        <f>U56/IF(H56="L",35,IF(H56="U",35,IF(H56="O",35,IF(H56="I",35,""))))</f>
        <v/>
      </c>
      <c r="W56" s="132">
        <f>IF(AND(H56="L", V56&gt;=50%), "Pass",
IF(AND(H56="U", V56&gt;=60%), "Pass",
IF(AND(H56="O", V56&gt;=75%), "Pass", "Fail")))</f>
        <v/>
      </c>
      <c r="X56" s="132">
        <f>IF(AND(Q56="Pass", W56="Pass"), "Pass", "Fail")</f>
        <v/>
      </c>
      <c r="Y56" s="15">
        <f>IF($X56="Pass",$H56,
IF(H56="L","I",
IF(H56="U","L",
IF(H56="O","U",
"I"))))</f>
        <v/>
      </c>
    </row>
    <row r="57">
      <c r="A57" s="147">
        <f>ROW()-2</f>
        <v/>
      </c>
      <c r="B57" s="127" t="n">
        <v>900180</v>
      </c>
      <c r="C57" s="128" t="inlineStr">
        <is>
          <t>MUTHU KANI S</t>
        </is>
      </c>
      <c r="D57" s="127" t="inlineStr">
        <is>
          <t>PRODUCTION</t>
        </is>
      </c>
      <c r="E57" s="129" t="inlineStr">
        <is>
          <t>TYRE BUILDING-P1</t>
        </is>
      </c>
      <c r="F57" s="130" t="n">
        <v>40634</v>
      </c>
      <c r="G57" s="131">
        <f>NOW()-F57</f>
        <v/>
      </c>
      <c r="H57" s="104" t="inlineStr">
        <is>
          <t>O</t>
        </is>
      </c>
      <c r="I57" s="104" t="inlineStr">
        <is>
          <t>O</t>
        </is>
      </c>
      <c r="J57" s="104" t="n">
        <v>10</v>
      </c>
      <c r="K57" s="104" t="n">
        <v>10</v>
      </c>
      <c r="L57" s="104" t="n">
        <v>8</v>
      </c>
      <c r="M57" s="104" t="n">
        <v>8</v>
      </c>
      <c r="N57" s="104" t="n"/>
      <c r="O57" s="104">
        <f>SUM(J57:N57)</f>
        <v/>
      </c>
      <c r="P57" s="12">
        <f>O57/IF(H57="L",20,IF(H57="U",30,IF(H57="O",40,IF(H57="I",20,""))))</f>
        <v/>
      </c>
      <c r="Q57" s="132">
        <f>IF(AND(H57="L", P57&gt;=50%), "Pass",
IF(AND(H57="U", P57&gt;=60%), "Pass",
IF(AND(H57="O", P57&gt;=75%), "Pass", "Fail")))</f>
        <v/>
      </c>
      <c r="R57" s="104" t="n"/>
      <c r="S57" s="104" t="n">
        <v>15</v>
      </c>
      <c r="T57" s="104" t="n">
        <v>15</v>
      </c>
      <c r="U57" s="104">
        <f>SUM(S57:T57)</f>
        <v/>
      </c>
      <c r="V57" s="12">
        <f>U57/IF(H57="L",35,IF(H57="U",35,IF(H57="O",35,IF(H57="I",35,""))))</f>
        <v/>
      </c>
      <c r="W57" s="132">
        <f>IF(AND(H57="L", V57&gt;=50%), "Pass",
IF(AND(H57="U", V57&gt;=60%), "Pass",
IF(AND(H57="O", V57&gt;=75%), "Pass", "Fail")))</f>
        <v/>
      </c>
      <c r="X57" s="132">
        <f>IF(AND(Q57="Pass", W57="Pass"), "Pass", "Fail")</f>
        <v/>
      </c>
      <c r="Y57" s="15">
        <f>IF($X57="Pass",$H57,
IF(H57="L","I",
IF(H57="U","L",
IF(H57="O","U",
"I"))))</f>
        <v/>
      </c>
    </row>
    <row r="58">
      <c r="A58" s="147">
        <f>ROW()-2</f>
        <v/>
      </c>
      <c r="B58" s="127" t="n">
        <v>900181</v>
      </c>
      <c r="C58" s="128" t="inlineStr">
        <is>
          <t>VALATHI RAJAN V</t>
        </is>
      </c>
      <c r="D58" s="127" t="inlineStr">
        <is>
          <t>PRODUCTION</t>
        </is>
      </c>
      <c r="E58" s="129" t="inlineStr">
        <is>
          <t>TYRE BUILDING-P2</t>
        </is>
      </c>
      <c r="F58" s="130" t="n">
        <v>40634</v>
      </c>
      <c r="G58" s="131">
        <f>NOW()-F58</f>
        <v/>
      </c>
      <c r="H58" s="104" t="inlineStr">
        <is>
          <t>O</t>
        </is>
      </c>
      <c r="I58" s="104" t="inlineStr">
        <is>
          <t>O</t>
        </is>
      </c>
      <c r="J58" s="104" t="n">
        <v>8</v>
      </c>
      <c r="K58" s="104" t="n">
        <v>10</v>
      </c>
      <c r="L58" s="104" t="n">
        <v>7</v>
      </c>
      <c r="M58" s="104" t="n">
        <v>6</v>
      </c>
      <c r="N58" s="104" t="n"/>
      <c r="O58" s="104">
        <f>SUM(J58:N58)</f>
        <v/>
      </c>
      <c r="P58" s="12">
        <f>O58/IF(H58="L",20,IF(H58="U",30,IF(H58="O",40,IF(H58="I",20,""))))</f>
        <v/>
      </c>
      <c r="Q58" s="132">
        <f>IF(AND(H58="L", P58&gt;=50%), "Pass",
IF(AND(H58="U", P58&gt;=60%), "Pass",
IF(AND(H58="O", P58&gt;=75%), "Pass", "Fail")))</f>
        <v/>
      </c>
      <c r="R58" s="104" t="n"/>
      <c r="S58" s="104" t="n">
        <v>14</v>
      </c>
      <c r="T58" s="104" t="n">
        <v>10</v>
      </c>
      <c r="U58" s="104">
        <f>SUM(S58:T58)</f>
        <v/>
      </c>
      <c r="V58" s="12">
        <f>U58/IF(H58="L",35,IF(H58="U",35,IF(H58="O",35,IF(H58="I",35,""))))</f>
        <v/>
      </c>
      <c r="W58" s="132">
        <f>IF(AND(H58="L", V58&gt;=50%), "Pass",
IF(AND(H58="U", V58&gt;=60%), "Pass",
IF(AND(H58="O", V58&gt;=75%), "Pass", "Fail")))</f>
        <v/>
      </c>
      <c r="X58" s="132">
        <f>IF(AND(Q58="Pass", W58="Pass"), "Pass", "Fail")</f>
        <v/>
      </c>
      <c r="Y58" s="15">
        <f>IF($X58="Pass",$H58,
IF(H58="L","I",
IF(H58="U","L",
IF(H58="O","U",
"I"))))</f>
        <v/>
      </c>
    </row>
    <row r="59">
      <c r="A59" s="147">
        <f>ROW()-2</f>
        <v/>
      </c>
      <c r="B59" s="127" t="n">
        <v>900182</v>
      </c>
      <c r="C59" s="128" t="inlineStr">
        <is>
          <t>PITCHIAH R</t>
        </is>
      </c>
      <c r="D59" s="127" t="inlineStr">
        <is>
          <t>PRODUCTION</t>
        </is>
      </c>
      <c r="E59" s="129" t="inlineStr">
        <is>
          <t>TYRE BUILDING-P1</t>
        </is>
      </c>
      <c r="F59" s="130" t="n">
        <v>40634</v>
      </c>
      <c r="G59" s="131">
        <f>NOW()-F59</f>
        <v/>
      </c>
      <c r="H59" s="104" t="inlineStr">
        <is>
          <t>O</t>
        </is>
      </c>
      <c r="I59" s="104" t="inlineStr">
        <is>
          <t>O</t>
        </is>
      </c>
      <c r="J59" s="104" t="n">
        <v>10</v>
      </c>
      <c r="K59" s="104" t="n">
        <v>10</v>
      </c>
      <c r="L59" s="104" t="n">
        <v>8</v>
      </c>
      <c r="M59" s="104" t="n">
        <v>9</v>
      </c>
      <c r="N59" s="104" t="n"/>
      <c r="O59" s="104">
        <f>SUM(J59:N59)</f>
        <v/>
      </c>
      <c r="P59" s="12">
        <f>O59/IF(H59="L",20,IF(H59="U",30,IF(H59="O",40,IF(H59="I",20,""))))</f>
        <v/>
      </c>
      <c r="Q59" s="132">
        <f>IF(AND(H59="L", P59&gt;=50%), "Pass",
IF(AND(H59="U", P59&gt;=60%), "Pass",
IF(AND(H59="O", P59&gt;=75%), "Pass", "Fail")))</f>
        <v/>
      </c>
      <c r="R59" s="104" t="n"/>
      <c r="S59" s="104" t="n">
        <v>16</v>
      </c>
      <c r="T59" s="104" t="n">
        <v>15</v>
      </c>
      <c r="U59" s="104">
        <f>SUM(S59:T59)</f>
        <v/>
      </c>
      <c r="V59" s="12">
        <f>U59/IF(H59="L",35,IF(H59="U",35,IF(H59="O",35,IF(H59="I",35,""))))</f>
        <v/>
      </c>
      <c r="W59" s="132">
        <f>IF(AND(H59="L", V59&gt;=50%), "Pass",
IF(AND(H59="U", V59&gt;=60%), "Pass",
IF(AND(H59="O", V59&gt;=75%), "Pass", "Fail")))</f>
        <v/>
      </c>
      <c r="X59" s="132">
        <f>IF(AND(Q59="Pass", W59="Pass"), "Pass", "Fail")</f>
        <v/>
      </c>
      <c r="Y59" s="15">
        <f>IF($X59="Pass",$H59,
IF(H59="L","I",
IF(H59="U","L",
IF(H59="O","U",
"I"))))</f>
        <v/>
      </c>
    </row>
    <row r="60">
      <c r="A60" s="147">
        <f>ROW()-2</f>
        <v/>
      </c>
      <c r="B60" s="127" t="n">
        <v>900183</v>
      </c>
      <c r="C60" s="128" t="inlineStr">
        <is>
          <t>LAKSHMANA PERUMAL S</t>
        </is>
      </c>
      <c r="D60" s="127" t="inlineStr">
        <is>
          <t>PRODUCTION</t>
        </is>
      </c>
      <c r="E60" s="129" t="inlineStr">
        <is>
          <t>TYRE BUILDING-P1</t>
        </is>
      </c>
      <c r="F60" s="130" t="n">
        <v>40634</v>
      </c>
      <c r="G60" s="131">
        <f>NOW()-F60</f>
        <v/>
      </c>
      <c r="H60" s="104" t="inlineStr">
        <is>
          <t>O</t>
        </is>
      </c>
      <c r="I60" s="104" t="inlineStr">
        <is>
          <t>O</t>
        </is>
      </c>
      <c r="J60" s="104" t="n">
        <v>10</v>
      </c>
      <c r="K60" s="104" t="n">
        <v>10</v>
      </c>
      <c r="L60" s="104" t="n">
        <v>8</v>
      </c>
      <c r="M60" s="104" t="n">
        <v>9</v>
      </c>
      <c r="N60" s="104" t="n"/>
      <c r="O60" s="104">
        <f>SUM(J60:N60)</f>
        <v/>
      </c>
      <c r="P60" s="12">
        <f>O60/IF(H60="L",20,IF(H60="U",30,IF(H60="O",40,IF(H60="I",20,""))))</f>
        <v/>
      </c>
      <c r="Q60" s="132">
        <f>IF(AND(H60="L", P60&gt;=50%), "Pass",
IF(AND(H60="U", P60&gt;=60%), "Pass",
IF(AND(H60="O", P60&gt;=75%), "Pass", "Fail")))</f>
        <v/>
      </c>
      <c r="R60" s="104" t="n"/>
      <c r="S60" s="104" t="n">
        <v>17</v>
      </c>
      <c r="T60" s="104" t="n">
        <v>15</v>
      </c>
      <c r="U60" s="104">
        <f>SUM(S60:T60)</f>
        <v/>
      </c>
      <c r="V60" s="12">
        <f>U60/IF(H60="L",35,IF(H60="U",35,IF(H60="O",35,IF(H60="I",35,""))))</f>
        <v/>
      </c>
      <c r="W60" s="132">
        <f>IF(AND(H60="L", V60&gt;=50%), "Pass",
IF(AND(H60="U", V60&gt;=60%), "Pass",
IF(AND(H60="O", V60&gt;=75%), "Pass", "Fail")))</f>
        <v/>
      </c>
      <c r="X60" s="132">
        <f>IF(AND(Q60="Pass", W60="Pass"), "Pass", "Fail")</f>
        <v/>
      </c>
      <c r="Y60" s="15">
        <f>IF($X60="Pass",$H60,
IF(H60="L","I",
IF(H60="U","L",
IF(H60="O","U",
"I"))))</f>
        <v/>
      </c>
    </row>
    <row r="61">
      <c r="A61" s="147">
        <f>ROW()-2</f>
        <v/>
      </c>
      <c r="B61" s="127" t="n">
        <v>900184</v>
      </c>
      <c r="C61" s="128" t="inlineStr">
        <is>
          <t>SANJAY KUSHWAH</t>
        </is>
      </c>
      <c r="D61" s="127" t="inlineStr">
        <is>
          <t>PRODUCTION</t>
        </is>
      </c>
      <c r="E61" s="129" t="inlineStr">
        <is>
          <t>TYRE BUILDING-P3</t>
        </is>
      </c>
      <c r="F61" s="130" t="n">
        <v>40634</v>
      </c>
      <c r="G61" s="131">
        <f>NOW()-F61</f>
        <v/>
      </c>
      <c r="H61" s="104" t="inlineStr">
        <is>
          <t>O</t>
        </is>
      </c>
      <c r="I61" s="104" t="inlineStr">
        <is>
          <t>O</t>
        </is>
      </c>
      <c r="J61" s="104" t="n">
        <v>9</v>
      </c>
      <c r="K61" s="104" t="n">
        <v>10</v>
      </c>
      <c r="L61" s="104" t="n">
        <v>8</v>
      </c>
      <c r="M61" s="104" t="n">
        <v>9</v>
      </c>
      <c r="N61" s="104" t="n"/>
      <c r="O61" s="104">
        <f>SUM(J61:N61)</f>
        <v/>
      </c>
      <c r="P61" s="12">
        <f>O61/IF(H61="L",20,IF(H61="U",30,IF(H61="O",40,IF(H61="I",20,""))))</f>
        <v/>
      </c>
      <c r="Q61" s="132">
        <f>IF(AND(H61="L", P61&gt;=50%), "Pass",
IF(AND(H61="U", P61&gt;=60%), "Pass",
IF(AND(H61="O", P61&gt;=75%), "Pass", "Fail")))</f>
        <v/>
      </c>
      <c r="R61" s="104" t="n"/>
      <c r="S61" s="43" t="n">
        <v>17</v>
      </c>
      <c r="T61" s="43" t="n">
        <v>14</v>
      </c>
      <c r="U61" s="104">
        <f>SUM(S61:T61)</f>
        <v/>
      </c>
      <c r="V61" s="12">
        <f>U61/IF(H61="L",35,IF(H61="U",35,IF(H61="O",35,IF(H61="I",35,""))))</f>
        <v/>
      </c>
      <c r="W61" s="132">
        <f>IF(AND(H61="L", V61&gt;=50%), "Pass",
IF(AND(H61="U", V61&gt;=60%), "Pass",
IF(AND(H61="O", V61&gt;=75%), "Pass", "Fail")))</f>
        <v/>
      </c>
      <c r="X61" s="132">
        <f>IF(AND(Q61="Pass", W61="Pass"), "Pass", "Fail")</f>
        <v/>
      </c>
      <c r="Y61" s="15">
        <f>IF($X61="Pass",$H61,
IF(H61="L","I",
IF(H61="U","L",
IF(H61="O","U",
"I"))))</f>
        <v/>
      </c>
    </row>
    <row r="62">
      <c r="A62" s="147">
        <f>ROW()-2</f>
        <v/>
      </c>
      <c r="B62" s="127" t="n">
        <v>900185</v>
      </c>
      <c r="C62" s="128" t="inlineStr">
        <is>
          <t>NANDALAL KUSHWAHA</t>
        </is>
      </c>
      <c r="D62" s="127" t="inlineStr">
        <is>
          <t>PRODUCTION</t>
        </is>
      </c>
      <c r="E62" s="129" t="inlineStr">
        <is>
          <t>TYRE BUILDING-P3</t>
        </is>
      </c>
      <c r="F62" s="130" t="n">
        <v>40634</v>
      </c>
      <c r="G62" s="131">
        <f>NOW()-F62</f>
        <v/>
      </c>
      <c r="H62" s="104" t="inlineStr">
        <is>
          <t>O</t>
        </is>
      </c>
      <c r="I62" s="104" t="inlineStr">
        <is>
          <t>O</t>
        </is>
      </c>
      <c r="J62" s="104" t="n">
        <v>10</v>
      </c>
      <c r="K62" s="104" t="n">
        <v>10</v>
      </c>
      <c r="L62" s="104" t="n">
        <v>8</v>
      </c>
      <c r="M62" s="104" t="n">
        <v>9</v>
      </c>
      <c r="N62" s="104" t="n"/>
      <c r="O62" s="104">
        <f>SUM(J62:N62)</f>
        <v/>
      </c>
      <c r="P62" s="12">
        <f>O62/IF(H62="L",20,IF(H62="U",30,IF(H62="O",40,IF(H62="I",20,""))))</f>
        <v/>
      </c>
      <c r="Q62" s="132">
        <f>IF(AND(H62="L", P62&gt;=50%), "Pass",
IF(AND(H62="U", P62&gt;=60%), "Pass",
IF(AND(H62="O", P62&gt;=75%), "Pass", "Fail")))</f>
        <v/>
      </c>
      <c r="R62" s="104" t="n"/>
      <c r="S62" s="43" t="n">
        <v>18</v>
      </c>
      <c r="T62" s="43" t="n">
        <v>15</v>
      </c>
      <c r="U62" s="104">
        <f>SUM(S62:T62)</f>
        <v/>
      </c>
      <c r="V62" s="12">
        <f>U62/IF(H62="L",35,IF(H62="U",35,IF(H62="O",35,IF(H62="I",35,""))))</f>
        <v/>
      </c>
      <c r="W62" s="132">
        <f>IF(AND(H62="L", V62&gt;=50%), "Pass",
IF(AND(H62="U", V62&gt;=60%), "Pass",
IF(AND(H62="O", V62&gt;=75%), "Pass", "Fail")))</f>
        <v/>
      </c>
      <c r="X62" s="132">
        <f>IF(AND(Q62="Pass", W62="Pass"), "Pass", "Fail")</f>
        <v/>
      </c>
      <c r="Y62" s="15">
        <f>IF($X62="Pass",$H62,
IF(H62="L","I",
IF(H62="U","L",
IF(H62="O","U",
"I"))))</f>
        <v/>
      </c>
    </row>
    <row r="63">
      <c r="A63" s="147">
        <f>ROW()-2</f>
        <v/>
      </c>
      <c r="B63" s="127" t="n">
        <v>900186</v>
      </c>
      <c r="C63" s="128" t="inlineStr">
        <is>
          <t>MUNNA GUPTA</t>
        </is>
      </c>
      <c r="D63" s="127" t="inlineStr">
        <is>
          <t>PRODUCTION</t>
        </is>
      </c>
      <c r="E63" s="129" t="inlineStr">
        <is>
          <t>TYRE BUILDING-P3</t>
        </is>
      </c>
      <c r="F63" s="130" t="n">
        <v>40634</v>
      </c>
      <c r="G63" s="131">
        <f>NOW()-F63</f>
        <v/>
      </c>
      <c r="H63" s="104" t="inlineStr">
        <is>
          <t>O</t>
        </is>
      </c>
      <c r="I63" s="104" t="inlineStr">
        <is>
          <t>O</t>
        </is>
      </c>
      <c r="J63" s="104" t="n">
        <v>7</v>
      </c>
      <c r="K63" s="104" t="n">
        <v>8</v>
      </c>
      <c r="L63" s="104" t="n">
        <v>5</v>
      </c>
      <c r="M63" s="104" t="n">
        <v>5</v>
      </c>
      <c r="N63" s="104" t="n"/>
      <c r="O63" s="104">
        <f>SUM(J63:N63)</f>
        <v/>
      </c>
      <c r="P63" s="12">
        <f>O63/IF(H63="L",20,IF(H63="U",30,IF(H63="O",40,IF(H63="I",20,""))))</f>
        <v/>
      </c>
      <c r="Q63" s="132">
        <f>IF(AND(H63="L", P63&gt;=50%), "Pass",
IF(AND(H63="U", P63&gt;=60%), "Pass",
IF(AND(H63="O", P63&gt;=75%), "Pass", "Fail")))</f>
        <v/>
      </c>
      <c r="R63" s="104" t="n"/>
      <c r="S63" s="104" t="n">
        <v>17</v>
      </c>
      <c r="T63" s="104" t="n">
        <v>15</v>
      </c>
      <c r="U63" s="104">
        <f>SUM(S63:T63)</f>
        <v/>
      </c>
      <c r="V63" s="12">
        <f>U63/IF(H63="L",35,IF(H63="U",35,IF(H63="O",35,IF(H63="I",35,""))))</f>
        <v/>
      </c>
      <c r="W63" s="132">
        <f>IF(AND(H63="L", V63&gt;=50%), "Pass",
IF(AND(H63="U", V63&gt;=60%), "Pass",
IF(AND(H63="O", V63&gt;=75%), "Pass", "Fail")))</f>
        <v/>
      </c>
      <c r="X63" s="132">
        <f>IF(AND(Q63="Pass", W63="Pass"), "Pass", "Fail")</f>
        <v/>
      </c>
      <c r="Y63" s="15">
        <f>IF($X63="Pass",$H63,
IF(H63="L","I",
IF(H63="U","L",
IF(H63="O","U",
"I"))))</f>
        <v/>
      </c>
      <c r="Z63" s="81">
        <f>V63-75%</f>
        <v/>
      </c>
    </row>
    <row r="64">
      <c r="A64" s="147">
        <f>ROW()-2</f>
        <v/>
      </c>
      <c r="B64" s="127" t="n">
        <v>900187</v>
      </c>
      <c r="C64" s="128" t="inlineStr">
        <is>
          <t>RAM PRAVESH KUSHWAHA</t>
        </is>
      </c>
      <c r="D64" s="127" t="inlineStr">
        <is>
          <t>PRODUCTION</t>
        </is>
      </c>
      <c r="E64" s="129" t="inlineStr">
        <is>
          <t>TYRE BUILDING-P1</t>
        </is>
      </c>
      <c r="F64" s="130" t="n">
        <v>40634</v>
      </c>
      <c r="G64" s="131">
        <f>NOW()-F64</f>
        <v/>
      </c>
      <c r="H64" s="104" t="inlineStr">
        <is>
          <t>O</t>
        </is>
      </c>
      <c r="I64" s="104" t="inlineStr">
        <is>
          <t>O</t>
        </is>
      </c>
      <c r="J64" s="104" t="n">
        <v>9</v>
      </c>
      <c r="K64" s="104" t="n">
        <v>8</v>
      </c>
      <c r="L64" s="104" t="n">
        <v>7</v>
      </c>
      <c r="M64" s="104" t="n">
        <v>9</v>
      </c>
      <c r="N64" s="104" t="n"/>
      <c r="O64" s="104">
        <f>SUM(J64:N64)</f>
        <v/>
      </c>
      <c r="P64" s="12">
        <f>O64/IF(H64="L",20,IF(H64="U",30,IF(H64="O",40,IF(H64="I",20,""))))</f>
        <v/>
      </c>
      <c r="Q64" s="132">
        <f>IF(AND(H64="L", P64&gt;=50%), "Pass",
IF(AND(H64="U", P64&gt;=60%), "Pass",
IF(AND(H64="O", P64&gt;=75%), "Pass", "Fail")))</f>
        <v/>
      </c>
      <c r="R64" s="104" t="n"/>
      <c r="S64" s="104" t="n">
        <v>16</v>
      </c>
      <c r="T64" s="104" t="n">
        <v>15</v>
      </c>
      <c r="U64" s="104">
        <f>SUM(S64:T64)</f>
        <v/>
      </c>
      <c r="V64" s="12">
        <f>U64/IF(H64="L",35,IF(H64="U",35,IF(H64="O",35,IF(H64="I",35,""))))</f>
        <v/>
      </c>
      <c r="W64" s="132">
        <f>IF(AND(H64="L", V64&gt;=50%), "Pass",
IF(AND(H64="U", V64&gt;=60%), "Pass",
IF(AND(H64="O", V64&gt;=75%), "Pass", "Fail")))</f>
        <v/>
      </c>
      <c r="X64" s="132">
        <f>IF(AND(Q64="Pass", W64="Pass"), "Pass", "Fail")</f>
        <v/>
      </c>
      <c r="Y64" s="15">
        <f>IF($X64="Pass",$H64,
IF(H64="L","I",
IF(H64="U","L",
IF(H64="O","U",
"I"))))</f>
        <v/>
      </c>
    </row>
    <row r="65">
      <c r="A65" s="147">
        <f>ROW()-2</f>
        <v/>
      </c>
      <c r="B65" s="127" t="n">
        <v>900188</v>
      </c>
      <c r="C65" s="128" t="inlineStr">
        <is>
          <t>MUTHU RAJA P</t>
        </is>
      </c>
      <c r="D65" s="127" t="inlineStr">
        <is>
          <t>PRODUCTION</t>
        </is>
      </c>
      <c r="E65" s="129" t="inlineStr">
        <is>
          <t>TYRE CURING</t>
        </is>
      </c>
      <c r="F65" s="130" t="n">
        <v>40634</v>
      </c>
      <c r="G65" s="131">
        <f>NOW()-F65</f>
        <v/>
      </c>
      <c r="H65" s="104" t="inlineStr">
        <is>
          <t>O</t>
        </is>
      </c>
      <c r="I65" s="104" t="inlineStr">
        <is>
          <t>O</t>
        </is>
      </c>
      <c r="J65" s="104" t="n">
        <v>9</v>
      </c>
      <c r="K65" s="104" t="n">
        <v>9</v>
      </c>
      <c r="L65" s="104" t="n">
        <v>6</v>
      </c>
      <c r="M65" s="104" t="n">
        <v>6</v>
      </c>
      <c r="N65" s="104" t="n"/>
      <c r="O65" s="104">
        <f>SUM(J65:N65)</f>
        <v/>
      </c>
      <c r="P65" s="12">
        <f>O65/IF(H65="L",20,IF(H65="U",30,IF(H65="O",40,IF(H65="I",20,""))))</f>
        <v/>
      </c>
      <c r="Q65" s="132">
        <f>IF(AND(H65="L", P65&gt;=50%), "Pass",
IF(AND(H65="U", P65&gt;=60%), "Pass",
IF(AND(H65="O", P65&gt;=75%), "Pass", "Fail")))</f>
        <v/>
      </c>
      <c r="R65" s="104" t="n"/>
      <c r="S65" s="104" t="n">
        <v>12</v>
      </c>
      <c r="T65" s="104" t="n">
        <v>10</v>
      </c>
      <c r="U65" s="104">
        <f>SUM(S65:T65)</f>
        <v/>
      </c>
      <c r="V65" s="12">
        <f>U65/IF(H65="L",35,IF(H65="U",35,IF(H65="O",35,IF(H65="I",35,""))))</f>
        <v/>
      </c>
      <c r="W65" s="132">
        <f>IF(AND(H65="L", V65&gt;=50%), "Pass",
IF(AND(H65="U", V65&gt;=60%), "Pass",
IF(AND(H65="O", V65&gt;=75%), "Pass", "Fail")))</f>
        <v/>
      </c>
      <c r="X65" s="132">
        <f>IF(AND(Q65="Pass", W65="Pass"), "Pass", "Fail")</f>
        <v/>
      </c>
      <c r="Y65" s="15">
        <f>IF($X65="Pass",$H65,
IF(H65="L","I",
IF(H65="U","L",
IF(H65="O","U",
"I"))))</f>
        <v/>
      </c>
    </row>
    <row r="66">
      <c r="A66" s="147">
        <f>ROW()-2</f>
        <v/>
      </c>
      <c r="B66" s="127" t="n">
        <v>900189</v>
      </c>
      <c r="C66" s="128" t="inlineStr">
        <is>
          <t>MARIVEL R</t>
        </is>
      </c>
      <c r="D66" s="127" t="inlineStr">
        <is>
          <t>PRODUCTION</t>
        </is>
      </c>
      <c r="E66" s="129" t="inlineStr">
        <is>
          <t>TYRE CURING</t>
        </is>
      </c>
      <c r="F66" s="130" t="n">
        <v>40634</v>
      </c>
      <c r="G66" s="131">
        <f>NOW()-F66</f>
        <v/>
      </c>
      <c r="H66" s="104" t="inlineStr">
        <is>
          <t>O</t>
        </is>
      </c>
      <c r="I66" s="104" t="inlineStr">
        <is>
          <t>O</t>
        </is>
      </c>
      <c r="J66" s="104" t="n">
        <v>8</v>
      </c>
      <c r="K66" s="104" t="n">
        <v>9</v>
      </c>
      <c r="L66" s="104" t="n">
        <v>8</v>
      </c>
      <c r="M66" s="104" t="n">
        <v>9</v>
      </c>
      <c r="N66" s="104" t="n"/>
      <c r="O66" s="104">
        <f>SUM(J66:N66)</f>
        <v/>
      </c>
      <c r="P66" s="12">
        <f>O66/IF(H66="L",20,IF(H66="U",30,IF(H66="O",40,IF(H66="I",20,""))))</f>
        <v/>
      </c>
      <c r="Q66" s="132">
        <f>IF(AND(H66="L", P66&gt;=50%), "Pass",
IF(AND(H66="U", P66&gt;=60%), "Pass",
IF(AND(H66="O", P66&gt;=75%), "Pass", "Fail")))</f>
        <v/>
      </c>
      <c r="R66" s="104" t="n"/>
      <c r="S66" s="104" t="n">
        <v>15</v>
      </c>
      <c r="T66" s="104" t="n">
        <v>12</v>
      </c>
      <c r="U66" s="104">
        <f>SUM(S66:T66)</f>
        <v/>
      </c>
      <c r="V66" s="12">
        <f>U66/IF(H66="L",35,IF(H66="U",35,IF(H66="O",35,IF(H66="I",35,""))))</f>
        <v/>
      </c>
      <c r="W66" s="132">
        <f>IF(AND(H66="L", V66&gt;=50%), "Pass",
IF(AND(H66="U", V66&gt;=60%), "Pass",
IF(AND(H66="O", V66&gt;=75%), "Pass", "Fail")))</f>
        <v/>
      </c>
      <c r="X66" s="132">
        <f>IF(AND(Q66="Pass", W66="Pass"), "Pass", "Fail")</f>
        <v/>
      </c>
      <c r="Y66" s="15">
        <f>IF($X66="Pass",$H66,
IF(H66="L","I",
IF(H66="U","L",
IF(H66="O","U",
"I"))))</f>
        <v/>
      </c>
    </row>
    <row r="67">
      <c r="A67" s="147">
        <f>ROW()-2</f>
        <v/>
      </c>
      <c r="B67" s="127" t="n">
        <v>900190</v>
      </c>
      <c r="C67" s="128" t="inlineStr">
        <is>
          <t>SAVARIVASAN M</t>
        </is>
      </c>
      <c r="D67" s="127" t="inlineStr">
        <is>
          <t>PRODUCTION</t>
        </is>
      </c>
      <c r="E67" s="129" t="inlineStr">
        <is>
          <t>TYRE CURING</t>
        </is>
      </c>
      <c r="F67" s="130" t="n">
        <v>40634</v>
      </c>
      <c r="G67" s="131">
        <f>NOW()-F67</f>
        <v/>
      </c>
      <c r="H67" s="104" t="inlineStr">
        <is>
          <t>O</t>
        </is>
      </c>
      <c r="I67" s="104" t="inlineStr">
        <is>
          <t>O</t>
        </is>
      </c>
      <c r="J67" s="104" t="n">
        <v>6</v>
      </c>
      <c r="K67" s="104" t="n">
        <v>6</v>
      </c>
      <c r="L67" s="104" t="n">
        <v>6</v>
      </c>
      <c r="M67" s="104" t="n">
        <v>6</v>
      </c>
      <c r="N67" s="104" t="n"/>
      <c r="O67" s="104">
        <f>SUM(J67:N67)</f>
        <v/>
      </c>
      <c r="P67" s="12">
        <f>O67/IF(H67="L",20,IF(H67="U",30,IF(H67="O",40,IF(H67="I",20,""))))</f>
        <v/>
      </c>
      <c r="Q67" s="132">
        <f>IF(AND(H67="L", P67&gt;=50%), "Pass",
 IF(AND(H67="U", P67&gt;=60%), "Pass",
 IF(AND(H67="O", P67&gt;=75%), "Pass", "Fail")))</f>
        <v/>
      </c>
      <c r="R67" s="104" t="n"/>
      <c r="S67" s="104" t="n">
        <v>18</v>
      </c>
      <c r="T67" s="104" t="n">
        <v>13</v>
      </c>
      <c r="U67" s="104">
        <f>SUM(S67:T67)</f>
        <v/>
      </c>
      <c r="V67" s="12">
        <f>U67/IF(H67="L",35,IF(H67="U",35,IF(H67="O",35,IF(H67="I",35,""))))</f>
        <v/>
      </c>
      <c r="W67" s="132">
        <f>IF(AND(H67="L", V67&gt;=50%), "Pass",
 IF(AND(H67="U", V67&gt;=60%), "Pass",
 IF(AND(H67="O", V67&gt;=75%), "Pass", "Fail")))</f>
        <v/>
      </c>
      <c r="X67" s="132">
        <f>IF(AND(Q67="Pass", W67="Pass"), "Pass", "Fail")</f>
        <v/>
      </c>
      <c r="Y67" s="15">
        <f>IF($X67="Pass",$H67,
IF(H67="L","I",
IF(H67="U","L",
IF(H67="O","U",
"I"))))</f>
        <v/>
      </c>
      <c r="Z67" s="81">
        <f>V67-75%</f>
        <v/>
      </c>
    </row>
    <row r="68">
      <c r="A68" s="147">
        <f>ROW()-2</f>
        <v/>
      </c>
      <c r="B68" s="127" t="n">
        <v>900192</v>
      </c>
      <c r="C68" s="128" t="inlineStr">
        <is>
          <t>A. GNANAMURTHI</t>
        </is>
      </c>
      <c r="D68" s="127" t="inlineStr">
        <is>
          <t>PRODUCTION</t>
        </is>
      </c>
      <c r="E68" s="129" t="inlineStr">
        <is>
          <t>TYRE CURING</t>
        </is>
      </c>
      <c r="F68" s="130" t="n">
        <v>40634</v>
      </c>
      <c r="G68" s="131">
        <f>NOW()-F68</f>
        <v/>
      </c>
      <c r="H68" s="104" t="inlineStr">
        <is>
          <t>O</t>
        </is>
      </c>
      <c r="I68" s="104" t="inlineStr">
        <is>
          <t>O</t>
        </is>
      </c>
      <c r="J68" s="104" t="n">
        <v>9</v>
      </c>
      <c r="K68" s="104" t="n">
        <v>9</v>
      </c>
      <c r="L68" s="104" t="n">
        <v>8</v>
      </c>
      <c r="M68" s="104" t="n">
        <v>9</v>
      </c>
      <c r="N68" s="104" t="n"/>
      <c r="O68" s="104">
        <f>SUM(J68:N68)</f>
        <v/>
      </c>
      <c r="P68" s="12">
        <f>O68/IF(H68="L",20,IF(H68="U",30,IF(H68="O",40,IF(H68="I",20,""))))</f>
        <v/>
      </c>
      <c r="Q68" s="132">
        <f>IF(AND(H68="L", P68&gt;=50%), "Pass",
IF(AND(H68="U", P68&gt;=60%), "Pass",
IF(AND(H68="O", P68&gt;=75%), "Pass", "Fail")))</f>
        <v/>
      </c>
      <c r="R68" s="104" t="n"/>
      <c r="S68" s="104" t="n">
        <v>16</v>
      </c>
      <c r="T68" s="104" t="n">
        <v>12</v>
      </c>
      <c r="U68" s="104">
        <f>SUM(S68:T68)</f>
        <v/>
      </c>
      <c r="V68" s="12">
        <f>U68/IF(H68="L",35,IF(H68="U",35,IF(H68="O",35,IF(H68="I",35,""))))</f>
        <v/>
      </c>
      <c r="W68" s="132">
        <f>IF(AND(H68="L", V68&gt;=50%), "Pass",
IF(AND(H68="U", V68&gt;=60%), "Pass",
IF(AND(H68="O", V68&gt;=75%), "Pass", "Fail")))</f>
        <v/>
      </c>
      <c r="X68" s="132">
        <f>IF(AND(Q68="Pass", W68="Pass"), "Pass", "Fail")</f>
        <v/>
      </c>
      <c r="Y68" s="15">
        <f>IF($X68="Pass",$H68,
IF(H68="L","I",
IF(H68="U","L",
IF(H68="O","U",
"I"))))</f>
        <v/>
      </c>
    </row>
    <row r="69">
      <c r="A69" s="147">
        <f>ROW()-2</f>
        <v/>
      </c>
      <c r="B69" s="127" t="n">
        <v>900193</v>
      </c>
      <c r="C69" s="128" t="inlineStr">
        <is>
          <t>PINTU TIWARI</t>
        </is>
      </c>
      <c r="D69" s="127" t="inlineStr">
        <is>
          <t>PRODUCTION</t>
        </is>
      </c>
      <c r="E69" s="129" t="inlineStr">
        <is>
          <t>TYRE CURING</t>
        </is>
      </c>
      <c r="F69" s="130" t="n">
        <v>40634</v>
      </c>
      <c r="G69" s="131">
        <f>NOW()-F69</f>
        <v/>
      </c>
      <c r="H69" s="104" t="inlineStr">
        <is>
          <t>O</t>
        </is>
      </c>
      <c r="I69" s="104" t="inlineStr">
        <is>
          <t>O</t>
        </is>
      </c>
      <c r="J69" s="104" t="n">
        <v>9</v>
      </c>
      <c r="K69" s="104" t="n">
        <v>9</v>
      </c>
      <c r="L69" s="104" t="n">
        <v>9</v>
      </c>
      <c r="M69" s="104" t="n">
        <v>9</v>
      </c>
      <c r="N69" s="104" t="n"/>
      <c r="O69" s="104">
        <f>SUM(J69:N69)</f>
        <v/>
      </c>
      <c r="P69" s="12">
        <f>O69/IF(H69="L",20,IF(H69="U",30,IF(H69="O",40,IF(H69="I",20,""))))</f>
        <v/>
      </c>
      <c r="Q69" s="132">
        <f>IF(AND(H69="L", P69&gt;=50%), "Pass",
IF(AND(H69="U", P69&gt;=60%), "Pass",
IF(AND(H69="O", P69&gt;=75%), "Pass", "Fail")))</f>
        <v/>
      </c>
      <c r="R69" s="104" t="n"/>
      <c r="S69" s="104" t="n">
        <v>13</v>
      </c>
      <c r="T69" s="104" t="n">
        <v>9</v>
      </c>
      <c r="U69" s="104">
        <f>SUM(S69:T69)</f>
        <v/>
      </c>
      <c r="V69" s="12">
        <f>U69/IF(H69="L",35,IF(H69="U",35,IF(H69="O",35,IF(H69="I",35,""))))</f>
        <v/>
      </c>
      <c r="W69" s="132">
        <f>IF(AND(H69="L", V69&gt;=50%), "Pass",
IF(AND(H69="U", V69&gt;=60%), "Pass",
IF(AND(H69="O", V69&gt;=75%), "Pass", "Fail")))</f>
        <v/>
      </c>
      <c r="X69" s="132">
        <f>IF(AND(Q69="Pass", W69="Pass"), "Pass", "Fail")</f>
        <v/>
      </c>
      <c r="Y69" s="15">
        <f>IF($X69="Pass",$H69,
IF(H69="L","I",
IF(H69="U","L",
IF(H69="O","U",
"I"))))</f>
        <v/>
      </c>
    </row>
    <row r="70">
      <c r="A70" s="147">
        <f>ROW()-2</f>
        <v/>
      </c>
      <c r="B70" s="127" t="n">
        <v>900194</v>
      </c>
      <c r="C70" s="128" t="inlineStr">
        <is>
          <t>KUMAR R</t>
        </is>
      </c>
      <c r="D70" s="127" t="inlineStr">
        <is>
          <t>PRODUCTION</t>
        </is>
      </c>
      <c r="E70" s="129" t="inlineStr">
        <is>
          <t>TYRE CURING</t>
        </is>
      </c>
      <c r="F70" s="130" t="n">
        <v>40634</v>
      </c>
      <c r="G70" s="131">
        <f>NOW()-F70</f>
        <v/>
      </c>
      <c r="H70" s="104" t="inlineStr">
        <is>
          <t>O</t>
        </is>
      </c>
      <c r="I70" s="104" t="inlineStr">
        <is>
          <t>O</t>
        </is>
      </c>
      <c r="J70" s="104" t="n">
        <v>9</v>
      </c>
      <c r="K70" s="104" t="n">
        <v>9</v>
      </c>
      <c r="L70" s="104" t="n">
        <v>8</v>
      </c>
      <c r="M70" s="104" t="n">
        <v>9</v>
      </c>
      <c r="N70" s="104" t="n"/>
      <c r="O70" s="104">
        <f>SUM(J70:N70)</f>
        <v/>
      </c>
      <c r="P70" s="12">
        <f>O70/IF(H70="L",20,IF(H70="U",30,IF(H70="O",40,IF(H70="I",20,""))))</f>
        <v/>
      </c>
      <c r="Q70" s="132">
        <f>IF(AND(H70="L", P70&gt;=50%), "Pass",
IF(AND(H70="U", P70&gt;=60%), "Pass",
IF(AND(H70="O", P70&gt;=75%), "Pass", "Fail")))</f>
        <v/>
      </c>
      <c r="R70" s="104" t="n"/>
      <c r="S70" s="104" t="n">
        <v>18</v>
      </c>
      <c r="T70" s="104" t="n">
        <v>13</v>
      </c>
      <c r="U70" s="104">
        <f>SUM(S70:T70)</f>
        <v/>
      </c>
      <c r="V70" s="12">
        <f>U70/IF(H70="L",35,IF(H70="U",35,IF(H70="O",35,IF(H70="I",35,""))))</f>
        <v/>
      </c>
      <c r="W70" s="132">
        <f>IF(AND(H70="L", V70&gt;=50%), "Pass",
IF(AND(H70="U", V70&gt;=60%), "Pass",
IF(AND(H70="O", V70&gt;=75%), "Pass", "Fail")))</f>
        <v/>
      </c>
      <c r="X70" s="132">
        <f>IF(AND(Q70="Pass", W70="Pass"), "Pass", "Fail")</f>
        <v/>
      </c>
      <c r="Y70" s="15">
        <f>IF($X70="Pass",$H70,
IF(H70="L","I",
IF(H70="U","L",
IF(H70="O","U",
"I"))))</f>
        <v/>
      </c>
    </row>
    <row r="71">
      <c r="A71" s="147">
        <f>ROW()-2</f>
        <v/>
      </c>
      <c r="B71" s="127" t="n">
        <v>900195</v>
      </c>
      <c r="C71" s="128" t="inlineStr">
        <is>
          <t>VINAYAGAR N</t>
        </is>
      </c>
      <c r="D71" s="127" t="inlineStr">
        <is>
          <t>PRODUCTION</t>
        </is>
      </c>
      <c r="E71" s="129" t="inlineStr">
        <is>
          <t>TYRE CURING</t>
        </is>
      </c>
      <c r="F71" s="130" t="n">
        <v>40634</v>
      </c>
      <c r="G71" s="131">
        <f>NOW()-F71</f>
        <v/>
      </c>
      <c r="H71" s="104" t="inlineStr">
        <is>
          <t>O</t>
        </is>
      </c>
      <c r="I71" s="104" t="inlineStr">
        <is>
          <t>O</t>
        </is>
      </c>
      <c r="J71" s="104" t="n">
        <v>9</v>
      </c>
      <c r="K71" s="104" t="n">
        <v>9</v>
      </c>
      <c r="L71" s="104" t="n">
        <v>9</v>
      </c>
      <c r="M71" s="104" t="n">
        <v>8</v>
      </c>
      <c r="N71" s="104" t="n"/>
      <c r="O71" s="104">
        <f>SUM(J71:N71)</f>
        <v/>
      </c>
      <c r="P71" s="12">
        <f>O71/IF(H71="L",20,IF(H71="U",30,IF(H71="O",40,IF(H71="I",20,""))))</f>
        <v/>
      </c>
      <c r="Q71" s="132">
        <f>IF(AND(H71="L", P71&gt;=50%), "Pass",
IF(AND(H71="U", P71&gt;=60%), "Pass",
IF(AND(H71="O", P71&gt;=75%), "Pass", "Fail")))</f>
        <v/>
      </c>
      <c r="R71" s="104" t="n"/>
      <c r="S71" s="104" t="n">
        <v>15</v>
      </c>
      <c r="T71" s="104" t="n">
        <v>12</v>
      </c>
      <c r="U71" s="104">
        <f>SUM(S71:T71)</f>
        <v/>
      </c>
      <c r="V71" s="12">
        <f>U71/IF(H71="L",35,IF(H71="U",35,IF(H71="O",35,IF(H71="I",35,""))))</f>
        <v/>
      </c>
      <c r="W71" s="132">
        <f>IF(AND(H71="L", V71&gt;=50%), "Pass",
IF(AND(H71="U", V71&gt;=60%), "Pass",
IF(AND(H71="O", V71&gt;=75%), "Pass", "Fail")))</f>
        <v/>
      </c>
      <c r="X71" s="132">
        <f>IF(AND(Q71="Pass", W71="Pass"), "Pass", "Fail")</f>
        <v/>
      </c>
      <c r="Y71" s="15">
        <f>IF($X71="Pass",$H71,
IF(H71="L","I",
IF(H71="U","L",
IF(H71="O","U",
"I"))))</f>
        <v/>
      </c>
    </row>
    <row r="72">
      <c r="A72" s="147">
        <f>ROW()-2</f>
        <v/>
      </c>
      <c r="B72" s="127" t="n">
        <v>900196</v>
      </c>
      <c r="C72" s="128" t="inlineStr">
        <is>
          <t>RAVI M</t>
        </is>
      </c>
      <c r="D72" s="127" t="inlineStr">
        <is>
          <t>PRODUCTION</t>
        </is>
      </c>
      <c r="E72" s="129" t="inlineStr">
        <is>
          <t>TYRE CURING</t>
        </is>
      </c>
      <c r="F72" s="130" t="n">
        <v>40634</v>
      </c>
      <c r="G72" s="131">
        <f>NOW()-F72</f>
        <v/>
      </c>
      <c r="H72" s="104" t="inlineStr">
        <is>
          <t>O</t>
        </is>
      </c>
      <c r="I72" s="104" t="inlineStr">
        <is>
          <t>O</t>
        </is>
      </c>
      <c r="J72" s="104" t="n">
        <v>9</v>
      </c>
      <c r="K72" s="104" t="n">
        <v>9</v>
      </c>
      <c r="L72" s="104" t="n">
        <v>9</v>
      </c>
      <c r="M72" s="104" t="n">
        <v>9</v>
      </c>
      <c r="N72" s="104" t="n"/>
      <c r="O72" s="104">
        <f>SUM(J72:N72)</f>
        <v/>
      </c>
      <c r="P72" s="12">
        <f>O72/IF(H72="L",20,IF(H72="U",30,IF(H72="O",40,IF(H72="I",20,""))))</f>
        <v/>
      </c>
      <c r="Q72" s="132">
        <f>IF(AND(H72="L", P72&gt;=50%), "Pass",
IF(AND(H72="U", P72&gt;=60%), "Pass",
IF(AND(H72="O", P72&gt;=75%), "Pass", "Fail")))</f>
        <v/>
      </c>
      <c r="R72" s="104" t="n"/>
      <c r="S72" s="104" t="n">
        <v>16</v>
      </c>
      <c r="T72" s="104" t="n">
        <v>11</v>
      </c>
      <c r="U72" s="104">
        <f>SUM(S72:T72)</f>
        <v/>
      </c>
      <c r="V72" s="12">
        <f>U72/IF(H72="L",35,IF(H72="U",35,IF(H72="O",35,IF(H72="I",35,""))))</f>
        <v/>
      </c>
      <c r="W72" s="132">
        <f>IF(AND(H72="L", V72&gt;=50%), "Pass",
IF(AND(H72="U", V72&gt;=60%), "Pass",
IF(AND(H72="O", V72&gt;=75%), "Pass", "Fail")))</f>
        <v/>
      </c>
      <c r="X72" s="132">
        <f>IF(AND(Q72="Pass", W72="Pass"), "Pass", "Fail")</f>
        <v/>
      </c>
      <c r="Y72" s="15">
        <f>IF($X72="Pass",$H72,
IF(H72="L","I",
IF(H72="U","L",
IF(H72="O","U",
"I"))))</f>
        <v/>
      </c>
    </row>
    <row r="73">
      <c r="A73" s="147">
        <f>ROW()-2</f>
        <v/>
      </c>
      <c r="B73" s="127" t="n">
        <v>900197</v>
      </c>
      <c r="C73" s="128" t="inlineStr">
        <is>
          <t>SANKAR M</t>
        </is>
      </c>
      <c r="D73" s="127" t="inlineStr">
        <is>
          <t>PRODUCTION</t>
        </is>
      </c>
      <c r="E73" s="129" t="inlineStr">
        <is>
          <t>BIAS MARANGONI&amp;BESTRY</t>
        </is>
      </c>
      <c r="F73" s="130" t="n">
        <v>40634</v>
      </c>
      <c r="G73" s="131">
        <f>NOW()-F73</f>
        <v/>
      </c>
      <c r="H73" s="104" t="inlineStr">
        <is>
          <t>O</t>
        </is>
      </c>
      <c r="I73" s="104" t="inlineStr">
        <is>
          <t>O</t>
        </is>
      </c>
      <c r="J73" s="104" t="n">
        <v>9</v>
      </c>
      <c r="K73" s="104" t="n">
        <v>9</v>
      </c>
      <c r="L73" s="104" t="n">
        <v>9</v>
      </c>
      <c r="M73" s="104" t="n">
        <v>8</v>
      </c>
      <c r="N73" s="104" t="n"/>
      <c r="O73" s="104">
        <f>SUM(J73:N73)</f>
        <v/>
      </c>
      <c r="P73" s="12">
        <f>O73/IF(H73="L",20,IF(H73="U",30,IF(H73="O",40,IF(H73="I",20,""))))</f>
        <v/>
      </c>
      <c r="Q73" s="132">
        <f>IF(AND(H73="L", P73&gt;=50%), "Pass",
IF(AND(H73="U", P73&gt;=60%), "Pass",
IF(AND(H73="O", P73&gt;=75%), "Pass", "Fail")))</f>
        <v/>
      </c>
      <c r="R73" s="104" t="n"/>
      <c r="S73" s="104" t="n">
        <v>16</v>
      </c>
      <c r="T73" s="104" t="n">
        <v>12</v>
      </c>
      <c r="U73" s="104">
        <f>SUM(S73:T73)</f>
        <v/>
      </c>
      <c r="V73" s="12">
        <f>U73/IF(H73="L",35,IF(H73="U",35,IF(H73="O",35,IF(H73="I",35,""))))</f>
        <v/>
      </c>
      <c r="W73" s="132">
        <f>IF(AND(H73="L", V73&gt;=50%), "Pass",
IF(AND(H73="U", V73&gt;=60%), "Pass",
IF(AND(H73="O", V73&gt;=75%), "Pass", "Fail")))</f>
        <v/>
      </c>
      <c r="X73" s="132">
        <f>IF(AND(Q73="Pass", W73="Pass"), "Pass", "Fail")</f>
        <v/>
      </c>
      <c r="Y73" s="15">
        <f>IF($X73="Pass",$H73,
IF(H73="L","I",
IF(H73="U","L",
IF(H73="O","U",
"I"))))</f>
        <v/>
      </c>
    </row>
    <row r="74">
      <c r="A74" s="147">
        <f>ROW()-2</f>
        <v/>
      </c>
      <c r="B74" s="127" t="n">
        <v>900198</v>
      </c>
      <c r="C74" s="128" t="inlineStr">
        <is>
          <t>RAJESH YADAV</t>
        </is>
      </c>
      <c r="D74" s="127" t="inlineStr">
        <is>
          <t>PRODUCTION</t>
        </is>
      </c>
      <c r="E74" s="129" t="inlineStr">
        <is>
          <t>TYRE BUILDING-P1</t>
        </is>
      </c>
      <c r="F74" s="130" t="n">
        <v>40634</v>
      </c>
      <c r="G74" s="131">
        <f>NOW()-F74</f>
        <v/>
      </c>
      <c r="H74" s="104" t="inlineStr">
        <is>
          <t>O</t>
        </is>
      </c>
      <c r="I74" s="104" t="inlineStr">
        <is>
          <t>O</t>
        </is>
      </c>
      <c r="J74" s="104" t="n">
        <v>8</v>
      </c>
      <c r="K74" s="104" t="n">
        <v>10</v>
      </c>
      <c r="L74" s="104" t="n">
        <v>8</v>
      </c>
      <c r="M74" s="104" t="n">
        <v>9</v>
      </c>
      <c r="N74" s="104" t="n"/>
      <c r="O74" s="104">
        <f>SUM(J74:N74)</f>
        <v/>
      </c>
      <c r="P74" s="12">
        <f>O74/IF(H74="L",20,IF(H74="U",30,IF(H74="O",40,IF(H74="I",20,""))))</f>
        <v/>
      </c>
      <c r="Q74" s="132">
        <f>IF(AND(H74="L", P74&gt;=50%), "Pass",
IF(AND(H74="U", P74&gt;=60%), "Pass",
IF(AND(H74="O", P74&gt;=75%), "Pass", "Fail")))</f>
        <v/>
      </c>
      <c r="R74" s="104" t="n"/>
      <c r="S74" s="104" t="n">
        <v>17</v>
      </c>
      <c r="T74" s="104" t="n">
        <v>15</v>
      </c>
      <c r="U74" s="104">
        <f>SUM(S74:T74)</f>
        <v/>
      </c>
      <c r="V74" s="12">
        <f>U74/IF(H74="L",35,IF(H74="U",35,IF(H74="O",35,IF(H74="I",35,""))))</f>
        <v/>
      </c>
      <c r="W74" s="132">
        <f>IF(AND(H74="L", V74&gt;=50%), "Pass",
IF(AND(H74="U", V74&gt;=60%), "Pass",
IF(AND(H74="O", V74&gt;=75%), "Pass", "Fail")))</f>
        <v/>
      </c>
      <c r="X74" s="132">
        <f>IF(AND(Q74="Pass", W74="Pass"), "Pass", "Fail")</f>
        <v/>
      </c>
      <c r="Y74" s="15">
        <f>IF($X74="Pass",$H74,
IF(H74="L","I",
IF(H74="U","L",
IF(H74="O","U",
"I"))))</f>
        <v/>
      </c>
    </row>
    <row r="75">
      <c r="A75" s="147">
        <f>ROW()-2</f>
        <v/>
      </c>
      <c r="B75" s="133" t="n">
        <v>900199</v>
      </c>
      <c r="C75" s="148" t="inlineStr">
        <is>
          <t>RAJARAM K</t>
        </is>
      </c>
      <c r="D75" s="127" t="inlineStr">
        <is>
          <t>PRODUCTION</t>
        </is>
      </c>
      <c r="E75" s="135" t="inlineStr">
        <is>
          <t>MIXING</t>
        </is>
      </c>
      <c r="F75" s="136" t="n">
        <v>40634</v>
      </c>
      <c r="G75" s="131">
        <f>NOW()-F75</f>
        <v/>
      </c>
      <c r="H75" s="104" t="inlineStr">
        <is>
          <t>O</t>
        </is>
      </c>
      <c r="I75" s="104" t="inlineStr">
        <is>
          <t>O</t>
        </is>
      </c>
      <c r="J75" s="104" t="inlineStr">
        <is>
          <t>NIL</t>
        </is>
      </c>
      <c r="K75" s="104" t="n"/>
      <c r="L75" s="104" t="n"/>
      <c r="M75" s="104" t="n"/>
      <c r="N75" s="104" t="n"/>
      <c r="O75" s="104" t="n"/>
      <c r="P75" s="12">
        <f>O75/IF(H75="L",20,IF(H75="U",30,IF(H75="O",40,IF(H75="I",20,""))))</f>
        <v/>
      </c>
      <c r="Q75" s="132">
        <f>IF(AND(H75="L", P75&gt;=50%), "Pass",
IF(AND(H75="U", P75&gt;=60%), "Pass",
IF(AND(H75="O", P75&gt;=75%), "Pass", "Fail")))</f>
        <v/>
      </c>
      <c r="R75" s="104" t="n"/>
      <c r="S75" s="104" t="n">
        <v>16</v>
      </c>
      <c r="T75" s="104" t="n">
        <v>12</v>
      </c>
      <c r="U75" s="104">
        <f>SUM(S75:T75)</f>
        <v/>
      </c>
      <c r="V75" s="12">
        <f>U75/IF(H75="L",35,IF(H75="U",35,IF(H75="O",35,IF(H75="I",35,""))))</f>
        <v/>
      </c>
      <c r="W75" s="132">
        <f>IF(AND(H75="L", V75&gt;=50%), "Pass",
IF(AND(H75="U", V75&gt;=60%), "Pass",
IF(AND(H75="O", V75&gt;=75%), "Pass", "Fail")))</f>
        <v/>
      </c>
      <c r="X75" s="132">
        <f>IF(AND(Q75="Pass", W75="Pass"), "Pass", "Fail")</f>
        <v/>
      </c>
      <c r="Y75" s="15">
        <f>IF($X75="Pass",$H75,
IF(H75="L","I",
IF(H75="U","L",
IF(H75="O","U",
"I"))))</f>
        <v/>
      </c>
    </row>
    <row r="76">
      <c r="A76" s="147">
        <f>ROW()-2</f>
        <v/>
      </c>
      <c r="B76" s="127" t="n">
        <v>900200</v>
      </c>
      <c r="C76" s="128" t="inlineStr">
        <is>
          <t>AMAL RAJ R</t>
        </is>
      </c>
      <c r="D76" s="127" t="inlineStr">
        <is>
          <t>PRODUCTION</t>
        </is>
      </c>
      <c r="E76" s="129" t="inlineStr">
        <is>
          <t>TYRE BUILDING-P1</t>
        </is>
      </c>
      <c r="F76" s="130" t="n">
        <v>40634</v>
      </c>
      <c r="G76" s="131">
        <f>NOW()-F76</f>
        <v/>
      </c>
      <c r="H76" s="104" t="inlineStr">
        <is>
          <t>O</t>
        </is>
      </c>
      <c r="I76" s="104" t="inlineStr">
        <is>
          <t>U</t>
        </is>
      </c>
      <c r="J76" s="104" t="n">
        <v>8</v>
      </c>
      <c r="K76" s="104" t="n">
        <v>10</v>
      </c>
      <c r="L76" s="104" t="n">
        <v>8</v>
      </c>
      <c r="M76" s="104" t="n">
        <v>9</v>
      </c>
      <c r="N76" s="104" t="n"/>
      <c r="O76" s="104">
        <f>SUM(J76:N76)</f>
        <v/>
      </c>
      <c r="P76" s="12">
        <f>O76/IF(H76="L",20,IF(H76="U",30,IF(H76="O",40,IF(H76="I",20,""))))</f>
        <v/>
      </c>
      <c r="Q76" s="132">
        <f>IF(AND(H76="L", P76&gt;=50%), "Pass",
IF(AND(H76="U", P76&gt;=60%), "Pass",
IF(AND(H76="O", P76&gt;=75%), "Pass", "Fail")))</f>
        <v/>
      </c>
      <c r="R76" s="104" t="n"/>
      <c r="S76" s="104" t="n">
        <v>16</v>
      </c>
      <c r="T76" s="104" t="n">
        <v>15</v>
      </c>
      <c r="U76" s="104">
        <f>SUM(S76:T76)</f>
        <v/>
      </c>
      <c r="V76" s="12">
        <f>U76/IF(H76="L",35,IF(H76="U",35,IF(H76="O",35,IF(H76="I",35,""))))</f>
        <v/>
      </c>
      <c r="W76" s="132">
        <f>IF(AND(H76="L", V76&gt;=50%), "Pass",
IF(AND(H76="U", V76&gt;=60%), "Pass",
IF(AND(H76="O", V76&gt;=75%), "Pass", "Fail")))</f>
        <v/>
      </c>
      <c r="X76" s="132">
        <f>IF(AND(Q76="Pass", W76="Pass"), "Pass", "Fail")</f>
        <v/>
      </c>
      <c r="Y76" s="15">
        <f>IF($X76="Pass",$H76,
IF(H76="L","I",
IF(H76="U","L",
IF(H76="O","U",
"I"))))</f>
        <v/>
      </c>
    </row>
    <row r="77">
      <c r="A77" s="147">
        <f>ROW()-2</f>
        <v/>
      </c>
      <c r="B77" s="127" t="n">
        <v>900202</v>
      </c>
      <c r="C77" s="128" t="inlineStr">
        <is>
          <t>ESSAKI MUTHU V</t>
        </is>
      </c>
      <c r="D77" s="127" t="inlineStr">
        <is>
          <t>PRODUCTION</t>
        </is>
      </c>
      <c r="E77" s="129" t="inlineStr">
        <is>
          <t>TYRE CURING</t>
        </is>
      </c>
      <c r="F77" s="130" t="n">
        <v>40634</v>
      </c>
      <c r="G77" s="131">
        <f>NOW()-F77</f>
        <v/>
      </c>
      <c r="H77" s="104" t="inlineStr">
        <is>
          <t>O</t>
        </is>
      </c>
      <c r="I77" s="104" t="inlineStr">
        <is>
          <t>O</t>
        </is>
      </c>
      <c r="J77" s="104" t="n">
        <v>10</v>
      </c>
      <c r="K77" s="104" t="n">
        <v>9</v>
      </c>
      <c r="L77" s="104" t="n">
        <v>8</v>
      </c>
      <c r="M77" s="104" t="n">
        <v>7</v>
      </c>
      <c r="N77" s="104" t="n"/>
      <c r="O77" s="104">
        <f>SUM(J77:N77)</f>
        <v/>
      </c>
      <c r="P77" s="12">
        <f>O77/IF(H77="L",20,IF(H77="U",30,IF(H77="O",40,IF(H77="I",20,""))))</f>
        <v/>
      </c>
      <c r="Q77" s="132">
        <f>IF(AND(H77="L", P77&gt;=50%), "Pass",
IF(AND(H77="U", P77&gt;=60%), "Pass",
IF(AND(H77="O", P77&gt;=75%), "Pass", "Fail")))</f>
        <v/>
      </c>
      <c r="R77" s="104" t="n"/>
      <c r="S77" s="104" t="n">
        <v>15</v>
      </c>
      <c r="T77" s="104" t="n">
        <v>14</v>
      </c>
      <c r="U77" s="104">
        <f>SUM(S77:T77)</f>
        <v/>
      </c>
      <c r="V77" s="12">
        <f>U77/IF(H77="L",35,IF(H77="U",35,IF(H77="O",35,IF(H77="I",35,""))))</f>
        <v/>
      </c>
      <c r="W77" s="132">
        <f>IF(AND(H77="L", V77&gt;=50%), "Pass",
IF(AND(H77="U", V77&gt;=60%), "Pass",
IF(AND(H77="O", V77&gt;=75%), "Pass", "Fail")))</f>
        <v/>
      </c>
      <c r="X77" s="132">
        <f>IF(AND(Q77="Pass", W77="Pass"), "Pass", "Fail")</f>
        <v/>
      </c>
      <c r="Y77" s="15">
        <f>IF($X77="Pass",$H77,
IF(H77="L","I",
IF(H77="U","L",
IF(H77="O","U",
"I"))))</f>
        <v/>
      </c>
    </row>
    <row r="78">
      <c r="A78" s="147">
        <f>ROW()-2</f>
        <v/>
      </c>
      <c r="B78" s="127" t="n">
        <v>900203</v>
      </c>
      <c r="C78" s="128" t="inlineStr">
        <is>
          <t>MASILA MANI A</t>
        </is>
      </c>
      <c r="D78" s="127" t="inlineStr">
        <is>
          <t>PRODUCTION</t>
        </is>
      </c>
      <c r="E78" s="129" t="inlineStr">
        <is>
          <t>EXTRUDER</t>
        </is>
      </c>
      <c r="F78" s="130" t="n">
        <v>40634</v>
      </c>
      <c r="G78" s="131">
        <f>NOW()-F78</f>
        <v/>
      </c>
      <c r="H78" s="104" t="inlineStr">
        <is>
          <t>O</t>
        </is>
      </c>
      <c r="I78" s="104" t="inlineStr">
        <is>
          <t>O</t>
        </is>
      </c>
      <c r="J78" s="104" t="n">
        <v>8</v>
      </c>
      <c r="K78" s="104" t="n">
        <v>9</v>
      </c>
      <c r="L78" s="104" t="n">
        <v>10</v>
      </c>
      <c r="M78" s="104" t="n">
        <v>9</v>
      </c>
      <c r="N78" s="104" t="n"/>
      <c r="O78" s="104">
        <f>SUM(J78:N78)</f>
        <v/>
      </c>
      <c r="P78" s="12">
        <f>O78/IF(H78="L",20,IF(H78="U",30,IF(H78="O",40,IF(H78="I",20,""))))</f>
        <v/>
      </c>
      <c r="Q78" s="132">
        <f>IF(AND(H78="L", P78&gt;=50%), "Pass",
IF(AND(H78="U", P78&gt;=60%), "Pass",
IF(AND(H78="O", P78&gt;=75%), "Pass", "Fail")))</f>
        <v/>
      </c>
      <c r="R78" s="104" t="n"/>
      <c r="S78" s="104" t="n">
        <v>20</v>
      </c>
      <c r="T78" s="104" t="n">
        <v>13</v>
      </c>
      <c r="U78" s="104">
        <f>SUM(S78:T78)</f>
        <v/>
      </c>
      <c r="V78" s="12">
        <f>U78/IF(H78="L",35,IF(H78="U",35,IF(H78="O",35,IF(H78="I",35,""))))</f>
        <v/>
      </c>
      <c r="W78" s="132">
        <f>IF(AND(H78="L", V78&gt;=50%), "Pass",
IF(AND(H78="U", V78&gt;=60%), "Pass",
IF(AND(H78="O", V78&gt;=75%), "Pass", "Fail")))</f>
        <v/>
      </c>
      <c r="X78" s="132">
        <f>IF(AND(Q78="Pass", W78="Pass"), "Pass", "Fail")</f>
        <v/>
      </c>
      <c r="Y78" s="15">
        <f>IF($X78="Pass",$H78,
IF(H78="L","I",
IF(H78="U","L",
IF(H78="O","U",
"I"))))</f>
        <v/>
      </c>
      <c r="Z78" s="82">
        <f>V78-75%</f>
        <v/>
      </c>
    </row>
    <row r="79">
      <c r="A79" s="147">
        <f>ROW()-2</f>
        <v/>
      </c>
      <c r="B79" s="127" t="n">
        <v>900204</v>
      </c>
      <c r="C79" s="128" t="inlineStr">
        <is>
          <t>PARTHA SARATHY A</t>
        </is>
      </c>
      <c r="D79" s="127" t="inlineStr">
        <is>
          <t>PRODUCTION</t>
        </is>
      </c>
      <c r="E79" s="129" t="inlineStr">
        <is>
          <t>TYRE BUILDING-P1</t>
        </is>
      </c>
      <c r="F79" s="130" t="n">
        <v>40634</v>
      </c>
      <c r="G79" s="131">
        <f>NOW()-F79</f>
        <v/>
      </c>
      <c r="H79" s="104" t="inlineStr">
        <is>
          <t>O</t>
        </is>
      </c>
      <c r="I79" s="104" t="inlineStr">
        <is>
          <t>O</t>
        </is>
      </c>
      <c r="J79" s="104" t="n">
        <v>9</v>
      </c>
      <c r="K79" s="104" t="n">
        <v>9</v>
      </c>
      <c r="L79" s="104" t="n">
        <v>9</v>
      </c>
      <c r="M79" s="104" t="n">
        <v>6</v>
      </c>
      <c r="N79" s="104" t="n"/>
      <c r="O79" s="104">
        <f>SUM(J79:N79)</f>
        <v/>
      </c>
      <c r="P79" s="12">
        <f>O79/IF(H79="L",20,IF(H79="U",30,IF(H79="O",40,IF(H79="I",20,""))))</f>
        <v/>
      </c>
      <c r="Q79" s="132">
        <f>IF(AND(H79="L", P79&gt;=50%), "Pass",
IF(AND(H79="U", P79&gt;=60%), "Pass",
IF(AND(H79="O", P79&gt;=75%), "Pass", "Fail")))</f>
        <v/>
      </c>
      <c r="R79" s="104" t="n"/>
      <c r="S79" s="104" t="n">
        <v>15</v>
      </c>
      <c r="T79" s="104" t="n">
        <v>12</v>
      </c>
      <c r="U79" s="104">
        <f>SUM(S79:T79)</f>
        <v/>
      </c>
      <c r="V79" s="12">
        <f>U79/IF(H79="L",35,IF(H79="U",35,IF(H79="O",35,IF(H79="I",35,""))))</f>
        <v/>
      </c>
      <c r="W79" s="132">
        <f>IF(AND(H79="L", V79&gt;=50%), "Pass",
IF(AND(H79="U", V79&gt;=60%), "Pass",
IF(AND(H79="O", V79&gt;=75%), "Pass", "Fail")))</f>
        <v/>
      </c>
      <c r="X79" s="132">
        <f>IF(AND(Q79="Pass", W79="Pass"), "Pass", "Fail")</f>
        <v/>
      </c>
      <c r="Y79" s="15">
        <f>IF($X79="Pass",$H79,
IF(H79="L","I",
IF(H79="U","L",
IF(H79="O","U",
"I"))))</f>
        <v/>
      </c>
    </row>
    <row r="80">
      <c r="A80" s="147">
        <f>ROW()-2</f>
        <v/>
      </c>
      <c r="B80" s="127" t="n">
        <v>900205</v>
      </c>
      <c r="C80" s="128" t="inlineStr">
        <is>
          <t>PARANTHAMAN P</t>
        </is>
      </c>
      <c r="D80" s="127" t="inlineStr">
        <is>
          <t>PRODUCTION</t>
        </is>
      </c>
      <c r="E80" s="129" t="inlineStr">
        <is>
          <t>TYRE CURING</t>
        </is>
      </c>
      <c r="F80" s="130" t="n">
        <v>40634</v>
      </c>
      <c r="G80" s="131">
        <f>NOW()-F80</f>
        <v/>
      </c>
      <c r="H80" s="104" t="inlineStr">
        <is>
          <t>O</t>
        </is>
      </c>
      <c r="I80" s="104" t="inlineStr">
        <is>
          <t>O</t>
        </is>
      </c>
      <c r="J80" s="104" t="n">
        <v>10</v>
      </c>
      <c r="K80" s="104" t="n">
        <v>9</v>
      </c>
      <c r="L80" s="104" t="n">
        <v>10</v>
      </c>
      <c r="M80" s="104" t="n">
        <v>8</v>
      </c>
      <c r="N80" s="104" t="n"/>
      <c r="O80" s="104">
        <f>SUM(J80:N80)</f>
        <v/>
      </c>
      <c r="P80" s="12">
        <f>O80/IF(H80="L",20,IF(H80="U",30,IF(H80="O",40,IF(H80="I",20,""))))</f>
        <v/>
      </c>
      <c r="Q80" s="132">
        <f>IF(AND(H80="L", P80&gt;=50%), "Pass",
IF(AND(H80="U", P80&gt;=60%), "Pass",
IF(AND(H80="O", P80&gt;=75%), "Pass", "Fail")))</f>
        <v/>
      </c>
      <c r="R80" s="104" t="n"/>
      <c r="S80" s="104" t="n">
        <v>13</v>
      </c>
      <c r="T80" s="104" t="n">
        <v>11</v>
      </c>
      <c r="U80" s="104">
        <f>SUM(S80:T80)</f>
        <v/>
      </c>
      <c r="V80" s="12">
        <f>U80/IF(H80="L",35,IF(H80="U",35,IF(H80="O",35,IF(H80="I",35,""))))</f>
        <v/>
      </c>
      <c r="W80" s="132">
        <f>IF(AND(H80="L", V80&gt;=50%), "Pass",
IF(AND(H80="U", V80&gt;=60%), "Pass",
IF(AND(H80="O", V80&gt;=75%), "Pass", "Fail")))</f>
        <v/>
      </c>
      <c r="X80" s="132">
        <f>IF(AND(Q80="Pass", W80="Pass"), "Pass", "Fail")</f>
        <v/>
      </c>
      <c r="Y80" s="15">
        <f>IF($X80="Pass",$H80,
IF(H80="L","I",
IF(H80="U","L",
IF(H80="O","U",
"I"))))</f>
        <v/>
      </c>
    </row>
    <row r="81">
      <c r="A81" s="147">
        <f>ROW()-2</f>
        <v/>
      </c>
      <c r="B81" s="127" t="n">
        <v>900206</v>
      </c>
      <c r="C81" s="128" t="inlineStr">
        <is>
          <t>MADASAMY G</t>
        </is>
      </c>
      <c r="D81" s="127" t="inlineStr">
        <is>
          <t>PRODUCTION</t>
        </is>
      </c>
      <c r="E81" s="129" t="inlineStr">
        <is>
          <t>BIAS CUTTING-5</t>
        </is>
      </c>
      <c r="F81" s="130" t="n">
        <v>40634</v>
      </c>
      <c r="G81" s="131">
        <f>NOW()-F81</f>
        <v/>
      </c>
      <c r="H81" s="104" t="inlineStr">
        <is>
          <t>O</t>
        </is>
      </c>
      <c r="I81" s="104" t="inlineStr">
        <is>
          <t>O</t>
        </is>
      </c>
      <c r="J81" s="104" t="n">
        <v>10</v>
      </c>
      <c r="K81" s="104" t="n">
        <v>8</v>
      </c>
      <c r="L81" s="104" t="n">
        <v>8</v>
      </c>
      <c r="M81" s="104" t="n">
        <v>8</v>
      </c>
      <c r="N81" s="104" t="n"/>
      <c r="O81" s="104">
        <f>SUM(J81:N81)</f>
        <v/>
      </c>
      <c r="P81" s="12">
        <f>O81/IF(H81="L",20,IF(H81="U",30,IF(H81="O",40,IF(H81="I",20,""))))</f>
        <v/>
      </c>
      <c r="Q81" s="132">
        <f>IF(AND(H81="L", P81&gt;=50%), "Pass",
IF(AND(H81="U", P81&gt;=60%), "Pass",
IF(AND(H81="O", P81&gt;=75%), "Pass", "Fail")))</f>
        <v/>
      </c>
      <c r="R81" s="104" t="n"/>
      <c r="S81" s="104" t="n">
        <v>16</v>
      </c>
      <c r="T81" s="104" t="n">
        <v>12</v>
      </c>
      <c r="U81" s="104">
        <f>SUM(S81:T81)</f>
        <v/>
      </c>
      <c r="V81" s="12">
        <f>U81/IF(H81="L",35,IF(H81="U",35,IF(H81="O",35,IF(H81="I",35,""))))</f>
        <v/>
      </c>
      <c r="W81" s="132">
        <f>IF(AND(H81="L", V81&gt;=50%), "Pass",
IF(AND(H81="U", V81&gt;=60%), "Pass",
IF(AND(H81="O", V81&gt;=75%), "Pass", "Fail")))</f>
        <v/>
      </c>
      <c r="X81" s="132">
        <f>IF(AND(Q81="Pass", W81="Pass"), "Pass", "Fail")</f>
        <v/>
      </c>
      <c r="Y81" s="15">
        <f>IF($X81="Pass",$H81,
IF(H81="L","I",
IF(H81="U","L",
IF(H81="O","U",
"I"))))</f>
        <v/>
      </c>
    </row>
    <row r="82">
      <c r="A82" s="147">
        <f>ROW()-2</f>
        <v/>
      </c>
      <c r="B82" s="127" t="n">
        <v>900207</v>
      </c>
      <c r="C82" s="128" t="inlineStr">
        <is>
          <t>JOHN A</t>
        </is>
      </c>
      <c r="D82" s="127" t="inlineStr">
        <is>
          <t>PRODUCTION</t>
        </is>
      </c>
      <c r="E82" s="129" t="inlineStr">
        <is>
          <t>BIAS CUTTING-1</t>
        </is>
      </c>
      <c r="F82" s="130" t="n">
        <v>40634</v>
      </c>
      <c r="G82" s="131">
        <f>NOW()-F82</f>
        <v/>
      </c>
      <c r="H82" s="104" t="inlineStr">
        <is>
          <t>O</t>
        </is>
      </c>
      <c r="I82" s="104" t="inlineStr">
        <is>
          <t>O</t>
        </is>
      </c>
      <c r="J82" s="104" t="n">
        <v>9</v>
      </c>
      <c r="K82" s="104" t="n">
        <v>6</v>
      </c>
      <c r="L82" s="104" t="n">
        <v>5</v>
      </c>
      <c r="M82" s="104" t="n">
        <v>6</v>
      </c>
      <c r="N82" s="104" t="n"/>
      <c r="O82" s="104">
        <f>SUM(J82:N82)</f>
        <v/>
      </c>
      <c r="P82" s="12">
        <f>O82/IF(H82="L",20,IF(H82="U",30,IF(H82="O",40,IF(H82="I",20,""))))</f>
        <v/>
      </c>
      <c r="Q82" s="132">
        <f>IF(AND(H82="L", P82&gt;=50%), "Pass",
IF(AND(H82="U", P82&gt;=60%), "Pass",
IF(AND(H82="O", P82&gt;=75%), "Pass", "Fail")))</f>
        <v/>
      </c>
      <c r="R82" s="104" t="n"/>
      <c r="S82" s="104" t="n">
        <v>15</v>
      </c>
      <c r="T82" s="104" t="n">
        <v>7</v>
      </c>
      <c r="U82" s="104">
        <f>SUM(S82:T82)</f>
        <v/>
      </c>
      <c r="V82" s="12">
        <f>U82/IF(H82="L",35,IF(H82="U",35,IF(H82="O",35,IF(H82="I",35,""))))</f>
        <v/>
      </c>
      <c r="W82" s="132">
        <f>IF(AND(H82="L", V82&gt;=50%), "Pass",
IF(AND(H82="U", V82&gt;=60%), "Pass",
IF(AND(H82="O", V82&gt;=75%), "Pass", "Fail")))</f>
        <v/>
      </c>
      <c r="X82" s="132">
        <f>IF(AND(Q82="Pass", W82="Pass"), "Pass", "Fail")</f>
        <v/>
      </c>
      <c r="Y82" s="15">
        <f>IF($X82="Pass",$H82,
IF(H82="L","I",
IF(H82="U","L",
IF(H82="O","U",
"I"))))</f>
        <v/>
      </c>
    </row>
    <row r="83">
      <c r="A83" s="147">
        <f>ROW()-2</f>
        <v/>
      </c>
      <c r="B83" s="127" t="n">
        <v>900208</v>
      </c>
      <c r="C83" s="128" t="inlineStr">
        <is>
          <t>SELVAGANESHAN C</t>
        </is>
      </c>
      <c r="D83" s="127" t="inlineStr">
        <is>
          <t>PRODUCTION</t>
        </is>
      </c>
      <c r="E83" s="129" t="inlineStr">
        <is>
          <t>EXTRUDER</t>
        </is>
      </c>
      <c r="F83" s="130" t="n">
        <v>40634</v>
      </c>
      <c r="G83" s="131">
        <f>NOW()-F83</f>
        <v/>
      </c>
      <c r="H83" s="104" t="inlineStr">
        <is>
          <t>O</t>
        </is>
      </c>
      <c r="I83" s="104" t="inlineStr">
        <is>
          <t>U</t>
        </is>
      </c>
      <c r="J83" s="104" t="n">
        <v>9</v>
      </c>
      <c r="K83" s="104" t="n">
        <v>8</v>
      </c>
      <c r="L83" s="104" t="n">
        <v>9</v>
      </c>
      <c r="M83" s="104" t="n">
        <v>10</v>
      </c>
      <c r="N83" s="104" t="n"/>
      <c r="O83" s="104">
        <f>SUM(J83:N83)</f>
        <v/>
      </c>
      <c r="P83" s="12">
        <f>O83/IF(H83="L",20,IF(H83="U",30,IF(H83="O",40,IF(H83="I",20,""))))</f>
        <v/>
      </c>
      <c r="Q83" s="132">
        <f>IF(AND(H83="L", P83&gt;=50%), "Pass",
IF(AND(H83="U", P83&gt;=60%), "Pass",
IF(AND(H83="O", P83&gt;=75%), "Pass", "Fail")))</f>
        <v/>
      </c>
      <c r="R83" s="104" t="n"/>
      <c r="S83" s="104" t="n">
        <v>18</v>
      </c>
      <c r="T83" s="104" t="n">
        <v>15</v>
      </c>
      <c r="U83" s="104">
        <f>SUM(S83:T83)</f>
        <v/>
      </c>
      <c r="V83" s="12">
        <f>U83/IF(H83="L",35,IF(H83="U",35,IF(H83="O",35,IF(H83="I",35,""))))</f>
        <v/>
      </c>
      <c r="W83" s="132">
        <f>IF(AND(H83="L", V83&gt;=50%), "Pass",
IF(AND(H83="U", V83&gt;=60%), "Pass",
IF(AND(H83="O", V83&gt;=75%), "Pass", "Fail")))</f>
        <v/>
      </c>
      <c r="X83" s="132">
        <f>IF(AND(Q83="Pass", W83="Pass"), "Pass", "Fail")</f>
        <v/>
      </c>
      <c r="Y83" s="15">
        <f>IF($X83="Pass",$H83,
IF(H83="L","I",
IF(H83="U","L",
IF(H83="O","U",
"I"))))</f>
        <v/>
      </c>
    </row>
    <row r="84">
      <c r="A84" s="147">
        <f>ROW()-2</f>
        <v/>
      </c>
      <c r="B84" s="133" t="n">
        <v>900209</v>
      </c>
      <c r="C84" s="148" t="inlineStr">
        <is>
          <t>SHUNMUGA SURESH S</t>
        </is>
      </c>
      <c r="D84" s="127" t="inlineStr">
        <is>
          <t>PRODUCTION</t>
        </is>
      </c>
      <c r="E84" s="135" t="inlineStr">
        <is>
          <t>MIXING</t>
        </is>
      </c>
      <c r="F84" s="136" t="n">
        <v>40634</v>
      </c>
      <c r="G84" s="131">
        <f>NOW()-F84</f>
        <v/>
      </c>
      <c r="H84" s="104" t="inlineStr">
        <is>
          <t>O</t>
        </is>
      </c>
      <c r="I84" s="104" t="inlineStr">
        <is>
          <t>O</t>
        </is>
      </c>
      <c r="J84" s="104" t="inlineStr">
        <is>
          <t>NIL</t>
        </is>
      </c>
      <c r="K84" s="104" t="n"/>
      <c r="L84" s="104" t="n"/>
      <c r="M84" s="104" t="n"/>
      <c r="N84" s="104" t="n"/>
      <c r="O84" s="104" t="n"/>
      <c r="P84" s="12">
        <f>O84/IF(H84="L",20,IF(H84="U",30,IF(H84="O",40,IF(H84="I",20,""))))</f>
        <v/>
      </c>
      <c r="Q84" s="132">
        <f>IF(AND(H84="L", P84&gt;=50%), "Pass",
IF(AND(H84="U", P84&gt;=60%), "Pass",
IF(AND(H84="O", P84&gt;=75%), "Pass", "Fail")))</f>
        <v/>
      </c>
      <c r="R84" s="104" t="n"/>
      <c r="S84" s="104" t="n">
        <v>16</v>
      </c>
      <c r="T84" s="104" t="n">
        <v>12</v>
      </c>
      <c r="U84" s="104">
        <f>SUM(S84:T84)</f>
        <v/>
      </c>
      <c r="V84" s="12">
        <f>U84/IF(H84="L",35,IF(H84="U",35,IF(H84="O",35,IF(H84="I",35,""))))</f>
        <v/>
      </c>
      <c r="W84" s="132">
        <f>IF(AND(H84="L", V84&gt;=50%), "Pass",
IF(AND(H84="U", V84&gt;=60%), "Pass",
IF(AND(H84="O", V84&gt;=75%), "Pass", "Fail")))</f>
        <v/>
      </c>
      <c r="X84" s="132">
        <f>IF(AND(Q84="Pass", W84="Pass"), "Pass", "Fail")</f>
        <v/>
      </c>
      <c r="Y84" s="15">
        <f>IF($X84="Pass",$H84,
IF(H84="L","I",
IF(H84="U","L",
IF(H84="O","U",
"I"))))</f>
        <v/>
      </c>
      <c r="Z84" s="81">
        <f>V84-75%</f>
        <v/>
      </c>
    </row>
    <row r="85">
      <c r="A85" s="147">
        <f>ROW()-2</f>
        <v/>
      </c>
      <c r="B85" s="127" t="n">
        <v>900211</v>
      </c>
      <c r="C85" s="128" t="inlineStr">
        <is>
          <t>PAKIYARAJ M</t>
        </is>
      </c>
      <c r="D85" s="127" t="inlineStr">
        <is>
          <t>PRODUCTION</t>
        </is>
      </c>
      <c r="E85" s="129" t="inlineStr">
        <is>
          <t>EXTRUDER</t>
        </is>
      </c>
      <c r="F85" s="130" t="n">
        <v>40634</v>
      </c>
      <c r="G85" s="131">
        <f>NOW()-F85</f>
        <v/>
      </c>
      <c r="H85" s="104" t="inlineStr">
        <is>
          <t>O</t>
        </is>
      </c>
      <c r="I85" s="104" t="inlineStr">
        <is>
          <t>O</t>
        </is>
      </c>
      <c r="J85" s="104" t="n">
        <v>9</v>
      </c>
      <c r="K85" s="104" t="n">
        <v>6</v>
      </c>
      <c r="L85" s="104" t="n">
        <v>9</v>
      </c>
      <c r="M85" s="104" t="n">
        <v>4</v>
      </c>
      <c r="N85" s="104" t="n"/>
      <c r="O85" s="104">
        <f>SUM(J85:N85)</f>
        <v/>
      </c>
      <c r="P85" s="12">
        <f>O85/IF(H85="L",20,IF(H85="U",30,IF(H85="O",40,IF(H85="I",20,""))))</f>
        <v/>
      </c>
      <c r="Q85" s="132">
        <f>IF(AND(H85="L", P85&gt;=50%), "Pass",
IF(AND(H85="U", P85&gt;=60%), "Pass",
IF(AND(H85="O", P85&gt;=75%), "Pass", "Fail")))</f>
        <v/>
      </c>
      <c r="R85" s="104" t="n"/>
      <c r="S85" s="104" t="n">
        <v>17</v>
      </c>
      <c r="T85" s="104" t="n">
        <v>14</v>
      </c>
      <c r="U85" s="104">
        <f>SUM(S85:T85)</f>
        <v/>
      </c>
      <c r="V85" s="12">
        <f>U85/IF(H85="L",35,IF(H85="U",35,IF(H85="O",35,IF(H85="I",35,""))))</f>
        <v/>
      </c>
      <c r="W85" s="132">
        <f>IF(AND(H85="L", V85&gt;=50%), "Pass",
IF(AND(H85="U", V85&gt;=60%), "Pass",
IF(AND(H85="O", V85&gt;=75%), "Pass", "Fail")))</f>
        <v/>
      </c>
      <c r="X85" s="132">
        <f>IF(AND(Q85="Pass", W85="Pass"), "Pass", "Fail")</f>
        <v/>
      </c>
      <c r="Y85" s="15">
        <f>IF($X85="Pass",$H85,
IF(H85="L","I",
IF(H85="U","L",
IF(H85="O","U",
"I"))))</f>
        <v/>
      </c>
    </row>
    <row r="86">
      <c r="A86" s="147">
        <f>ROW()-2</f>
        <v/>
      </c>
      <c r="B86" s="127" t="n">
        <v>900213</v>
      </c>
      <c r="C86" s="128" t="inlineStr">
        <is>
          <t>PATTAN S</t>
        </is>
      </c>
      <c r="D86" s="127" t="inlineStr">
        <is>
          <t>PRODUCTION</t>
        </is>
      </c>
      <c r="E86" s="129" t="inlineStr">
        <is>
          <t>TYRE CURING</t>
        </is>
      </c>
      <c r="F86" s="130" t="n">
        <v>40634</v>
      </c>
      <c r="G86" s="131">
        <f>NOW()-F86</f>
        <v/>
      </c>
      <c r="H86" s="104" t="inlineStr">
        <is>
          <t>O</t>
        </is>
      </c>
      <c r="I86" s="104" t="inlineStr">
        <is>
          <t>U</t>
        </is>
      </c>
      <c r="J86" s="104" t="n">
        <v>9</v>
      </c>
      <c r="K86" s="104" t="n">
        <v>9</v>
      </c>
      <c r="L86" s="104" t="n">
        <v>8</v>
      </c>
      <c r="M86" s="104" t="n">
        <v>8</v>
      </c>
      <c r="N86" s="104" t="n"/>
      <c r="O86" s="104">
        <f>SUM(J86:N86)</f>
        <v/>
      </c>
      <c r="P86" s="12">
        <f>O86/IF(H86="L",20,IF(H86="U",30,IF(H86="O",40,IF(H86="I",20,""))))</f>
        <v/>
      </c>
      <c r="Q86" s="132">
        <f>IF(AND(H86="L", P86&gt;=50%), "Pass",
IF(AND(H86="U", P86&gt;=60%), "Pass",
IF(AND(H86="O", P86&gt;=75%), "Pass", "Fail")))</f>
        <v/>
      </c>
      <c r="R86" s="104" t="n"/>
      <c r="S86" s="104" t="n">
        <v>12</v>
      </c>
      <c r="T86" s="104" t="n">
        <v>8</v>
      </c>
      <c r="U86" s="104">
        <f>SUM(S86:T86)</f>
        <v/>
      </c>
      <c r="V86" s="12">
        <f>U86/IF(H86="L",35,IF(H86="U",35,IF(H86="O",35,IF(H86="I",35,""))))</f>
        <v/>
      </c>
      <c r="W86" s="132">
        <f>IF(AND(H86="L", V86&gt;=50%), "Pass",
IF(AND(H86="U", V86&gt;=60%), "Pass",
IF(AND(H86="O", V86&gt;=75%), "Pass", "Fail")))</f>
        <v/>
      </c>
      <c r="X86" s="132">
        <f>IF(AND(Q86="Pass", W86="Pass"), "Pass", "Fail")</f>
        <v/>
      </c>
      <c r="Y86" s="15">
        <f>IF($X86="Pass",$H86,
IF(H86="L","I",
IF(H86="U","L",
IF(H86="O","U",
"I"))))</f>
        <v/>
      </c>
    </row>
    <row r="87">
      <c r="A87" s="147">
        <f>ROW()-2</f>
        <v/>
      </c>
      <c r="B87" s="127" t="n">
        <v>900214</v>
      </c>
      <c r="C87" s="128" t="inlineStr">
        <is>
          <t>JAYARAJ S</t>
        </is>
      </c>
      <c r="D87" s="127" t="inlineStr">
        <is>
          <t>PRODUCTION</t>
        </is>
      </c>
      <c r="E87" s="129" t="inlineStr">
        <is>
          <t>TYRE CURING</t>
        </is>
      </c>
      <c r="F87" s="130" t="n">
        <v>40634</v>
      </c>
      <c r="G87" s="131">
        <f>NOW()-F87</f>
        <v/>
      </c>
      <c r="H87" s="104" t="inlineStr">
        <is>
          <t>O</t>
        </is>
      </c>
      <c r="I87" s="104" t="inlineStr">
        <is>
          <t>O</t>
        </is>
      </c>
      <c r="J87" s="104" t="n">
        <v>9</v>
      </c>
      <c r="K87" s="104" t="n">
        <v>8</v>
      </c>
      <c r="L87" s="104" t="n">
        <v>9</v>
      </c>
      <c r="M87" s="104" t="n">
        <v>6</v>
      </c>
      <c r="N87" s="104" t="n"/>
      <c r="O87" s="104">
        <f>SUM(J87:N87)</f>
        <v/>
      </c>
      <c r="P87" s="12">
        <f>O87/IF(H87="L",20,IF(H87="U",30,IF(H87="O",40,IF(H87="I",20,""))))</f>
        <v/>
      </c>
      <c r="Q87" s="132">
        <f>IF(AND(H87="L", P87&gt;=50%), "Pass",
IF(AND(H87="U", P87&gt;=60%), "Pass",
IF(AND(H87="O", P87&gt;=75%), "Pass", "Fail")))</f>
        <v/>
      </c>
      <c r="R87" s="104" t="n"/>
      <c r="S87" s="104" t="n">
        <v>17</v>
      </c>
      <c r="T87" s="104" t="n">
        <v>14</v>
      </c>
      <c r="U87" s="104">
        <f>SUM(S87:T87)</f>
        <v/>
      </c>
      <c r="V87" s="12">
        <f>U87/IF(H87="L",35,IF(H87="U",35,IF(H87="O",35,IF(H87="I",35,""))))</f>
        <v/>
      </c>
      <c r="W87" s="132">
        <f>IF(AND(H87="L", V87&gt;=50%), "Pass",
IF(AND(H87="U", V87&gt;=60%), "Pass",
IF(AND(H87="O", V87&gt;=75%), "Pass", "Fail")))</f>
        <v/>
      </c>
      <c r="X87" s="132">
        <f>IF(AND(Q87="Pass", W87="Pass"), "Pass", "Fail")</f>
        <v/>
      </c>
      <c r="Y87" s="15">
        <f>IF($X87="Pass",$H87,
IF(H87="L","I",
IF(H87="U","L",
IF(H87="O","U",
"I"))))</f>
        <v/>
      </c>
    </row>
    <row r="88">
      <c r="A88" s="147">
        <f>ROW()-2</f>
        <v/>
      </c>
      <c r="B88" s="127" t="n">
        <v>900233</v>
      </c>
      <c r="C88" s="128" t="inlineStr">
        <is>
          <t>MANIKANDAN M</t>
        </is>
      </c>
      <c r="D88" s="127" t="inlineStr">
        <is>
          <t>PRODUCTION</t>
        </is>
      </c>
      <c r="E88" s="129" t="inlineStr">
        <is>
          <t>TYRE BUILDING-P3</t>
        </is>
      </c>
      <c r="F88" s="130" t="n">
        <v>40634</v>
      </c>
      <c r="G88" s="131">
        <f>NOW()-F88</f>
        <v/>
      </c>
      <c r="H88" s="104" t="inlineStr">
        <is>
          <t>O</t>
        </is>
      </c>
      <c r="I88" s="104" t="inlineStr">
        <is>
          <t>O</t>
        </is>
      </c>
      <c r="J88" s="104" t="n">
        <v>10</v>
      </c>
      <c r="K88" s="104" t="n">
        <v>8</v>
      </c>
      <c r="L88" s="104" t="n">
        <v>8</v>
      </c>
      <c r="M88" s="104" t="n">
        <v>7</v>
      </c>
      <c r="N88" s="104" t="n"/>
      <c r="O88" s="104">
        <f>SUM(J88:N88)</f>
        <v/>
      </c>
      <c r="P88" s="12">
        <f>O88/IF(H88="L",20,IF(H88="U",30,IF(H88="O",40,IF(H88="I",20,""))))</f>
        <v/>
      </c>
      <c r="Q88" s="132">
        <f>IF(AND(H88="L", P88&gt;=50%), "Pass",
IF(AND(H88="U", P88&gt;=60%), "Pass",
IF(AND(H88="O", P88&gt;=75%), "Pass", "Fail")))</f>
        <v/>
      </c>
      <c r="R88" s="104" t="n"/>
      <c r="S88" s="43" t="n">
        <v>17</v>
      </c>
      <c r="T88" s="43" t="n">
        <v>15</v>
      </c>
      <c r="U88" s="104">
        <f>SUM(S88:T88)</f>
        <v/>
      </c>
      <c r="V88" s="12">
        <f>U88/IF(H88="L",35,IF(H88="U",35,IF(H88="O",35,IF(H88="I",35,""))))</f>
        <v/>
      </c>
      <c r="W88" s="132">
        <f>IF(AND(H88="L", V88&gt;=50%), "Pass",
IF(AND(H88="U", V88&gt;=60%), "Pass",
IF(AND(H88="O", V88&gt;=75%), "Pass", "Fail")))</f>
        <v/>
      </c>
      <c r="X88" s="132">
        <f>IF(AND(Q88="Pass", W88="Pass"), "Pass", "Fail")</f>
        <v/>
      </c>
      <c r="Y88" s="15">
        <f>IF($X88="Pass",$H88,
IF(H88="L","I",
IF(H88="U","L",
IF(H88="O","U",
"I"))))</f>
        <v/>
      </c>
    </row>
    <row r="89">
      <c r="A89" s="147">
        <f>ROW()-2</f>
        <v/>
      </c>
      <c r="B89" s="127" t="n">
        <v>900245</v>
      </c>
      <c r="C89" s="128" t="inlineStr">
        <is>
          <t>BIRENDRA YADAV</t>
        </is>
      </c>
      <c r="D89" s="127" t="inlineStr">
        <is>
          <t>PRODUCTION</t>
        </is>
      </c>
      <c r="E89" s="135" t="inlineStr">
        <is>
          <t>BIAS CUTTING-2</t>
        </is>
      </c>
      <c r="F89" s="130" t="n">
        <v>40634</v>
      </c>
      <c r="G89" s="131">
        <f>NOW()-F89</f>
        <v/>
      </c>
      <c r="H89" s="104" t="inlineStr">
        <is>
          <t>O</t>
        </is>
      </c>
      <c r="I89" s="104" t="n"/>
      <c r="J89" s="104" t="n">
        <v>9</v>
      </c>
      <c r="K89" s="104" t="n">
        <v>7</v>
      </c>
      <c r="L89" s="104" t="n">
        <v>4</v>
      </c>
      <c r="M89" s="104" t="n">
        <v>6</v>
      </c>
      <c r="N89" s="104" t="n"/>
      <c r="O89" s="104">
        <f>SUM(J89:N89)</f>
        <v/>
      </c>
      <c r="P89" s="12">
        <f>O89/IF(H89="L",20,IF(H89="U",30,IF(H89="O",40,IF(H89="I",20,""))))</f>
        <v/>
      </c>
      <c r="Q89" s="132">
        <f>IF(AND(H89="L", P89&gt;=50%), "Pass",
IF(AND(H89="U", P89&gt;=60%), "Pass",
IF(AND(H89="O", P89&gt;=75%), "Pass", "Fail")))</f>
        <v/>
      </c>
      <c r="R89" s="104" t="n"/>
      <c r="S89" s="104" t="n">
        <v>13</v>
      </c>
      <c r="T89" s="104" t="n">
        <v>11</v>
      </c>
      <c r="U89" s="104">
        <f>SUM(S89:T89)</f>
        <v/>
      </c>
      <c r="V89" s="12">
        <f>U89/IF(H89="L",35,IF(H89="U",35,IF(H89="O",35,IF(H89="I",35,""))))</f>
        <v/>
      </c>
      <c r="W89" s="132">
        <f>IF(AND(H89="L", V89&gt;=50%), "Pass",
IF(AND(H89="U", V89&gt;=60%), "Pass",
IF(AND(H89="O", V89&gt;=75%), "Pass", "Fail")))</f>
        <v/>
      </c>
      <c r="X89" s="132">
        <f>IF(AND(Q89="Pass", W89="Pass"), "Pass", "Fail")</f>
        <v/>
      </c>
      <c r="Y89" s="15">
        <f>IF($X89="Pass",$H89,
IF(H89="L","I",
IF(H89="U","L",
IF(H89="O","U",
"I"))))</f>
        <v/>
      </c>
    </row>
    <row r="90">
      <c r="A90" s="147">
        <f>ROW()-2</f>
        <v/>
      </c>
      <c r="B90" s="127" t="n">
        <v>900251</v>
      </c>
      <c r="C90" s="128" t="inlineStr">
        <is>
          <t>SEKAR S</t>
        </is>
      </c>
      <c r="D90" s="127" t="inlineStr">
        <is>
          <t>PRODUCTION</t>
        </is>
      </c>
      <c r="E90" s="129" t="inlineStr">
        <is>
          <t>YANTHAI</t>
        </is>
      </c>
      <c r="F90" s="130" t="n">
        <v>40634</v>
      </c>
      <c r="G90" s="131">
        <f>NOW()-F90</f>
        <v/>
      </c>
      <c r="H90" s="104" t="inlineStr">
        <is>
          <t>O</t>
        </is>
      </c>
      <c r="I90" s="104" t="inlineStr">
        <is>
          <t>O</t>
        </is>
      </c>
      <c r="J90" s="104" t="n">
        <v>8</v>
      </c>
      <c r="K90" s="104" t="n">
        <v>10</v>
      </c>
      <c r="L90" s="104" t="n">
        <v>10</v>
      </c>
      <c r="M90" s="104" t="n">
        <v>8</v>
      </c>
      <c r="N90" s="104" t="n"/>
      <c r="O90" s="104">
        <f>SUM(J90:N90)</f>
        <v/>
      </c>
      <c r="P90" s="12">
        <f>O90/IF(H90="L",20,IF(H90="U",30,IF(H90="O",40,IF(H90="I",20,""))))</f>
        <v/>
      </c>
      <c r="Q90" s="132">
        <f>IF(AND(H90="L", P90&gt;=50%), "Pass",
IF(AND(H90="U", P90&gt;=60%), "Pass",
IF(AND(H90="O", P90&gt;=75%), "Pass", "Fail")))</f>
        <v/>
      </c>
      <c r="R90" s="104" t="n"/>
      <c r="S90" s="104" t="n">
        <v>16</v>
      </c>
      <c r="T90" s="104" t="n">
        <v>13</v>
      </c>
      <c r="U90" s="104">
        <f>SUM(S90:T90)</f>
        <v/>
      </c>
      <c r="V90" s="12">
        <f>U90/IF(H90="L",35,IF(H90="U",35,IF(H90="O",35,IF(H90="I",35,""))))</f>
        <v/>
      </c>
      <c r="W90" s="132">
        <f>IF(AND(H90="L", V90&gt;=50%), "Pass",
IF(AND(H90="U", V90&gt;=60%), "Pass",
IF(AND(H90="O", V90&gt;=75%), "Pass", "Fail")))</f>
        <v/>
      </c>
      <c r="X90" s="132">
        <f>IF(AND(Q90="Pass", W90="Pass"), "Pass", "Fail")</f>
        <v/>
      </c>
      <c r="Y90" s="15">
        <f>IF($X90="Pass",$H90,
IF(H90="L","I",
IF(H90="U","L",
IF(H90="O","U",
"I"))))</f>
        <v/>
      </c>
    </row>
    <row r="91">
      <c r="A91" s="147">
        <f>ROW()-2</f>
        <v/>
      </c>
      <c r="B91" s="127" t="n">
        <v>900264</v>
      </c>
      <c r="C91" s="128" t="inlineStr">
        <is>
          <t>CHOKKALINGAM P</t>
        </is>
      </c>
      <c r="D91" s="127" t="inlineStr">
        <is>
          <t>PRODUCTION</t>
        </is>
      </c>
      <c r="E91" s="129" t="inlineStr">
        <is>
          <t>TYRE CURING</t>
        </is>
      </c>
      <c r="F91" s="130" t="n">
        <v>40634</v>
      </c>
      <c r="G91" s="131">
        <f>NOW()-F91</f>
        <v/>
      </c>
      <c r="H91" s="104" t="inlineStr">
        <is>
          <t>O</t>
        </is>
      </c>
      <c r="I91" s="104" t="inlineStr">
        <is>
          <t>O</t>
        </is>
      </c>
      <c r="J91" s="104" t="n">
        <v>9</v>
      </c>
      <c r="K91" s="104" t="n">
        <v>9</v>
      </c>
      <c r="L91" s="104" t="n">
        <v>8</v>
      </c>
      <c r="M91" s="104" t="n">
        <v>8</v>
      </c>
      <c r="N91" s="104" t="n"/>
      <c r="O91" s="104">
        <f>SUM(J91:N91)</f>
        <v/>
      </c>
      <c r="P91" s="12">
        <f>O91/IF(H91="L",20,IF(H91="U",30,IF(H91="O",40,IF(H91="I",20,""))))</f>
        <v/>
      </c>
      <c r="Q91" s="132">
        <f>IF(AND(H91="L", P91&gt;=50%), "Pass",
IF(AND(H91="U", P91&gt;=60%), "Pass",
IF(AND(H91="O", P91&gt;=75%), "Pass", "Fail")))</f>
        <v/>
      </c>
      <c r="R91" s="104" t="n"/>
      <c r="S91" s="104" t="n">
        <v>20</v>
      </c>
      <c r="T91" s="104" t="n">
        <v>13</v>
      </c>
      <c r="U91" s="104">
        <f>SUM(S91:T91)</f>
        <v/>
      </c>
      <c r="V91" s="12">
        <f>U91/IF(H91="L",35,IF(H91="U",35,IF(H91="O",35,IF(H91="I",35,""))))</f>
        <v/>
      </c>
      <c r="W91" s="132">
        <f>IF(AND(H91="L", V91&gt;=50%), "Pass",
IF(AND(H91="U", V91&gt;=60%), "Pass",
IF(AND(H91="O", V91&gt;=75%), "Pass", "Fail")))</f>
        <v/>
      </c>
      <c r="X91" s="132">
        <f>IF(AND(Q91="Pass", W91="Pass"), "Pass", "Fail")</f>
        <v/>
      </c>
      <c r="Y91" s="15">
        <f>IF($X91="Pass",$H91,
IF(H91="L","I",
IF(H91="U","L",
IF(H91="O","U",
"I"))))</f>
        <v/>
      </c>
    </row>
    <row r="92">
      <c r="A92" s="147">
        <f>ROW()-2</f>
        <v/>
      </c>
      <c r="B92" s="133" t="n">
        <v>900743</v>
      </c>
      <c r="C92" s="148" t="inlineStr">
        <is>
          <t xml:space="preserve">SAVENDAR RAY </t>
        </is>
      </c>
      <c r="D92" s="127" t="inlineStr">
        <is>
          <t>PRODUCTION</t>
        </is>
      </c>
      <c r="E92" s="135" t="inlineStr">
        <is>
          <t>MIXING</t>
        </is>
      </c>
      <c r="F92" s="136" t="n">
        <v>40657</v>
      </c>
      <c r="G92" s="131">
        <f>NOW()-F92</f>
        <v/>
      </c>
      <c r="H92" s="104" t="inlineStr">
        <is>
          <t>O</t>
        </is>
      </c>
      <c r="I92" s="104" t="inlineStr">
        <is>
          <t>U</t>
        </is>
      </c>
      <c r="J92" s="104" t="inlineStr">
        <is>
          <t>NIL</t>
        </is>
      </c>
      <c r="K92" s="104" t="n"/>
      <c r="L92" s="104" t="n"/>
      <c r="M92" s="104" t="n"/>
      <c r="N92" s="104" t="n"/>
      <c r="O92" s="104" t="n"/>
      <c r="P92" s="12">
        <f>O92/IF(H92="L",20,IF(H92="U",30,IF(H92="O",40,IF(H92="I",20,""))))</f>
        <v/>
      </c>
      <c r="Q92" s="132">
        <f>IF(AND(H92="L", P92&gt;=50%), "Pass",
IF(AND(H92="U", P92&gt;=60%), "Pass",
IF(AND(H92="O", P92&gt;=75%), "Pass", "Fail")))</f>
        <v/>
      </c>
      <c r="R92" s="104" t="n"/>
      <c r="S92" s="104" t="n">
        <v>14</v>
      </c>
      <c r="T92" s="104" t="n">
        <v>11</v>
      </c>
      <c r="U92" s="104">
        <f>SUM(S92:T92)</f>
        <v/>
      </c>
      <c r="V92" s="12">
        <f>U92/IF(H92="L",35,IF(H92="U",35,IF(H92="O",35,IF(H92="I",35,""))))</f>
        <v/>
      </c>
      <c r="W92" s="132">
        <f>IF(AND(H92="L", V92&gt;=50%), "Pass",
IF(AND(H92="U", V92&gt;=60%), "Pass",
IF(AND(H92="O", V92&gt;=75%), "Pass", "Fail")))</f>
        <v/>
      </c>
      <c r="X92" s="132">
        <f>IF(AND(Q92="Pass", W92="Pass"), "Pass", "Fail")</f>
        <v/>
      </c>
      <c r="Y92" s="15">
        <f>IF($X92="Pass",$H92,
IF(H92="L","I",
IF(H92="U","L",
IF(H92="O","U",
"I"))))</f>
        <v/>
      </c>
    </row>
    <row r="93">
      <c r="A93" s="147">
        <f>ROW()-2</f>
        <v/>
      </c>
      <c r="B93" s="133" t="n">
        <v>900744</v>
      </c>
      <c r="C93" s="148" t="inlineStr">
        <is>
          <t>BALAKRISHNAN G</t>
        </is>
      </c>
      <c r="D93" s="127" t="inlineStr">
        <is>
          <t>PRODUCTION</t>
        </is>
      </c>
      <c r="E93" s="135" t="inlineStr">
        <is>
          <t>MIXING</t>
        </is>
      </c>
      <c r="F93" s="136" t="n">
        <v>40659</v>
      </c>
      <c r="G93" s="131">
        <f>NOW()-F93</f>
        <v/>
      </c>
      <c r="H93" s="104" t="inlineStr">
        <is>
          <t>O</t>
        </is>
      </c>
      <c r="I93" s="104" t="inlineStr">
        <is>
          <t>U</t>
        </is>
      </c>
      <c r="J93" s="104" t="inlineStr">
        <is>
          <t>NIL</t>
        </is>
      </c>
      <c r="K93" s="104" t="n"/>
      <c r="L93" s="104" t="n"/>
      <c r="M93" s="104" t="n"/>
      <c r="N93" s="104" t="n"/>
      <c r="O93" s="104" t="n"/>
      <c r="P93" s="12">
        <f>O93/IF(H93="L",20,IF(H93="U",30,IF(H93="O",40,IF(H93="I",20,""))))</f>
        <v/>
      </c>
      <c r="Q93" s="132">
        <f>IF(AND(H93="L", P93&gt;=50%), "Pass",
IF(AND(H93="U", P93&gt;=60%), "Pass",
IF(AND(H93="O", P93&gt;=75%), "Pass", "Fail")))</f>
        <v/>
      </c>
      <c r="R93" s="104" t="n"/>
      <c r="S93" s="104" t="n">
        <v>13</v>
      </c>
      <c r="T93" s="104" t="n">
        <v>11</v>
      </c>
      <c r="U93" s="104">
        <f>SUM(S93:T93)</f>
        <v/>
      </c>
      <c r="V93" s="12">
        <f>U93/IF(H93="L",35,IF(H93="U",35,IF(H93="O",35,IF(H93="I",35,""))))</f>
        <v/>
      </c>
      <c r="W93" s="132">
        <f>IF(AND(H93="L", V93&gt;=50%), "Pass",
IF(AND(H93="U", V93&gt;=60%), "Pass",
IF(AND(H93="O", V93&gt;=75%), "Pass", "Fail")))</f>
        <v/>
      </c>
      <c r="X93" s="132">
        <f>IF(AND(Q93="Pass", W93="Pass"), "Pass", "Fail")</f>
        <v/>
      </c>
      <c r="Y93" s="15">
        <f>IF($X93="Pass",$H93,
IF(H93="L","I",
IF(H93="U","L",
IF(H93="O","U",
"I"))))</f>
        <v/>
      </c>
    </row>
    <row r="94">
      <c r="A94" s="147">
        <f>ROW()-2</f>
        <v/>
      </c>
      <c r="B94" s="133" t="n">
        <v>900745</v>
      </c>
      <c r="C94" s="148" t="inlineStr">
        <is>
          <t xml:space="preserve">MURUGAN S V </t>
        </is>
      </c>
      <c r="D94" s="127" t="inlineStr">
        <is>
          <t>PRODUCTION</t>
        </is>
      </c>
      <c r="E94" s="135" t="inlineStr">
        <is>
          <t>MIXING</t>
        </is>
      </c>
      <c r="F94" s="136" t="n">
        <v>40696</v>
      </c>
      <c r="G94" s="131">
        <f>NOW()-F94</f>
        <v/>
      </c>
      <c r="H94" s="104" t="inlineStr">
        <is>
          <t>O</t>
        </is>
      </c>
      <c r="I94" s="104" t="inlineStr">
        <is>
          <t>U</t>
        </is>
      </c>
      <c r="J94" s="104" t="inlineStr">
        <is>
          <t>NIL</t>
        </is>
      </c>
      <c r="K94" s="104" t="n"/>
      <c r="L94" s="104" t="n"/>
      <c r="M94" s="104" t="n"/>
      <c r="N94" s="104" t="n"/>
      <c r="O94" s="104" t="n"/>
      <c r="P94" s="12">
        <f>O94/IF(H94="L",20,IF(H94="U",30,IF(H94="O",40,IF(H94="I",20,""))))</f>
        <v/>
      </c>
      <c r="Q94" s="132">
        <f>IF(AND(H94="L", P94&gt;=50%), "Pass",
IF(AND(H94="U", P94&gt;=60%), "Pass",
IF(AND(H94="O", P94&gt;=75%), "Pass", "Fail")))</f>
        <v/>
      </c>
      <c r="R94" s="104" t="n"/>
      <c r="S94" s="104" t="n">
        <v>15</v>
      </c>
      <c r="T94" s="104" t="n">
        <v>11</v>
      </c>
      <c r="U94" s="104">
        <f>SUM(S94:T94)</f>
        <v/>
      </c>
      <c r="V94" s="12">
        <f>U94/IF(H94="L",35,IF(H94="U",35,IF(H94="O",35,IF(H94="I",35,""))))</f>
        <v/>
      </c>
      <c r="W94" s="132">
        <f>IF(AND(H94="L", V94&gt;=50%), "Pass",
IF(AND(H94="U", V94&gt;=60%), "Pass",
IF(AND(H94="O", V94&gt;=75%), "Pass", "Fail")))</f>
        <v/>
      </c>
      <c r="X94" s="132">
        <f>IF(AND(Q94="Pass", W94="Pass"), "Pass", "Fail")</f>
        <v/>
      </c>
      <c r="Y94" s="15">
        <f>IF($X94="Pass",$H94,
IF(H94="L","I",
IF(H94="U","L",
IF(H94="O","U",
"I"))))</f>
        <v/>
      </c>
    </row>
    <row r="95">
      <c r="A95" s="147">
        <f>ROW()-2</f>
        <v/>
      </c>
      <c r="B95" s="127" t="inlineStr">
        <is>
          <t>SK0045</t>
        </is>
      </c>
      <c r="C95" s="128" t="inlineStr">
        <is>
          <t>BIRIJU KUSHWAHA</t>
        </is>
      </c>
      <c r="D95" s="127" t="inlineStr">
        <is>
          <t>PRODUCTION</t>
        </is>
      </c>
      <c r="E95" s="129" t="inlineStr">
        <is>
          <t>TYRE BUILDING-P3</t>
        </is>
      </c>
      <c r="F95" s="130" t="n">
        <v>40717</v>
      </c>
      <c r="G95" s="131">
        <f>NOW()-F95</f>
        <v/>
      </c>
      <c r="H95" s="104" t="inlineStr">
        <is>
          <t>O</t>
        </is>
      </c>
      <c r="I95" s="104" t="inlineStr">
        <is>
          <t>U</t>
        </is>
      </c>
      <c r="J95" s="104" t="n">
        <v>10</v>
      </c>
      <c r="K95" s="104" t="n">
        <v>8</v>
      </c>
      <c r="L95" s="104" t="n">
        <v>8</v>
      </c>
      <c r="M95" s="104" t="n">
        <v>8</v>
      </c>
      <c r="N95" s="104" t="n"/>
      <c r="O95" s="104">
        <f>SUM(J95:N95)</f>
        <v/>
      </c>
      <c r="P95" s="12">
        <f>O95/IF(H95="L",20,IF(H95="U",30,IF(H95="O",40,IF(H95="I",20,""))))</f>
        <v/>
      </c>
      <c r="Q95" s="132">
        <f>IF(AND(H95="L", P95&gt;=50%), "Pass",
IF(AND(H95="U", P95&gt;=60%), "Pass",
IF(AND(H95="O", P95&gt;=75%), "Pass", "Fail")))</f>
        <v/>
      </c>
      <c r="R95" s="104" t="n"/>
      <c r="S95" s="104" t="n">
        <v>17</v>
      </c>
      <c r="T95" s="104" t="n">
        <v>14</v>
      </c>
      <c r="U95" s="104">
        <f>SUM(S95:T95)</f>
        <v/>
      </c>
      <c r="V95" s="12">
        <f>U95/IF(H95="L",35,IF(H95="U",35,IF(H95="O",35,IF(H95="I",35,""))))</f>
        <v/>
      </c>
      <c r="W95" s="132">
        <f>IF(AND(H95="L", V95&gt;=50%), "Pass",
IF(AND(H95="U", V95&gt;=60%), "Pass",
IF(AND(H95="O", V95&gt;=75%), "Pass", "Fail")))</f>
        <v/>
      </c>
      <c r="X95" s="132">
        <f>IF(AND(Q95="Pass", W95="Pass"), "Pass", "Fail")</f>
        <v/>
      </c>
      <c r="Y95" s="15">
        <f>IF($X95="Pass",$H95,
IF(H95="L","I",
IF(H95="U","L",
IF(H95="O","U",
"I"))))</f>
        <v/>
      </c>
    </row>
    <row r="96">
      <c r="A96" s="147">
        <f>ROW()-2</f>
        <v/>
      </c>
      <c r="B96" s="127" t="inlineStr">
        <is>
          <t>SK1674</t>
        </is>
      </c>
      <c r="C96" s="128" t="inlineStr">
        <is>
          <t>CHIDAMPARARAJA S</t>
        </is>
      </c>
      <c r="D96" s="127" t="inlineStr">
        <is>
          <t>PRODUCTION</t>
        </is>
      </c>
      <c r="E96" s="129" t="inlineStr">
        <is>
          <t>TYRE CURING</t>
        </is>
      </c>
      <c r="F96" s="130" t="n">
        <v>40719</v>
      </c>
      <c r="G96" s="131">
        <f>NOW()-F96</f>
        <v/>
      </c>
      <c r="H96" s="104" t="inlineStr">
        <is>
          <t>O</t>
        </is>
      </c>
      <c r="I96" s="104" t="inlineStr">
        <is>
          <t>O</t>
        </is>
      </c>
      <c r="J96" s="104" t="n">
        <v>9</v>
      </c>
      <c r="K96" s="104" t="n">
        <v>9</v>
      </c>
      <c r="L96" s="104" t="n">
        <v>9</v>
      </c>
      <c r="M96" s="104" t="n">
        <v>10</v>
      </c>
      <c r="N96" s="104" t="n"/>
      <c r="O96" s="104">
        <f>SUM(J96:N96)</f>
        <v/>
      </c>
      <c r="P96" s="12">
        <f>O96/IF(H96="L",20,IF(H96="U",30,IF(H96="O",40,IF(H96="I",20,""))))</f>
        <v/>
      </c>
      <c r="Q96" s="132">
        <f>IF(AND(H96="L", P96&gt;=50%), "Pass",
IF(AND(H96="U", P96&gt;=60%), "Pass",
IF(AND(H96="O", P96&gt;=75%), "Pass", "Fail")))</f>
        <v/>
      </c>
      <c r="R96" s="104" t="n"/>
      <c r="S96" s="104" t="n">
        <v>17</v>
      </c>
      <c r="T96" s="104" t="n">
        <v>13</v>
      </c>
      <c r="U96" s="104">
        <f>SUM(S96:T96)</f>
        <v/>
      </c>
      <c r="V96" s="12">
        <f>U96/IF(H96="L",35,IF(H96="U",35,IF(H96="O",35,IF(H96="I",35,""))))</f>
        <v/>
      </c>
      <c r="W96" s="132">
        <f>IF(AND(H96="L", V96&gt;=50%), "Pass",
IF(AND(H96="U", V96&gt;=60%), "Pass",
IF(AND(H96="O", V96&gt;=75%), "Pass", "Fail")))</f>
        <v/>
      </c>
      <c r="X96" s="132">
        <f>IF(AND(Q96="Pass", W96="Pass"), "Pass", "Fail")</f>
        <v/>
      </c>
      <c r="Y96" s="15">
        <f>IF($X96="Pass",$H96,
IF(H96="L","I",
IF(H96="U","L",
IF(H96="O","U",
"I"))))</f>
        <v/>
      </c>
    </row>
    <row r="97">
      <c r="A97" s="147">
        <f>ROW()-2</f>
        <v/>
      </c>
      <c r="B97" s="127" t="inlineStr">
        <is>
          <t>SK0056</t>
        </is>
      </c>
      <c r="C97" s="128" t="inlineStr">
        <is>
          <t>ESAKKI MUTHU M</t>
        </is>
      </c>
      <c r="D97" s="127" t="inlineStr">
        <is>
          <t>PRODUCTION</t>
        </is>
      </c>
      <c r="E97" s="129" t="inlineStr">
        <is>
          <t>BIAS CUTTING-5</t>
        </is>
      </c>
      <c r="F97" s="130" t="n">
        <v>40767</v>
      </c>
      <c r="G97" s="131">
        <f>NOW()-F97</f>
        <v/>
      </c>
      <c r="H97" s="104" t="inlineStr">
        <is>
          <t>O</t>
        </is>
      </c>
      <c r="I97" s="104" t="inlineStr">
        <is>
          <t>U</t>
        </is>
      </c>
      <c r="J97" s="104" t="n">
        <v>9</v>
      </c>
      <c r="K97" s="104" t="n">
        <v>8</v>
      </c>
      <c r="L97" s="104" t="n">
        <v>8</v>
      </c>
      <c r="M97" s="104" t="n">
        <v>8</v>
      </c>
      <c r="N97" s="104" t="n"/>
      <c r="O97" s="104">
        <f>SUM(J97:N97)</f>
        <v/>
      </c>
      <c r="P97" s="12">
        <f>O97/IF(H97="L",20,IF(H97="U",30,IF(H97="O",40,IF(H97="I",20,""))))</f>
        <v/>
      </c>
      <c r="Q97" s="132">
        <f>IF(AND(H97="L", P97&gt;=50%), "Pass",
IF(AND(H97="U", P97&gt;=60%), "Pass",
IF(AND(H97="O", P97&gt;=75%), "Pass", "Fail")))</f>
        <v/>
      </c>
      <c r="R97" s="104" t="n"/>
      <c r="S97" s="104" t="n">
        <v>12</v>
      </c>
      <c r="T97" s="104" t="n">
        <v>10</v>
      </c>
      <c r="U97" s="104">
        <f>SUM(S97:T97)</f>
        <v/>
      </c>
      <c r="V97" s="12">
        <f>U97/IF(H97="L",35,IF(H97="U",35,IF(H97="O",35,IF(H97="I",35,""))))</f>
        <v/>
      </c>
      <c r="W97" s="132">
        <f>IF(AND(H97="L", V97&gt;=50%), "Pass",
IF(AND(H97="U", V97&gt;=60%), "Pass",
IF(AND(H97="O", V97&gt;=75%), "Pass", "Fail")))</f>
        <v/>
      </c>
      <c r="X97" s="132">
        <f>IF(AND(Q97="Pass", W97="Pass"), "Pass", "Fail")</f>
        <v/>
      </c>
      <c r="Y97" s="15">
        <f>IF($X97="Pass",$H97,
IF(H97="L","I",
IF(H97="U","L",
IF(H97="O","U",
"I"))))</f>
        <v/>
      </c>
    </row>
    <row r="98">
      <c r="A98" s="147">
        <f>ROW()-2</f>
        <v/>
      </c>
      <c r="B98" s="127" t="inlineStr">
        <is>
          <t>SK2306</t>
        </is>
      </c>
      <c r="C98" s="128" t="inlineStr">
        <is>
          <t>DEEPAK KUMAR K</t>
        </is>
      </c>
      <c r="D98" s="127" t="inlineStr">
        <is>
          <t>PRODUCTION</t>
        </is>
      </c>
      <c r="E98" s="129" t="inlineStr">
        <is>
          <t>TYRE BUILDING-P2</t>
        </is>
      </c>
      <c r="F98" s="130" t="n">
        <v>40793</v>
      </c>
      <c r="G98" s="131">
        <f>NOW()-F98</f>
        <v/>
      </c>
      <c r="H98" s="104" t="inlineStr">
        <is>
          <t>O</t>
        </is>
      </c>
      <c r="I98" s="104" t="inlineStr">
        <is>
          <t>O</t>
        </is>
      </c>
      <c r="J98" s="104" t="n">
        <v>9</v>
      </c>
      <c r="K98" s="104" t="n">
        <v>10</v>
      </c>
      <c r="L98" s="104" t="n">
        <v>8</v>
      </c>
      <c r="M98" s="104" t="n">
        <v>7</v>
      </c>
      <c r="N98" s="104" t="n"/>
      <c r="O98" s="104">
        <f>SUM(J98:N98)</f>
        <v/>
      </c>
      <c r="P98" s="12">
        <f>O98/IF(H98="L",20,IF(H98="U",30,IF(H98="O",40,IF(H98="I",20,""))))</f>
        <v/>
      </c>
      <c r="Q98" s="132">
        <f>IF(AND(H98="L", P98&gt;=50%), "Pass",
IF(AND(H98="U", P98&gt;=60%), "Pass",
IF(AND(H98="O", P98&gt;=75%), "Pass", "Fail")))</f>
        <v/>
      </c>
      <c r="R98" s="104" t="n"/>
      <c r="S98" s="104" t="n">
        <v>11</v>
      </c>
      <c r="T98" s="104" t="n">
        <v>8</v>
      </c>
      <c r="U98" s="104">
        <f>SUM(S98:T98)</f>
        <v/>
      </c>
      <c r="V98" s="12">
        <f>U98/IF(H98="L",35,IF(H98="U",35,IF(H98="O",35,IF(H98="I",35,""))))</f>
        <v/>
      </c>
      <c r="W98" s="132">
        <f>IF(AND(H98="L", V98&gt;=50%), "Pass",
IF(AND(H98="U", V98&gt;=60%), "Pass",
IF(AND(H98="O", V98&gt;=75%), "Pass", "Fail")))</f>
        <v/>
      </c>
      <c r="X98" s="132">
        <f>IF(AND(Q98="Pass", W98="Pass"), "Pass", "Fail")</f>
        <v/>
      </c>
      <c r="Y98" s="15">
        <f>IF($X98="Pass",$H98,
IF(H98="L","I",
IF(H98="U","L",
IF(H98="O","U",
"I"))))</f>
        <v/>
      </c>
      <c r="Z98" s="82" t="n"/>
    </row>
    <row r="99">
      <c r="A99" s="147">
        <f>ROW()-2</f>
        <v/>
      </c>
      <c r="B99" s="127" t="inlineStr">
        <is>
          <t>SK2307</t>
        </is>
      </c>
      <c r="C99" s="128" t="inlineStr">
        <is>
          <t>SHYAM VINOTH S</t>
        </is>
      </c>
      <c r="D99" s="127" t="inlineStr">
        <is>
          <t>PRODUCTION</t>
        </is>
      </c>
      <c r="E99" s="129" t="inlineStr">
        <is>
          <t>BAND BUILDING-P1</t>
        </is>
      </c>
      <c r="F99" s="130" t="n">
        <v>40800</v>
      </c>
      <c r="G99" s="131">
        <f>NOW()-F99</f>
        <v/>
      </c>
      <c r="H99" s="104" t="inlineStr">
        <is>
          <t>O</t>
        </is>
      </c>
      <c r="I99" s="104" t="inlineStr">
        <is>
          <t>O</t>
        </is>
      </c>
      <c r="J99" s="104" t="n">
        <v>10</v>
      </c>
      <c r="K99" s="104" t="n">
        <v>10</v>
      </c>
      <c r="L99" s="104" t="n">
        <v>6</v>
      </c>
      <c r="M99" s="104" t="n">
        <v>8</v>
      </c>
      <c r="N99" s="104" t="n"/>
      <c r="O99" s="104">
        <f>SUM(J99:N99)</f>
        <v/>
      </c>
      <c r="P99" s="12">
        <f>O99/IF(H99="L",20,IF(H99="U",30,IF(H99="O",40,IF(H99="I",20,""))))</f>
        <v/>
      </c>
      <c r="Q99" s="132">
        <f>IF(AND(H99="L", P99&gt;=50%), "Pass",
IF(AND(H99="U", P99&gt;=60%), "Pass",
IF(AND(H99="O", P99&gt;=75%), "Pass", "Fail")))</f>
        <v/>
      </c>
      <c r="R99" s="104" t="n"/>
      <c r="S99" s="104" t="n">
        <v>18</v>
      </c>
      <c r="T99" s="104" t="n">
        <v>15</v>
      </c>
      <c r="U99" s="104">
        <f>SUM(S99:T99)</f>
        <v/>
      </c>
      <c r="V99" s="12">
        <f>U99/IF(H99="L",35,IF(H99="U",35,IF(H99="O",35,IF(H99="I",35,""))))</f>
        <v/>
      </c>
      <c r="W99" s="132">
        <f>IF(AND(H99="L", V99&gt;=50%), "Pass",
IF(AND(H99="U", V99&gt;=60%), "Pass",
IF(AND(H99="O", V99&gt;=75%), "Pass", "Fail")))</f>
        <v/>
      </c>
      <c r="X99" s="132">
        <f>IF(AND(Q99="Pass", W99="Pass"), "Pass", "Fail")</f>
        <v/>
      </c>
      <c r="Y99" s="15">
        <f>IF($X99="Pass",$H99,
IF(H99="L","I",
IF(H99="U","L",
IF(H99="O","U",
"I"))))</f>
        <v/>
      </c>
    </row>
    <row r="100">
      <c r="A100" s="147">
        <f>ROW()-2</f>
        <v/>
      </c>
      <c r="B100" s="133" t="n">
        <v>900746</v>
      </c>
      <c r="C100" s="148" t="inlineStr">
        <is>
          <t>SANKAR NARAYANAN S</t>
        </is>
      </c>
      <c r="D100" s="127" t="inlineStr">
        <is>
          <t>PRODUCTION</t>
        </is>
      </c>
      <c r="E100" s="135" t="inlineStr">
        <is>
          <t>MIXING</t>
        </is>
      </c>
      <c r="F100" s="136" t="n">
        <v>40861</v>
      </c>
      <c r="G100" s="131">
        <f>NOW()-F100</f>
        <v/>
      </c>
      <c r="H100" s="104" t="inlineStr">
        <is>
          <t>O</t>
        </is>
      </c>
      <c r="I100" s="104" t="inlineStr">
        <is>
          <t>U</t>
        </is>
      </c>
      <c r="J100" s="104" t="inlineStr">
        <is>
          <t>NIL</t>
        </is>
      </c>
      <c r="K100" s="104" t="n"/>
      <c r="L100" s="104" t="n"/>
      <c r="M100" s="104" t="n"/>
      <c r="N100" s="104" t="n"/>
      <c r="O100" s="104" t="n"/>
      <c r="P100" s="12">
        <f>O100/IF(H100="L",20,IF(H100="U",30,IF(H100="O",40,IF(H100="I",20,""))))</f>
        <v/>
      </c>
      <c r="Q100" s="132">
        <f>IF(AND(H100="L", P100&gt;=50%), "Pass",
IF(AND(H100="U", P100&gt;=60%), "Pass",
IF(AND(H100="O", P100&gt;=75%), "Pass", "Fail")))</f>
        <v/>
      </c>
      <c r="R100" s="104" t="n"/>
      <c r="S100" s="104" t="n">
        <v>14</v>
      </c>
      <c r="T100" s="104" t="n">
        <v>12</v>
      </c>
      <c r="U100" s="104">
        <f>SUM(S100:T100)</f>
        <v/>
      </c>
      <c r="V100" s="12">
        <f>U100/IF(H100="L",35,IF(H100="U",35,IF(H100="O",35,IF(H100="I",35,""))))</f>
        <v/>
      </c>
      <c r="W100" s="132">
        <f>IF(AND(H100="L", V100&gt;=50%), "Pass",
IF(AND(H100="U", V100&gt;=60%), "Pass",
IF(AND(H100="O", V100&gt;=75%), "Pass", "Fail")))</f>
        <v/>
      </c>
      <c r="X100" s="132">
        <f>IF(AND(Q100="Pass", W100="Pass"), "Pass", "Fail")</f>
        <v/>
      </c>
      <c r="Y100" s="15">
        <f>IF($X100="Pass",$H100,
IF(H100="L","I",
IF(H100="U","L",
IF(H100="O","U",
"I"))))</f>
        <v/>
      </c>
    </row>
    <row r="101">
      <c r="A101" s="147">
        <f>ROW()-2</f>
        <v/>
      </c>
      <c r="B101" s="133" t="n">
        <v>900747</v>
      </c>
      <c r="C101" s="148" t="inlineStr">
        <is>
          <t>MUTHUKUMAR V</t>
        </is>
      </c>
      <c r="D101" s="127" t="inlineStr">
        <is>
          <t>PRODUCTION</t>
        </is>
      </c>
      <c r="E101" s="135" t="inlineStr">
        <is>
          <t>MIXING</t>
        </is>
      </c>
      <c r="F101" s="136" t="n">
        <v>40878</v>
      </c>
      <c r="G101" s="131">
        <f>NOW()-F101</f>
        <v/>
      </c>
      <c r="H101" s="104" t="inlineStr">
        <is>
          <t>O</t>
        </is>
      </c>
      <c r="I101" s="104" t="inlineStr">
        <is>
          <t>O</t>
        </is>
      </c>
      <c r="J101" s="104" t="inlineStr">
        <is>
          <t>NIL</t>
        </is>
      </c>
      <c r="K101" s="104" t="n"/>
      <c r="L101" s="104" t="n"/>
      <c r="M101" s="104" t="n"/>
      <c r="N101" s="104" t="n"/>
      <c r="O101" s="104" t="n"/>
      <c r="P101" s="12">
        <f>O101/IF(H101="L",20,IF(H101="U",30,IF(H101="O",40,IF(H101="I",20,""))))</f>
        <v/>
      </c>
      <c r="Q101" s="132">
        <f>IF(AND(H101="L", P101&gt;=50%), "Pass",
IF(AND(H101="U", P101&gt;=60%), "Pass",
IF(AND(H101="O", P101&gt;=75%), "Pass", "Fail")))</f>
        <v/>
      </c>
      <c r="R101" s="104" t="n"/>
      <c r="S101" s="104" t="n">
        <v>15</v>
      </c>
      <c r="T101" s="104" t="n">
        <v>12</v>
      </c>
      <c r="U101" s="104">
        <f>SUM(S101:T101)</f>
        <v/>
      </c>
      <c r="V101" s="12">
        <f>U101/IF(H101="L",35,IF(H101="U",35,IF(H101="O",35,IF(H101="I",35,""))))</f>
        <v/>
      </c>
      <c r="W101" s="132">
        <f>IF(AND(H101="L", V101&gt;=50%), "Pass",
IF(AND(H101="U", V101&gt;=60%), "Pass",
IF(AND(H101="O", V101&gt;=75%), "Pass", "Fail")))</f>
        <v/>
      </c>
      <c r="X101" s="132">
        <f>IF(AND(Q101="Pass", W101="Pass"), "Pass", "Fail")</f>
        <v/>
      </c>
      <c r="Y101" s="15">
        <f>IF($X101="Pass",$H101,
IF(H101="L","I",
IF(H101="U","L",
IF(H101="O","U",
"I"))))</f>
        <v/>
      </c>
    </row>
    <row r="102">
      <c r="A102" s="147">
        <f>ROW()-2</f>
        <v/>
      </c>
      <c r="B102" s="133" t="n">
        <v>900748</v>
      </c>
      <c r="C102" s="148" t="inlineStr">
        <is>
          <t>RAM VINAY SAH</t>
        </is>
      </c>
      <c r="D102" s="127" t="inlineStr">
        <is>
          <t>PRODUCTION</t>
        </is>
      </c>
      <c r="E102" s="135" t="inlineStr">
        <is>
          <t>MIXING</t>
        </is>
      </c>
      <c r="F102" s="136" t="n">
        <v>40894</v>
      </c>
      <c r="G102" s="131">
        <f>NOW()-F102</f>
        <v/>
      </c>
      <c r="H102" s="104" t="inlineStr">
        <is>
          <t>O</t>
        </is>
      </c>
      <c r="I102" s="104" t="inlineStr">
        <is>
          <t>U</t>
        </is>
      </c>
      <c r="J102" s="104" t="inlineStr">
        <is>
          <t>NIL</t>
        </is>
      </c>
      <c r="K102" s="104" t="n"/>
      <c r="L102" s="104" t="n"/>
      <c r="M102" s="104" t="n"/>
      <c r="N102" s="104" t="n"/>
      <c r="O102" s="104" t="n"/>
      <c r="P102" s="12">
        <f>O102/IF(H102="L",20,IF(H102="U",30,IF(H102="O",40,IF(H102="I",20,""))))</f>
        <v/>
      </c>
      <c r="Q102" s="132">
        <f>IF(AND(H102="L", P102&gt;=50%), "Pass",
IF(AND(H102="U", P102&gt;=60%), "Pass",
IF(AND(H102="O", P102&gt;=75%), "Pass", "Fail")))</f>
        <v/>
      </c>
      <c r="R102" s="104" t="n"/>
      <c r="S102" s="104" t="n">
        <v>13</v>
      </c>
      <c r="T102" s="104" t="n">
        <v>12</v>
      </c>
      <c r="U102" s="104">
        <f>SUM(S102:T102)</f>
        <v/>
      </c>
      <c r="V102" s="12">
        <f>U102/IF(H102="L",35,IF(H102="U",35,IF(H102="O",35,IF(H102="I",35,""))))</f>
        <v/>
      </c>
      <c r="W102" s="132">
        <f>IF(AND(H102="L", V102&gt;=50%), "Pass",
IF(AND(H102="U", V102&gt;=60%), "Pass",
IF(AND(H102="O", V102&gt;=75%), "Pass", "Fail")))</f>
        <v/>
      </c>
      <c r="X102" s="132">
        <f>IF(AND(Q102="Pass", W102="Pass"), "Pass", "Fail")</f>
        <v/>
      </c>
      <c r="Y102" s="15">
        <f>IF($X102="Pass",$H102,
IF(H102="L","I",
IF(H102="U","L",
IF(H102="O","U",
"I"))))</f>
        <v/>
      </c>
    </row>
    <row r="103">
      <c r="A103" s="147">
        <f>ROW()-2</f>
        <v/>
      </c>
      <c r="B103" s="127" t="inlineStr">
        <is>
          <t>PK0200</t>
        </is>
      </c>
      <c r="C103" s="128" t="inlineStr">
        <is>
          <t>SUDALAIMANI M</t>
        </is>
      </c>
      <c r="D103" s="127" t="inlineStr">
        <is>
          <t>PRODUCTION</t>
        </is>
      </c>
      <c r="E103" s="129" t="inlineStr">
        <is>
          <t>TYRE CURING</t>
        </is>
      </c>
      <c r="F103" s="130" t="n">
        <v>40969</v>
      </c>
      <c r="G103" s="131">
        <f>NOW()-F103</f>
        <v/>
      </c>
      <c r="H103" s="104" t="inlineStr">
        <is>
          <t>O</t>
        </is>
      </c>
      <c r="I103" s="104" t="inlineStr">
        <is>
          <t>O</t>
        </is>
      </c>
      <c r="J103" s="104" t="n">
        <v>10</v>
      </c>
      <c r="K103" s="104" t="n">
        <v>10</v>
      </c>
      <c r="L103" s="104" t="n">
        <v>9</v>
      </c>
      <c r="M103" s="104" t="n">
        <v>7</v>
      </c>
      <c r="N103" s="104" t="n"/>
      <c r="O103" s="104">
        <f>SUM(J103:N103)</f>
        <v/>
      </c>
      <c r="P103" s="12">
        <f>O103/IF(H103="L",20,IF(H103="U",30,IF(H103="O",40,IF(H103="I",20,""))))</f>
        <v/>
      </c>
      <c r="Q103" s="132">
        <f>IF(AND(H103="L", P103&gt;=50%), "Pass",
IF(AND(H103="U", P103&gt;=60%), "Pass",
IF(AND(H103="O", P103&gt;=75%), "Pass", "Fail")))</f>
        <v/>
      </c>
      <c r="R103" s="104" t="n"/>
      <c r="S103" s="104" t="n">
        <v>15</v>
      </c>
      <c r="T103" s="104" t="n">
        <v>13</v>
      </c>
      <c r="U103" s="104">
        <f>SUM(S103:T103)</f>
        <v/>
      </c>
      <c r="V103" s="12">
        <f>U103/IF(H103="L",35,IF(H103="U",35,IF(H103="O",35,IF(H103="I",35,""))))</f>
        <v/>
      </c>
      <c r="W103" s="132">
        <f>IF(AND(H103="L", V103&gt;=50%), "Pass",
IF(AND(H103="U", V103&gt;=60%), "Pass",
IF(AND(H103="O", V103&gt;=75%), "Pass", "Fail")))</f>
        <v/>
      </c>
      <c r="X103" s="132">
        <f>IF(AND(Q103="Pass", W103="Pass"), "Pass", "Fail")</f>
        <v/>
      </c>
      <c r="Y103" s="15">
        <f>IF($X103="Pass",$H103,
IF(H103="L","I",
IF(H103="U","L",
IF(H103="O","U",
"I"))))</f>
        <v/>
      </c>
    </row>
    <row r="104">
      <c r="A104" s="147">
        <f>ROW()-2</f>
        <v/>
      </c>
      <c r="B104" s="133" t="n">
        <v>900749</v>
      </c>
      <c r="C104" s="148" t="inlineStr">
        <is>
          <t>ANJAN ORAON</t>
        </is>
      </c>
      <c r="D104" s="127" t="inlineStr">
        <is>
          <t>PRODUCTION</t>
        </is>
      </c>
      <c r="E104" s="135" t="inlineStr">
        <is>
          <t>MIXING</t>
        </is>
      </c>
      <c r="F104" s="136" t="n">
        <v>40986</v>
      </c>
      <c r="G104" s="131">
        <f>NOW()-F104</f>
        <v/>
      </c>
      <c r="H104" s="104" t="inlineStr">
        <is>
          <t>O</t>
        </is>
      </c>
      <c r="I104" s="104" t="inlineStr">
        <is>
          <t>U</t>
        </is>
      </c>
      <c r="J104" s="104" t="inlineStr">
        <is>
          <t>NIL</t>
        </is>
      </c>
      <c r="K104" s="104" t="n"/>
      <c r="L104" s="104" t="n"/>
      <c r="M104" s="104" t="n"/>
      <c r="N104" s="104" t="n"/>
      <c r="O104" s="104" t="n"/>
      <c r="P104" s="12">
        <f>O104/IF(H104="L",20,IF(H104="U",30,IF(H104="O",40,IF(H104="I",20,""))))</f>
        <v/>
      </c>
      <c r="Q104" s="132">
        <f>IF(AND(H104="L", P104&gt;=50%), "Pass",
IF(AND(H104="U", P104&gt;=60%), "Pass",
IF(AND(H104="O", P104&gt;=75%), "Pass", "Fail")))</f>
        <v/>
      </c>
      <c r="R104" s="104" t="n"/>
      <c r="S104" s="104" t="n">
        <v>13</v>
      </c>
      <c r="T104" s="104" t="n">
        <v>12</v>
      </c>
      <c r="U104" s="104">
        <f>SUM(S104:T104)</f>
        <v/>
      </c>
      <c r="V104" s="12">
        <f>U104/IF(H104="L",35,IF(H104="U",35,IF(H104="O",35,IF(H104="I",35,""))))</f>
        <v/>
      </c>
      <c r="W104" s="132">
        <f>IF(AND(H104="L", V104&gt;=50%), "Pass",
IF(AND(H104="U", V104&gt;=60%), "Pass",
IF(AND(H104="O", V104&gt;=75%), "Pass", "Fail")))</f>
        <v/>
      </c>
      <c r="X104" s="132">
        <f>IF(AND(Q104="Pass", W104="Pass"), "Pass", "Fail")</f>
        <v/>
      </c>
      <c r="Y104" s="15">
        <f>IF($X104="Pass",$H104,
IF(H104="L","I",
IF(H104="U","L",
IF(H104="O","U",
"I"))))</f>
        <v/>
      </c>
    </row>
    <row r="105">
      <c r="A105" s="147">
        <f>ROW()-2</f>
        <v/>
      </c>
      <c r="B105" s="127" t="n">
        <v>900312</v>
      </c>
      <c r="C105" s="128" t="inlineStr">
        <is>
          <t>SURESH KANNAN M</t>
        </is>
      </c>
      <c r="D105" s="127" t="inlineStr">
        <is>
          <t>PRODUCTION</t>
        </is>
      </c>
      <c r="E105" s="129" t="inlineStr">
        <is>
          <t>BAND BUILDING-P3</t>
        </is>
      </c>
      <c r="F105" s="130" t="n">
        <v>41000</v>
      </c>
      <c r="G105" s="131">
        <f>NOW()-F105</f>
        <v/>
      </c>
      <c r="H105" s="104" t="inlineStr">
        <is>
          <t>O</t>
        </is>
      </c>
      <c r="I105" s="104" t="inlineStr">
        <is>
          <t>U</t>
        </is>
      </c>
      <c r="J105" s="104" t="n">
        <v>10</v>
      </c>
      <c r="K105" s="104" t="n">
        <v>9</v>
      </c>
      <c r="L105" s="104" t="n">
        <v>8</v>
      </c>
      <c r="M105" s="104" t="n">
        <v>9</v>
      </c>
      <c r="N105" s="104" t="n"/>
      <c r="O105" s="104">
        <f>SUM(J105:N105)</f>
        <v/>
      </c>
      <c r="P105" s="12">
        <f>O105/IF(H105="L",20,IF(H105="U",30,IF(H105="O",40,IF(H105="I",20,""))))</f>
        <v/>
      </c>
      <c r="Q105" s="132">
        <f>IF(AND(H105="L", P105&gt;=50%), "Pass",
IF(AND(H105="U", P105&gt;=60%), "Pass",
IF(AND(H105="O", P105&gt;=75%), "Pass", "Fail")))</f>
        <v/>
      </c>
      <c r="R105" s="104" t="n"/>
      <c r="S105" s="104" t="n">
        <v>16</v>
      </c>
      <c r="T105" s="104" t="n">
        <v>11</v>
      </c>
      <c r="U105" s="104">
        <f>SUM(S105:T105)</f>
        <v/>
      </c>
      <c r="V105" s="12">
        <f>U105/IF(H105="L",35,IF(H105="U",35,IF(H105="O",35,IF(H105="I",35,""))))</f>
        <v/>
      </c>
      <c r="W105" s="132">
        <f>IF(AND(H105="L", V105&gt;=50%), "Pass",
IF(AND(H105="U", V105&gt;=60%), "Pass",
IF(AND(H105="O", V105&gt;=75%), "Pass", "Fail")))</f>
        <v/>
      </c>
      <c r="X105" s="132">
        <f>IF(AND(Q105="Pass", W105="Pass"), "Pass", "Fail")</f>
        <v/>
      </c>
      <c r="Y105" s="15">
        <f>IF($X105="Pass",$H105,
IF(H105="L","I",
IF(H105="U","L",
IF(H105="O","U",
"I"))))</f>
        <v/>
      </c>
    </row>
    <row r="106">
      <c r="A106" s="147">
        <f>ROW()-2</f>
        <v/>
      </c>
      <c r="B106" s="127" t="n">
        <v>900313</v>
      </c>
      <c r="C106" s="128" t="inlineStr">
        <is>
          <t>ESAKKI MUTHU M</t>
        </is>
      </c>
      <c r="D106" s="127" t="inlineStr">
        <is>
          <t>PRODUCTION</t>
        </is>
      </c>
      <c r="E106" s="129" t="inlineStr">
        <is>
          <t>3 ROLL-P2</t>
        </is>
      </c>
      <c r="F106" s="130" t="n">
        <v>41000</v>
      </c>
      <c r="G106" s="131">
        <f>NOW()-F106</f>
        <v/>
      </c>
      <c r="H106" s="104" t="inlineStr">
        <is>
          <t>O</t>
        </is>
      </c>
      <c r="I106" s="104" t="inlineStr">
        <is>
          <t>U</t>
        </is>
      </c>
      <c r="J106" s="104" t="n">
        <v>7</v>
      </c>
      <c r="K106" s="104" t="n">
        <v>7</v>
      </c>
      <c r="L106" s="104" t="n">
        <v>4</v>
      </c>
      <c r="M106" s="104" t="n">
        <v>9</v>
      </c>
      <c r="N106" s="104" t="n"/>
      <c r="O106" s="104">
        <f>SUM(J106:N106)</f>
        <v/>
      </c>
      <c r="P106" s="12">
        <f>O106/IF(H106="L",20,IF(H106="U",30,IF(H106="O",40,IF(H106="I",20,""))))</f>
        <v/>
      </c>
      <c r="Q106" s="132">
        <f>IF(AND(H106="L", P106&gt;=50%), "Pass",
IF(AND(H106="U", P106&gt;=60%), "Pass",
IF(AND(H106="O", P106&gt;=75%), "Pass", "Fail")))</f>
        <v/>
      </c>
      <c r="R106" s="104" t="n"/>
      <c r="S106" s="104" t="n">
        <v>15</v>
      </c>
      <c r="T106" s="104" t="n">
        <v>7</v>
      </c>
      <c r="U106" s="104">
        <f>SUM(S106:T106)</f>
        <v/>
      </c>
      <c r="V106" s="12">
        <f>U106/IF(H106="L",35,IF(H106="U",35,IF(H106="O",35,IF(H106="I",35,""))))</f>
        <v/>
      </c>
      <c r="W106" s="132">
        <f>IF(AND(H106="L", V106&gt;=50%), "Pass",
IF(AND(H106="U", V106&gt;=60%), "Pass",
IF(AND(H106="O", V106&gt;=75%), "Pass", "Fail")))</f>
        <v/>
      </c>
      <c r="X106" s="132">
        <f>IF(AND(Q106="Pass", W106="Pass"), "Pass", "Fail")</f>
        <v/>
      </c>
      <c r="Y106" s="15">
        <f>IF($X106="Pass",$H106,
IF(H106="L","I",
IF(H106="U","L",
IF(H106="O","U",
"I"))))</f>
        <v/>
      </c>
    </row>
    <row r="107">
      <c r="A107" s="147">
        <f>ROW()-2</f>
        <v/>
      </c>
      <c r="B107" s="127" t="n">
        <v>900314</v>
      </c>
      <c r="C107" s="128" t="inlineStr">
        <is>
          <t>THEKKADIYAN A</t>
        </is>
      </c>
      <c r="D107" s="127" t="inlineStr">
        <is>
          <t>PRODUCTION</t>
        </is>
      </c>
      <c r="E107" s="129" t="inlineStr">
        <is>
          <t>3 ROLL-P2</t>
        </is>
      </c>
      <c r="F107" s="130" t="n">
        <v>41000</v>
      </c>
      <c r="G107" s="131">
        <f>NOW()-F107</f>
        <v/>
      </c>
      <c r="H107" s="104" t="inlineStr">
        <is>
          <t>O</t>
        </is>
      </c>
      <c r="I107" s="104" t="inlineStr">
        <is>
          <t>U</t>
        </is>
      </c>
      <c r="J107" s="104" t="n">
        <v>9</v>
      </c>
      <c r="K107" s="104" t="n">
        <v>5</v>
      </c>
      <c r="L107" s="104" t="n">
        <v>4</v>
      </c>
      <c r="M107" s="104" t="n">
        <v>7</v>
      </c>
      <c r="N107" s="104" t="n"/>
      <c r="O107" s="104">
        <f>SUM(J107:N107)</f>
        <v/>
      </c>
      <c r="P107" s="12">
        <f>O107/IF(H107="L",20,IF(H107="U",30,IF(H107="O",40,IF(H107="I",20,""))))</f>
        <v/>
      </c>
      <c r="Q107" s="132">
        <f>IF(AND(H107="L", P107&gt;=50%), "Pass",
IF(AND(H107="U", P107&gt;=60%), "Pass",
IF(AND(H107="O", P107&gt;=75%), "Pass", "Fail")))</f>
        <v/>
      </c>
      <c r="R107" s="104" t="n"/>
      <c r="S107" s="104" t="n">
        <v>12</v>
      </c>
      <c r="T107" s="104" t="n">
        <v>6</v>
      </c>
      <c r="U107" s="104">
        <f>SUM(S107:T107)</f>
        <v/>
      </c>
      <c r="V107" s="12">
        <f>U107/IF(H107="L",35,IF(H107="U",35,IF(H107="O",35,IF(H107="I",35,""))))</f>
        <v/>
      </c>
      <c r="W107" s="132">
        <f>IF(AND(H107="L", V107&gt;=50%), "Pass",
IF(AND(H107="U", V107&gt;=60%), "Pass",
IF(AND(H107="O", V107&gt;=75%), "Pass", "Fail")))</f>
        <v/>
      </c>
      <c r="X107" s="132">
        <f>IF(AND(Q107="Pass", W107="Pass"), "Pass", "Fail")</f>
        <v/>
      </c>
      <c r="Y107" s="15">
        <f>IF($X107="Pass",$H107,
IF(H107="L","I",
IF(H107="U","L",
IF(H107="O","U",
"I"))))</f>
        <v/>
      </c>
    </row>
    <row r="108">
      <c r="A108" s="147">
        <f>ROW()-2</f>
        <v/>
      </c>
      <c r="B108" s="127" t="n">
        <v>900315</v>
      </c>
      <c r="C108" s="128" t="inlineStr">
        <is>
          <t>ANTONY RAJ I</t>
        </is>
      </c>
      <c r="D108" s="127" t="inlineStr">
        <is>
          <t>PRODUCTION</t>
        </is>
      </c>
      <c r="E108" s="129" t="inlineStr">
        <is>
          <t>4 ROLL</t>
        </is>
      </c>
      <c r="F108" s="130" t="n">
        <v>41000</v>
      </c>
      <c r="G108" s="131">
        <f>NOW()-F108</f>
        <v/>
      </c>
      <c r="H108" s="104" t="inlineStr">
        <is>
          <t>O</t>
        </is>
      </c>
      <c r="I108" s="104" t="inlineStr">
        <is>
          <t>U</t>
        </is>
      </c>
      <c r="J108" s="104" t="n">
        <v>10</v>
      </c>
      <c r="K108" s="104" t="n">
        <v>8</v>
      </c>
      <c r="L108" s="104" t="n">
        <v>7</v>
      </c>
      <c r="M108" s="104" t="n">
        <v>9</v>
      </c>
      <c r="N108" s="104" t="n"/>
      <c r="O108" s="104">
        <f>SUM(J108:N108)</f>
        <v/>
      </c>
      <c r="P108" s="12">
        <f>O108/IF(H108="L",20,IF(H108="U",30,IF(H108="O",40,IF(H108="I",20,""))))</f>
        <v/>
      </c>
      <c r="Q108" s="132">
        <f>IF(AND(H108="L", P108&gt;=50%), "Pass",
IF(AND(H108="U", P108&gt;=60%), "Pass",
IF(AND(H108="O", P108&gt;=75%), "Pass", "Fail")))</f>
        <v/>
      </c>
      <c r="R108" s="104" t="n"/>
      <c r="S108" s="104" t="n">
        <v>12</v>
      </c>
      <c r="T108" s="104" t="n">
        <v>12</v>
      </c>
      <c r="U108" s="104">
        <f>SUM(S108:T108)</f>
        <v/>
      </c>
      <c r="V108" s="12">
        <f>U108/IF(H108="L",35,IF(H108="U",35,IF(H108="O",35,IF(H108="I",35,""))))</f>
        <v/>
      </c>
      <c r="W108" s="132">
        <f>IF(AND(H108="L", V108&gt;=50%), "Pass",
IF(AND(H108="U", V108&gt;=60%), "Pass",
IF(AND(H108="O", V108&gt;=75%), "Pass", "Fail")))</f>
        <v/>
      </c>
      <c r="X108" s="132">
        <f>IF(AND(Q108="Pass", W108="Pass"), "Pass", "Fail")</f>
        <v/>
      </c>
      <c r="Y108" s="15">
        <f>IF($X108="Pass",$H108,
IF(H108="L","I",
IF(H108="U","L",
IF(H108="O","U",
"I"))))</f>
        <v/>
      </c>
    </row>
    <row r="109">
      <c r="A109" s="147">
        <f>ROW()-2</f>
        <v/>
      </c>
      <c r="B109" s="127" t="n">
        <v>900316</v>
      </c>
      <c r="C109" s="128" t="inlineStr">
        <is>
          <t>ANTONY RAJ T</t>
        </is>
      </c>
      <c r="D109" s="127" t="inlineStr">
        <is>
          <t>PRODUCTION</t>
        </is>
      </c>
      <c r="E109" s="129" t="inlineStr">
        <is>
          <t>4 ROLL</t>
        </is>
      </c>
      <c r="F109" s="130" t="n">
        <v>41000</v>
      </c>
      <c r="G109" s="131">
        <f>NOW()-F109</f>
        <v/>
      </c>
      <c r="H109" s="104" t="inlineStr">
        <is>
          <t>O</t>
        </is>
      </c>
      <c r="I109" s="104" t="inlineStr">
        <is>
          <t>U</t>
        </is>
      </c>
      <c r="J109" s="104" t="n">
        <v>9</v>
      </c>
      <c r="K109" s="104" t="n">
        <v>8</v>
      </c>
      <c r="L109" s="104" t="n">
        <v>9</v>
      </c>
      <c r="M109" s="104" t="n">
        <v>10</v>
      </c>
      <c r="N109" s="104" t="n"/>
      <c r="O109" s="104">
        <f>SUM(J109:N109)</f>
        <v/>
      </c>
      <c r="P109" s="12">
        <f>O109/IF(H109="L",20,IF(H109="U",30,IF(H109="O",40,IF(H109="I",20,""))))</f>
        <v/>
      </c>
      <c r="Q109" s="132">
        <f>IF(AND(H109="L", P109&gt;=50%), "Pass",
IF(AND(H109="U", P109&gt;=60%), "Pass",
IF(AND(H109="O", P109&gt;=75%), "Pass", "Fail")))</f>
        <v/>
      </c>
      <c r="R109" s="104" t="n"/>
      <c r="S109" s="104" t="n">
        <v>16</v>
      </c>
      <c r="T109" s="104" t="n">
        <v>11</v>
      </c>
      <c r="U109" s="104">
        <f>SUM(S109:T109)</f>
        <v/>
      </c>
      <c r="V109" s="12">
        <f>U109/IF(H109="L",35,IF(H109="U",35,IF(H109="O",35,IF(H109="I",35,""))))</f>
        <v/>
      </c>
      <c r="W109" s="132">
        <f>IF(AND(H109="L", V109&gt;=50%), "Pass",
IF(AND(H109="U", V109&gt;=60%), "Pass",
IF(AND(H109="O", V109&gt;=75%), "Pass", "Fail")))</f>
        <v/>
      </c>
      <c r="X109" s="132">
        <f>IF(AND(Q109="Pass", W109="Pass"), "Pass", "Fail")</f>
        <v/>
      </c>
      <c r="Y109" s="15">
        <f>IF($X109="Pass",$H109,
IF(H109="L","I",
IF(H109="U","L",
IF(H109="O","U",
"I"))))</f>
        <v/>
      </c>
    </row>
    <row r="110">
      <c r="A110" s="147">
        <f>ROW()-2</f>
        <v/>
      </c>
      <c r="B110" s="127" t="n">
        <v>900317</v>
      </c>
      <c r="C110" s="128" t="inlineStr">
        <is>
          <t>RAJA GOPAL S</t>
        </is>
      </c>
      <c r="D110" s="127" t="inlineStr">
        <is>
          <t>PRODUCTION</t>
        </is>
      </c>
      <c r="E110" s="129" t="inlineStr">
        <is>
          <t>BAND BUILDING-P3</t>
        </is>
      </c>
      <c r="F110" s="130" t="n">
        <v>41000</v>
      </c>
      <c r="G110" s="131">
        <f>NOW()-F110</f>
        <v/>
      </c>
      <c r="H110" s="104" t="inlineStr">
        <is>
          <t>O</t>
        </is>
      </c>
      <c r="I110" s="104" t="inlineStr">
        <is>
          <t>U</t>
        </is>
      </c>
      <c r="J110" s="104" t="n">
        <v>10</v>
      </c>
      <c r="K110" s="104" t="n">
        <v>9</v>
      </c>
      <c r="L110" s="104" t="n">
        <v>8</v>
      </c>
      <c r="M110" s="104" t="n">
        <v>9</v>
      </c>
      <c r="N110" s="104" t="n"/>
      <c r="O110" s="104">
        <f>SUM(J110:N110)</f>
        <v/>
      </c>
      <c r="P110" s="12">
        <f>O110/IF(H110="L",20,IF(H110="U",30,IF(H110="O",40,IF(H110="I",20,""))))</f>
        <v/>
      </c>
      <c r="Q110" s="132">
        <f>IF(AND(H110="L", P110&gt;=50%), "Pass",
IF(AND(H110="U", P110&gt;=60%), "Pass",
IF(AND(H110="O", P110&gt;=75%), "Pass", "Fail")))</f>
        <v/>
      </c>
      <c r="R110" s="104" t="n"/>
      <c r="S110" s="104" t="n">
        <v>13</v>
      </c>
      <c r="T110" s="104" t="n">
        <v>14</v>
      </c>
      <c r="U110" s="104">
        <f>SUM(S110:T110)</f>
        <v/>
      </c>
      <c r="V110" s="12">
        <f>U110/IF(H110="L",35,IF(H110="U",35,IF(H110="O",35,IF(H110="I",35,""))))</f>
        <v/>
      </c>
      <c r="W110" s="132">
        <f>IF(AND(H110="L", V110&gt;=50%), "Pass",
IF(AND(H110="U", V110&gt;=60%), "Pass",
IF(AND(H110="O", V110&gt;=75%), "Pass", "Fail")))</f>
        <v/>
      </c>
      <c r="X110" s="132">
        <f>IF(AND(Q110="Pass", W110="Pass"), "Pass", "Fail")</f>
        <v/>
      </c>
      <c r="Y110" s="15">
        <f>IF($X110="Pass",$H110,
IF(H110="L","I",
IF(H110="U","L",
IF(H110="O","U",
"I"))))</f>
        <v/>
      </c>
    </row>
    <row r="111">
      <c r="A111" s="147">
        <f>ROW()-2</f>
        <v/>
      </c>
      <c r="B111" s="127" t="n">
        <v>900318</v>
      </c>
      <c r="C111" s="128" t="inlineStr">
        <is>
          <t>SENTHIL MURUGAN S</t>
        </is>
      </c>
      <c r="D111" s="127" t="inlineStr">
        <is>
          <t>PRODUCTION</t>
        </is>
      </c>
      <c r="E111" s="129" t="inlineStr">
        <is>
          <t>BAND BUILDING-P2</t>
        </is>
      </c>
      <c r="F111" s="130" t="n">
        <v>41000</v>
      </c>
      <c r="G111" s="131">
        <f>NOW()-F111</f>
        <v/>
      </c>
      <c r="H111" s="104" t="inlineStr">
        <is>
          <t>O</t>
        </is>
      </c>
      <c r="I111" s="104" t="inlineStr">
        <is>
          <t>U</t>
        </is>
      </c>
      <c r="J111" s="104" t="n">
        <v>10</v>
      </c>
      <c r="K111" s="104" t="n">
        <v>8</v>
      </c>
      <c r="L111" s="104" t="n">
        <v>10</v>
      </c>
      <c r="M111" s="104" t="n">
        <v>8</v>
      </c>
      <c r="N111" s="104" t="n"/>
      <c r="O111" s="104">
        <f>SUM(J111:N111)</f>
        <v/>
      </c>
      <c r="P111" s="12">
        <f>O111/IF(H111="L",20,IF(H111="U",30,IF(H111="O",40,IF(H111="I",20,""))))</f>
        <v/>
      </c>
      <c r="Q111" s="132">
        <f>IF(AND(H111="L", P111&gt;=50%), "Pass",
IF(AND(H111="U", P111&gt;=60%), "Pass",
IF(AND(H111="O", P111&gt;=75%), "Pass", "Fail")))</f>
        <v/>
      </c>
      <c r="R111" s="104" t="n"/>
      <c r="S111" s="104" t="n">
        <v>16</v>
      </c>
      <c r="T111" s="104" t="n">
        <v>12</v>
      </c>
      <c r="U111" s="104">
        <f>SUM(S111:T111)</f>
        <v/>
      </c>
      <c r="V111" s="12">
        <f>U111/IF(H111="L",35,IF(H111="U",35,IF(H111="O",35,IF(H111="I",35,""))))</f>
        <v/>
      </c>
      <c r="W111" s="132">
        <f>IF(AND(H111="L", V111&gt;=50%), "Pass",
IF(AND(H111="U", V111&gt;=60%), "Pass",
IF(AND(H111="O", V111&gt;=75%), "Pass", "Fail")))</f>
        <v/>
      </c>
      <c r="X111" s="132">
        <f>IF(AND(Q111="Pass", W111="Pass"), "Pass", "Fail")</f>
        <v/>
      </c>
      <c r="Y111" s="15">
        <f>IF($X111="Pass",$H111,
IF(H111="L","I",
IF(H111="U","L",
IF(H111="O","U",
"I"))))</f>
        <v/>
      </c>
    </row>
    <row r="112">
      <c r="A112" s="147">
        <f>ROW()-2</f>
        <v/>
      </c>
      <c r="B112" s="127" t="n">
        <v>900319</v>
      </c>
      <c r="C112" s="128" t="inlineStr">
        <is>
          <t>RAMESH K</t>
        </is>
      </c>
      <c r="D112" s="127" t="inlineStr">
        <is>
          <t>PRODUCTION</t>
        </is>
      </c>
      <c r="E112" s="129" t="inlineStr">
        <is>
          <t>BAND BUILDING-P2</t>
        </is>
      </c>
      <c r="F112" s="130" t="n">
        <v>41000</v>
      </c>
      <c r="G112" s="131">
        <f>NOW()-F112</f>
        <v/>
      </c>
      <c r="H112" s="104" t="inlineStr">
        <is>
          <t>O</t>
        </is>
      </c>
      <c r="I112" s="104" t="inlineStr">
        <is>
          <t>U</t>
        </is>
      </c>
      <c r="J112" s="104" t="n">
        <v>10</v>
      </c>
      <c r="K112" s="104" t="n">
        <v>6</v>
      </c>
      <c r="L112" s="104" t="n">
        <v>9</v>
      </c>
      <c r="M112" s="104" t="n">
        <v>6</v>
      </c>
      <c r="N112" s="104" t="n"/>
      <c r="O112" s="104">
        <f>SUM(J112:N112)</f>
        <v/>
      </c>
      <c r="P112" s="12">
        <f>O112/IF(H112="L",20,IF(H112="U",30,IF(H112="O",40,IF(H112="I",20,""))))</f>
        <v/>
      </c>
      <c r="Q112" s="132">
        <f>IF(AND(H112="L", P112&gt;=50%), "Pass",
IF(AND(H112="U", P112&gt;=60%), "Pass",
IF(AND(H112="O", P112&gt;=75%), "Pass", "Fail")))</f>
        <v/>
      </c>
      <c r="R112" s="104" t="n"/>
      <c r="S112" s="104" t="n">
        <v>16</v>
      </c>
      <c r="T112" s="104" t="n">
        <v>12</v>
      </c>
      <c r="U112" s="104">
        <f>SUM(S112:T112)</f>
        <v/>
      </c>
      <c r="V112" s="12">
        <f>U112/IF(H112="L",35,IF(H112="U",35,IF(H112="O",35,IF(H112="I",35,""))))</f>
        <v/>
      </c>
      <c r="W112" s="132">
        <f>IF(AND(H112="L", V112&gt;=50%), "Pass",
IF(AND(H112="U", V112&gt;=60%), "Pass",
IF(AND(H112="O", V112&gt;=75%), "Pass", "Fail")))</f>
        <v/>
      </c>
      <c r="X112" s="132">
        <f>IF(AND(Q112="Pass", W112="Pass"), "Pass", "Fail")</f>
        <v/>
      </c>
      <c r="Y112" s="15">
        <f>IF($X112="Pass",$H112,
IF(H112="L","I",
IF(H112="U","L",
IF(H112="O","U",
"I"))))</f>
        <v/>
      </c>
    </row>
    <row r="113">
      <c r="A113" s="147">
        <f>ROW()-2</f>
        <v/>
      </c>
      <c r="B113" s="127" t="n">
        <v>900320</v>
      </c>
      <c r="C113" s="128" t="inlineStr">
        <is>
          <t>ATHI MUTHU P</t>
        </is>
      </c>
      <c r="D113" s="127" t="inlineStr">
        <is>
          <t>PRODUCTION</t>
        </is>
      </c>
      <c r="E113" s="129" t="inlineStr">
        <is>
          <t>BEAD WINDING</t>
        </is>
      </c>
      <c r="F113" s="130" t="n">
        <v>41000</v>
      </c>
      <c r="G113" s="131">
        <f>NOW()-F113</f>
        <v/>
      </c>
      <c r="H113" s="104" t="inlineStr">
        <is>
          <t>O</t>
        </is>
      </c>
      <c r="I113" s="104" t="inlineStr">
        <is>
          <t>U</t>
        </is>
      </c>
      <c r="J113" s="104" t="n">
        <v>8</v>
      </c>
      <c r="K113" s="104" t="n">
        <v>8</v>
      </c>
      <c r="L113" s="104" t="n">
        <v>6</v>
      </c>
      <c r="M113" s="104" t="n">
        <v>6</v>
      </c>
      <c r="N113" s="104" t="n"/>
      <c r="O113" s="104">
        <f>SUM(J113:N113)</f>
        <v/>
      </c>
      <c r="P113" s="12">
        <f>O113/IF(H113="L",20,IF(H113="U",30,IF(H113="O",40,IF(H113="I",20,""))))</f>
        <v/>
      </c>
      <c r="Q113" s="132">
        <f>IF(AND(H113="L", P113&gt;=50%), "Pass",
IF(AND(H113="U", P113&gt;=60%), "Pass",
IF(AND(H113="O", P113&gt;=75%), "Pass", "Fail")))</f>
        <v/>
      </c>
      <c r="R113" s="104" t="n"/>
      <c r="S113" s="104" t="n">
        <v>16</v>
      </c>
      <c r="T113" s="104" t="n">
        <v>12</v>
      </c>
      <c r="U113" s="104">
        <f>SUM(S113:T113)</f>
        <v/>
      </c>
      <c r="V113" s="12">
        <f>U113/IF(H113="L",35,IF(H113="U",35,IF(H113="O",35,IF(H113="I",35,""))))</f>
        <v/>
      </c>
      <c r="W113" s="132">
        <f>IF(AND(H113="L", V113&gt;=50%), "Pass",
IF(AND(H113="U", V113&gt;=60%), "Pass",
IF(AND(H113="O", V113&gt;=75%), "Pass", "Fail")))</f>
        <v/>
      </c>
      <c r="X113" s="132">
        <f>IF(AND(Q113="Pass", W113="Pass"), "Pass", "Fail")</f>
        <v/>
      </c>
      <c r="Y113" s="15">
        <f>IF($X113="Pass",$H113,
IF(H113="L","I",
IF(H113="U","L",
IF(H113="O","U",
"I"))))</f>
        <v/>
      </c>
    </row>
    <row r="114">
      <c r="A114" s="147">
        <f>ROW()-2</f>
        <v/>
      </c>
      <c r="B114" s="127" t="n">
        <v>900321</v>
      </c>
      <c r="C114" s="128" t="inlineStr">
        <is>
          <t>NAMBI RAJAN M</t>
        </is>
      </c>
      <c r="D114" s="127" t="inlineStr">
        <is>
          <t>PRODUCTION</t>
        </is>
      </c>
      <c r="E114" s="129" t="inlineStr">
        <is>
          <t>BIAS CUTTING-4</t>
        </is>
      </c>
      <c r="F114" s="130" t="n">
        <v>41000</v>
      </c>
      <c r="G114" s="131">
        <f>NOW()-F114</f>
        <v/>
      </c>
      <c r="H114" s="104" t="inlineStr">
        <is>
          <t>O</t>
        </is>
      </c>
      <c r="I114" s="104" t="inlineStr">
        <is>
          <t>U</t>
        </is>
      </c>
      <c r="J114" s="104" t="n">
        <v>9</v>
      </c>
      <c r="K114" s="104" t="n">
        <v>6</v>
      </c>
      <c r="L114" s="104" t="n">
        <v>5</v>
      </c>
      <c r="M114" s="104" t="n">
        <v>7</v>
      </c>
      <c r="N114" s="104" t="n"/>
      <c r="O114" s="104">
        <f>SUM(J114:N114)</f>
        <v/>
      </c>
      <c r="P114" s="12">
        <f>O114/IF(H114="L",20,IF(H114="U",30,IF(H114="O",40,IF(H114="I",20,""))))</f>
        <v/>
      </c>
      <c r="Q114" s="132">
        <f>IF(AND(H114="L", P114&gt;=50%), "Pass",
IF(AND(H114="U", P114&gt;=60%), "Pass",
IF(AND(H114="O", P114&gt;=75%), "Pass", "Fail")))</f>
        <v/>
      </c>
      <c r="R114" s="104" t="n"/>
      <c r="S114" s="104" t="n">
        <v>20</v>
      </c>
      <c r="T114" s="104" t="n">
        <v>15</v>
      </c>
      <c r="U114" s="104">
        <f>SUM(S114:T114)</f>
        <v/>
      </c>
      <c r="V114" s="12">
        <f>U114/IF(H114="L",35,IF(H114="U",35,IF(H114="O",35,IF(H114="I",35,""))))</f>
        <v/>
      </c>
      <c r="W114" s="132">
        <f>IF(AND(H114="L", V114&gt;=50%), "Pass",
IF(AND(H114="U", V114&gt;=60%), "Pass",
IF(AND(H114="O", V114&gt;=75%), "Pass", "Fail")))</f>
        <v/>
      </c>
      <c r="X114" s="132">
        <f>IF(AND(Q114="Pass", W114="Pass"), "Pass", "Fail")</f>
        <v/>
      </c>
      <c r="Y114" s="15">
        <f>IF($X114="Pass",$H114,
IF(H114="L","I",
IF(H114="U","L",
IF(H114="O","U",
"I"))))</f>
        <v/>
      </c>
    </row>
    <row r="115">
      <c r="A115" s="147">
        <f>ROW()-2</f>
        <v/>
      </c>
      <c r="B115" s="127" t="n">
        <v>900322</v>
      </c>
      <c r="C115" s="128" t="inlineStr">
        <is>
          <t>VENKATACHALAM S</t>
        </is>
      </c>
      <c r="D115" s="127" t="inlineStr">
        <is>
          <t>PRODUCTION</t>
        </is>
      </c>
      <c r="E115" s="129" t="inlineStr">
        <is>
          <t>BIAS CUTTING-4</t>
        </is>
      </c>
      <c r="F115" s="130" t="n">
        <v>41000</v>
      </c>
      <c r="G115" s="131">
        <f>NOW()-F115</f>
        <v/>
      </c>
      <c r="H115" s="104" t="inlineStr">
        <is>
          <t>O</t>
        </is>
      </c>
      <c r="I115" s="104" t="inlineStr">
        <is>
          <t>U</t>
        </is>
      </c>
      <c r="J115" s="104" t="n">
        <v>9</v>
      </c>
      <c r="K115" s="104" t="n">
        <v>2</v>
      </c>
      <c r="L115" s="104" t="n">
        <v>0</v>
      </c>
      <c r="M115" s="104" t="n">
        <v>5</v>
      </c>
      <c r="N115" s="104" t="n"/>
      <c r="O115" s="104">
        <f>SUM(J115:N115)</f>
        <v/>
      </c>
      <c r="P115" s="12">
        <f>O115/IF(H115="L",20,IF(H115="U",30,IF(H115="O",40,IF(H115="I",20,""))))</f>
        <v/>
      </c>
      <c r="Q115" s="132">
        <f>IF(AND(H115="L", P115&gt;=50%), "Pass",
IF(AND(H115="U", P115&gt;=60%), "Pass",
IF(AND(H115="O", P115&gt;=75%), "Pass", "Fail")))</f>
        <v/>
      </c>
      <c r="R115" s="104" t="n"/>
      <c r="S115" s="104" t="n">
        <v>18</v>
      </c>
      <c r="T115" s="104" t="n">
        <v>10</v>
      </c>
      <c r="U115" s="104">
        <f>SUM(S115:T115)</f>
        <v/>
      </c>
      <c r="V115" s="12">
        <f>U115/IF(H115="L",35,IF(H115="U",35,IF(H115="O",35,IF(H115="I",35,""))))</f>
        <v/>
      </c>
      <c r="W115" s="132">
        <f>IF(AND(H115="L", V115&gt;=50%), "Pass",
IF(AND(H115="U", V115&gt;=60%), "Pass",
IF(AND(H115="O", V115&gt;=75%), "Pass", "Fail")))</f>
        <v/>
      </c>
      <c r="X115" s="132">
        <f>IF(AND(Q115="Pass", W115="Pass"), "Pass", "Fail")</f>
        <v/>
      </c>
      <c r="Y115" s="15">
        <f>IF($X115="Pass",$H115,
IF(H115="L","I",
IF(H115="U","L",
IF(H115="O","U",
"I"))))</f>
        <v/>
      </c>
    </row>
    <row r="116">
      <c r="A116" s="147">
        <f>ROW()-2</f>
        <v/>
      </c>
      <c r="B116" s="127" t="n">
        <v>900323</v>
      </c>
      <c r="C116" s="128" t="inlineStr">
        <is>
          <t>MANI KANDAN S</t>
        </is>
      </c>
      <c r="D116" s="127" t="inlineStr">
        <is>
          <t>PRODUCTION</t>
        </is>
      </c>
      <c r="E116" s="129" t="inlineStr">
        <is>
          <t>BIAS CUTTING-2</t>
        </is>
      </c>
      <c r="F116" s="130" t="n">
        <v>41000</v>
      </c>
      <c r="G116" s="131">
        <f>NOW()-F116</f>
        <v/>
      </c>
      <c r="H116" s="104" t="inlineStr">
        <is>
          <t>O</t>
        </is>
      </c>
      <c r="I116" s="104" t="inlineStr">
        <is>
          <t>O</t>
        </is>
      </c>
      <c r="J116" s="104" t="n">
        <v>10</v>
      </c>
      <c r="K116" s="104" t="n">
        <v>9</v>
      </c>
      <c r="L116" s="104" t="n">
        <v>8</v>
      </c>
      <c r="M116" s="104" t="n">
        <v>9</v>
      </c>
      <c r="N116" s="104" t="n"/>
      <c r="O116" s="104">
        <f>SUM(J116:N116)</f>
        <v/>
      </c>
      <c r="P116" s="12">
        <f>O116/IF(H116="L",20,IF(H116="U",30,IF(H116="O",40,IF(H116="I",20,""))))</f>
        <v/>
      </c>
      <c r="Q116" s="132">
        <f>IF(AND(H116="L", P116&gt;=50%), "Pass",
IF(AND(H116="U", P116&gt;=60%), "Pass",
IF(AND(H116="O", P116&gt;=75%), "Pass", "Fail")))</f>
        <v/>
      </c>
      <c r="R116" s="104" t="n"/>
      <c r="S116" s="104" t="n">
        <v>17</v>
      </c>
      <c r="T116" s="104" t="n">
        <v>15</v>
      </c>
      <c r="U116" s="104">
        <f>SUM(S116:T116)</f>
        <v/>
      </c>
      <c r="V116" s="12">
        <f>U116/IF(H116="L",35,IF(H116="U",35,IF(H116="O",35,IF(H116="I",35,""))))</f>
        <v/>
      </c>
      <c r="W116" s="132">
        <f>IF(AND(H116="L", V116&gt;=50%), "Pass",
IF(AND(H116="U", V116&gt;=60%), "Pass",
IF(AND(H116="O", V116&gt;=75%), "Pass", "Fail")))</f>
        <v/>
      </c>
      <c r="X116" s="132">
        <f>IF(AND(Q116="Pass", W116="Pass"), "Pass", "Fail")</f>
        <v/>
      </c>
      <c r="Y116" s="15">
        <f>IF($X116="Pass",$H116,
IF(H116="L","I",
IF(H116="U","L",
IF(H116="O","U",
"I"))))</f>
        <v/>
      </c>
    </row>
    <row r="117">
      <c r="A117" s="147">
        <f>ROW()-2</f>
        <v/>
      </c>
      <c r="B117" s="127" t="n">
        <v>900324</v>
      </c>
      <c r="C117" s="128" t="inlineStr">
        <is>
          <t>MAYA DURAI S</t>
        </is>
      </c>
      <c r="D117" s="127" t="inlineStr">
        <is>
          <t>PRODUCTION</t>
        </is>
      </c>
      <c r="E117" s="129" t="inlineStr">
        <is>
          <t>BIAS CUTTING-1</t>
        </is>
      </c>
      <c r="F117" s="130" t="n">
        <v>41000</v>
      </c>
      <c r="G117" s="131">
        <f>NOW()-F117</f>
        <v/>
      </c>
      <c r="H117" s="104" t="inlineStr">
        <is>
          <t>O</t>
        </is>
      </c>
      <c r="I117" s="104" t="inlineStr">
        <is>
          <t>O</t>
        </is>
      </c>
      <c r="J117" s="104" t="n">
        <v>9</v>
      </c>
      <c r="K117" s="104" t="n">
        <v>8</v>
      </c>
      <c r="L117" s="104" t="n">
        <v>9</v>
      </c>
      <c r="M117" s="104" t="n">
        <v>6</v>
      </c>
      <c r="N117" s="104" t="n"/>
      <c r="O117" s="104">
        <f>SUM(J117:N117)</f>
        <v/>
      </c>
      <c r="P117" s="12">
        <f>O117/IF(H117="L",20,IF(H117="U",30,IF(H117="O",40,IF(H117="I",20,""))))</f>
        <v/>
      </c>
      <c r="Q117" s="132">
        <f>IF(AND(H117="L", P117&gt;=50%), "Pass",
IF(AND(H117="U", P117&gt;=60%), "Pass",
IF(AND(H117="O", P117&gt;=75%), "Pass", "Fail")))</f>
        <v/>
      </c>
      <c r="R117" s="104" t="n"/>
      <c r="S117" s="104" t="n">
        <v>17</v>
      </c>
      <c r="T117" s="104" t="n">
        <v>12</v>
      </c>
      <c r="U117" s="104">
        <f>SUM(S117:T117)</f>
        <v/>
      </c>
      <c r="V117" s="12">
        <f>U117/IF(H117="L",35,IF(H117="U",35,IF(H117="O",35,IF(H117="I",35,""))))</f>
        <v/>
      </c>
      <c r="W117" s="132">
        <f>IF(AND(H117="L", V117&gt;=50%), "Pass",
IF(AND(H117="U", V117&gt;=60%), "Pass",
IF(AND(H117="O", V117&gt;=75%), "Pass", "Fail")))</f>
        <v/>
      </c>
      <c r="X117" s="132">
        <f>IF(AND(Q117="Pass", W117="Pass"), "Pass", "Fail")</f>
        <v/>
      </c>
      <c r="Y117" s="15">
        <f>IF($X117="Pass",$H117,
IF(H117="L","I",
IF(H117="U","L",
IF(H117="O","U",
"I"))))</f>
        <v/>
      </c>
    </row>
    <row r="118">
      <c r="A118" s="147">
        <f>ROW()-2</f>
        <v/>
      </c>
      <c r="B118" s="127" t="n">
        <v>900325</v>
      </c>
      <c r="C118" s="128" t="inlineStr">
        <is>
          <t>THANGAMARIMUTHU M</t>
        </is>
      </c>
      <c r="D118" s="127" t="inlineStr">
        <is>
          <t>PRODUCTION</t>
        </is>
      </c>
      <c r="E118" s="129" t="inlineStr">
        <is>
          <t>BIAS CUTTING-2</t>
        </is>
      </c>
      <c r="F118" s="130" t="n">
        <v>41000</v>
      </c>
      <c r="G118" s="131">
        <f>NOW()-F118</f>
        <v/>
      </c>
      <c r="H118" s="104" t="inlineStr">
        <is>
          <t>O</t>
        </is>
      </c>
      <c r="I118" s="104" t="inlineStr">
        <is>
          <t>O</t>
        </is>
      </c>
      <c r="J118" s="104" t="n">
        <v>9</v>
      </c>
      <c r="K118" s="104" t="n">
        <v>8</v>
      </c>
      <c r="L118" s="104" t="n">
        <v>9</v>
      </c>
      <c r="M118" s="104" t="n">
        <v>7</v>
      </c>
      <c r="N118" s="104" t="n"/>
      <c r="O118" s="104">
        <f>SUM(J118:N118)</f>
        <v/>
      </c>
      <c r="P118" s="12">
        <f>O118/IF(H118="L",20,IF(H118="U",30,IF(H118="O",40,IF(H118="I",20,""))))</f>
        <v/>
      </c>
      <c r="Q118" s="132">
        <f>IF(AND(H118="L", P118&gt;=50%), "Pass",
IF(AND(H118="U", P118&gt;=60%), "Pass",
IF(AND(H118="O", P118&gt;=75%), "Pass", "Fail")))</f>
        <v/>
      </c>
      <c r="R118" s="104" t="n"/>
      <c r="S118" s="104" t="n">
        <v>16</v>
      </c>
      <c r="T118" s="104" t="n">
        <v>15</v>
      </c>
      <c r="U118" s="104">
        <f>SUM(S118:T118)</f>
        <v/>
      </c>
      <c r="V118" s="12">
        <f>U118/IF(H118="L",35,IF(H118="U",35,IF(H118="O",35,IF(H118="I",35,""))))</f>
        <v/>
      </c>
      <c r="W118" s="132">
        <f>IF(AND(H118="L", V118&gt;=50%), "Pass",
IF(AND(H118="U", V118&gt;=60%), "Pass",
IF(AND(H118="O", V118&gt;=75%), "Pass", "Fail")))</f>
        <v/>
      </c>
      <c r="X118" s="132">
        <f>IF(AND(Q118="Pass", W118="Pass"), "Pass", "Fail")</f>
        <v/>
      </c>
      <c r="Y118" s="15">
        <f>IF($X118="Pass",$H118,
IF(H118="L","I",
IF(H118="U","L",
IF(H118="O","U",
"I"))))</f>
        <v/>
      </c>
    </row>
    <row r="119">
      <c r="A119" s="147">
        <f>ROW()-2</f>
        <v/>
      </c>
      <c r="B119" s="127" t="n">
        <v>900326</v>
      </c>
      <c r="C119" s="128" t="inlineStr">
        <is>
          <t>BOOPATHY D</t>
        </is>
      </c>
      <c r="D119" s="127" t="inlineStr">
        <is>
          <t>PRODUCTION</t>
        </is>
      </c>
      <c r="E119" s="129" t="inlineStr">
        <is>
          <t>BIAS CUTTING-2</t>
        </is>
      </c>
      <c r="F119" s="130" t="n">
        <v>41000</v>
      </c>
      <c r="G119" s="131">
        <f>NOW()-F119</f>
        <v/>
      </c>
      <c r="H119" s="104" t="inlineStr">
        <is>
          <t>O</t>
        </is>
      </c>
      <c r="I119" s="104" t="inlineStr">
        <is>
          <t>O</t>
        </is>
      </c>
      <c r="J119" s="104" t="n">
        <v>10</v>
      </c>
      <c r="K119" s="104" t="n">
        <v>9</v>
      </c>
      <c r="L119" s="104" t="n">
        <v>8</v>
      </c>
      <c r="M119" s="104" t="n">
        <v>9</v>
      </c>
      <c r="N119" s="104" t="n"/>
      <c r="O119" s="104">
        <f>SUM(J119:N119)</f>
        <v/>
      </c>
      <c r="P119" s="12">
        <f>O119/IF(H119="L",20,IF(H119="U",30,IF(H119="O",40,IF(H119="I",20,""))))</f>
        <v/>
      </c>
      <c r="Q119" s="132">
        <f>IF(AND(H119="L", P119&gt;=50%), "Pass",
IF(AND(H119="U", P119&gt;=60%), "Pass",
IF(AND(H119="O", P119&gt;=75%), "Pass", "Fail")))</f>
        <v/>
      </c>
      <c r="R119" s="104" t="n"/>
      <c r="S119" s="104" t="n">
        <v>18</v>
      </c>
      <c r="T119" s="104" t="n">
        <v>15</v>
      </c>
      <c r="U119" s="104">
        <f>SUM(S119:T119)</f>
        <v/>
      </c>
      <c r="V119" s="12">
        <f>U119/IF(H119="L",35,IF(H119="U",35,IF(H119="O",35,IF(H119="I",35,""))))</f>
        <v/>
      </c>
      <c r="W119" s="132">
        <f>IF(AND(H119="L", V119&gt;=50%), "Pass",
IF(AND(H119="U", V119&gt;=60%), "Pass",
IF(AND(H119="O", V119&gt;=75%), "Pass", "Fail")))</f>
        <v/>
      </c>
      <c r="X119" s="132">
        <f>IF(AND(Q119="Pass", W119="Pass"), "Pass", "Fail")</f>
        <v/>
      </c>
      <c r="Y119" s="15">
        <f>IF($X119="Pass",$H119,
IF(H119="L","I",
IF(H119="U","L",
IF(H119="O","U",
"I"))))</f>
        <v/>
      </c>
      <c r="Z119" s="82" t="n"/>
    </row>
    <row r="120">
      <c r="A120" s="147">
        <f>ROW()-2</f>
        <v/>
      </c>
      <c r="B120" s="127" t="n">
        <v>900327</v>
      </c>
      <c r="C120" s="128" t="inlineStr">
        <is>
          <t>ARUMUGAKANI A</t>
        </is>
      </c>
      <c r="D120" s="127" t="inlineStr">
        <is>
          <t>PRODUCTION</t>
        </is>
      </c>
      <c r="E120" s="129" t="inlineStr">
        <is>
          <t>BIAS CUTTING-1</t>
        </is>
      </c>
      <c r="F120" s="130" t="n">
        <v>41000</v>
      </c>
      <c r="G120" s="131">
        <f>NOW()-F120</f>
        <v/>
      </c>
      <c r="H120" s="104" t="inlineStr">
        <is>
          <t>O</t>
        </is>
      </c>
      <c r="I120" s="104" t="inlineStr">
        <is>
          <t>O</t>
        </is>
      </c>
      <c r="J120" s="104" t="n">
        <v>10</v>
      </c>
      <c r="K120" s="104" t="n">
        <v>8</v>
      </c>
      <c r="L120" s="104" t="n">
        <v>9</v>
      </c>
      <c r="M120" s="104" t="n">
        <v>9</v>
      </c>
      <c r="N120" s="104" t="n"/>
      <c r="O120" s="104">
        <f>SUM(J120:N120)</f>
        <v/>
      </c>
      <c r="P120" s="12">
        <f>O120/IF(H120="L",20,IF(H120="U",30,IF(H120="O",40,IF(H120="I",20,""))))</f>
        <v/>
      </c>
      <c r="Q120" s="132">
        <f>IF(AND(H120="L", P120&gt;=50%), "Pass",
IF(AND(H120="U", P120&gt;=60%), "Pass",
IF(AND(H120="O", P120&gt;=75%), "Pass", "Fail")))</f>
        <v/>
      </c>
      <c r="R120" s="104" t="n"/>
      <c r="S120" s="104" t="n">
        <v>20</v>
      </c>
      <c r="T120" s="104" t="n">
        <v>15</v>
      </c>
      <c r="U120" s="104">
        <f>SUM(S120:T120)</f>
        <v/>
      </c>
      <c r="V120" s="12">
        <f>U120/IF(H120="L",35,IF(H120="U",35,IF(H120="O",35,IF(H120="I",35,""))))</f>
        <v/>
      </c>
      <c r="W120" s="132">
        <f>IF(AND(H120="L", V120&gt;=50%), "Pass",
IF(AND(H120="U", V120&gt;=60%), "Pass",
IF(AND(H120="O", V120&gt;=75%), "Pass", "Fail")))</f>
        <v/>
      </c>
      <c r="X120" s="132">
        <f>IF(AND(Q120="Pass", W120="Pass"), "Pass", "Fail")</f>
        <v/>
      </c>
      <c r="Y120" s="15">
        <f>IF($X120="Pass",$H120,
IF(H120="L","I",
IF(H120="U","L",
IF(H120="O","U",
"I"))))</f>
        <v/>
      </c>
      <c r="Z120" s="82" t="n"/>
    </row>
    <row r="121">
      <c r="A121" s="147">
        <f>ROW()-2</f>
        <v/>
      </c>
      <c r="B121" s="127" t="n">
        <v>900328</v>
      </c>
      <c r="C121" s="128" t="inlineStr">
        <is>
          <t>MANOKAR M</t>
        </is>
      </c>
      <c r="D121" s="127" t="inlineStr">
        <is>
          <t>PRODUCTION</t>
        </is>
      </c>
      <c r="E121" s="129" t="inlineStr">
        <is>
          <t>BIAS CUTTING-2</t>
        </is>
      </c>
      <c r="F121" s="130" t="n">
        <v>41000</v>
      </c>
      <c r="G121" s="131">
        <f>NOW()-F121</f>
        <v/>
      </c>
      <c r="H121" s="104" t="inlineStr">
        <is>
          <t>O</t>
        </is>
      </c>
      <c r="I121" s="104" t="inlineStr">
        <is>
          <t>O</t>
        </is>
      </c>
      <c r="J121" s="104" t="n">
        <v>10</v>
      </c>
      <c r="K121" s="104" t="n">
        <v>9</v>
      </c>
      <c r="L121" s="104" t="n">
        <v>8</v>
      </c>
      <c r="M121" s="104" t="n">
        <v>9</v>
      </c>
      <c r="N121" s="104" t="n"/>
      <c r="O121" s="104">
        <f>SUM(J121:N121)</f>
        <v/>
      </c>
      <c r="P121" s="12">
        <f>O121/IF(H121="L",20,IF(H121="U",30,IF(H121="O",40,IF(H121="I",20,""))))</f>
        <v/>
      </c>
      <c r="Q121" s="132">
        <f>IF(AND(H121="L", P121&gt;=50%), "Pass",
IF(AND(H121="U", P121&gt;=60%), "Pass",
IF(AND(H121="O", P121&gt;=75%), "Pass", "Fail")))</f>
        <v/>
      </c>
      <c r="R121" s="104" t="n"/>
      <c r="S121" s="104" t="n">
        <v>19</v>
      </c>
      <c r="T121" s="104" t="n">
        <v>15</v>
      </c>
      <c r="U121" s="104">
        <f>SUM(S121:T121)</f>
        <v/>
      </c>
      <c r="V121" s="12">
        <f>U121/IF(H121="L",35,IF(H121="U",35,IF(H121="O",35,IF(H121="I",35,""))))</f>
        <v/>
      </c>
      <c r="W121" s="132">
        <f>IF(AND(H121="L", V121&gt;=50%), "Pass",
IF(AND(H121="U", V121&gt;=60%), "Pass",
IF(AND(H121="O", V121&gt;=75%), "Pass", "Fail")))</f>
        <v/>
      </c>
      <c r="X121" s="132">
        <f>IF(AND(Q121="Pass", W121="Pass"), "Pass", "Fail")</f>
        <v/>
      </c>
      <c r="Y121" s="15">
        <f>IF($X121="Pass",$H121,
IF(H121="L","I",
IF(H121="U","L",
IF(H121="O","U",
"I"))))</f>
        <v/>
      </c>
    </row>
    <row r="122">
      <c r="A122" s="147">
        <f>ROW()-2</f>
        <v/>
      </c>
      <c r="B122" s="127" t="n">
        <v>900329</v>
      </c>
      <c r="C122" s="128" t="inlineStr">
        <is>
          <t>MARIMUTHU K</t>
        </is>
      </c>
      <c r="D122" s="127" t="inlineStr">
        <is>
          <t>PRODUCTION</t>
        </is>
      </c>
      <c r="E122" s="129" t="inlineStr">
        <is>
          <t>BIAS CUTTING-4</t>
        </is>
      </c>
      <c r="F122" s="130" t="n">
        <v>41000</v>
      </c>
      <c r="G122" s="131">
        <f>NOW()-F122</f>
        <v/>
      </c>
      <c r="H122" s="104" t="inlineStr">
        <is>
          <t>O</t>
        </is>
      </c>
      <c r="I122" s="104" t="inlineStr">
        <is>
          <t>O</t>
        </is>
      </c>
      <c r="J122" s="104" t="n">
        <v>10</v>
      </c>
      <c r="K122" s="104" t="n">
        <v>7</v>
      </c>
      <c r="L122" s="104" t="n">
        <v>9</v>
      </c>
      <c r="M122" s="104" t="n">
        <v>5</v>
      </c>
      <c r="N122" s="104" t="n"/>
      <c r="O122" s="104">
        <f>SUM(J122:N122)</f>
        <v/>
      </c>
      <c r="P122" s="12">
        <f>O122/IF(H122="L",20,IF(H122="U",30,IF(H122="O",40,IF(H122="I",20,""))))</f>
        <v/>
      </c>
      <c r="Q122" s="132">
        <f>IF(AND(H122="L", P122&gt;=50%), "Pass",
IF(AND(H122="U", P122&gt;=60%), "Pass",
IF(AND(H122="O", P122&gt;=75%), "Pass", "Fail")))</f>
        <v/>
      </c>
      <c r="R122" s="104" t="n"/>
      <c r="S122" s="104" t="n">
        <v>20</v>
      </c>
      <c r="T122" s="104" t="n">
        <v>15</v>
      </c>
      <c r="U122" s="104">
        <f>SUM(S122:T122)</f>
        <v/>
      </c>
      <c r="V122" s="12">
        <f>U122/IF(H122="L",35,IF(H122="U",35,IF(H122="O",35,IF(H122="I",35,""))))</f>
        <v/>
      </c>
      <c r="W122" s="132">
        <f>IF(AND(H122="L", V122&gt;=50%), "Pass",
IF(AND(H122="U", V122&gt;=60%), "Pass",
IF(AND(H122="O", V122&gt;=75%), "Pass", "Fail")))</f>
        <v/>
      </c>
      <c r="X122" s="132">
        <f>IF(AND(Q122="Pass", W122="Pass"), "Pass", "Fail")</f>
        <v/>
      </c>
      <c r="Y122" s="15">
        <f>IF($X122="Pass",$H122,
IF(H122="L","I",
IF(H122="U","L",
IF(H122="O","U",
"I"))))</f>
        <v/>
      </c>
    </row>
    <row r="123">
      <c r="A123" s="147">
        <f>ROW()-2</f>
        <v/>
      </c>
      <c r="B123" s="127" t="n">
        <v>900330</v>
      </c>
      <c r="C123" s="128" t="inlineStr">
        <is>
          <t>SHEIK JALANI S</t>
        </is>
      </c>
      <c r="D123" s="127" t="inlineStr">
        <is>
          <t>PRODUCTION</t>
        </is>
      </c>
      <c r="E123" s="129" t="inlineStr">
        <is>
          <t>BIAS CUTTING-2</t>
        </is>
      </c>
      <c r="F123" s="130" t="n">
        <v>41000</v>
      </c>
      <c r="G123" s="131">
        <f>NOW()-F123</f>
        <v/>
      </c>
      <c r="H123" s="104" t="inlineStr">
        <is>
          <t>O</t>
        </is>
      </c>
      <c r="I123" s="104" t="inlineStr">
        <is>
          <t>U</t>
        </is>
      </c>
      <c r="J123" s="104" t="n">
        <v>7</v>
      </c>
      <c r="K123" s="104" t="n">
        <v>9</v>
      </c>
      <c r="L123" s="104" t="n">
        <v>1</v>
      </c>
      <c r="M123" s="104" t="n">
        <v>9</v>
      </c>
      <c r="N123" s="104" t="n"/>
      <c r="O123" s="104">
        <f>SUM(J123:N123)</f>
        <v/>
      </c>
      <c r="P123" s="12">
        <f>O123/IF(H123="L",20,IF(H123="U",30,IF(H123="O",40,IF(H123="I",20,""))))</f>
        <v/>
      </c>
      <c r="Q123" s="132">
        <f>IF(AND(H123="L", P123&gt;=50%), "Pass",
IF(AND(H123="U", P123&gt;=60%), "Pass",
IF(AND(H123="O", P123&gt;=75%), "Pass", "Fail")))</f>
        <v/>
      </c>
      <c r="R123" s="104" t="n"/>
      <c r="S123" s="104" t="n">
        <v>14</v>
      </c>
      <c r="T123" s="104" t="n">
        <v>12</v>
      </c>
      <c r="U123" s="104">
        <f>SUM(S123:T123)</f>
        <v/>
      </c>
      <c r="V123" s="12">
        <f>U123/IF(H123="L",35,IF(H123="U",35,IF(H123="O",35,IF(H123="I",35,""))))</f>
        <v/>
      </c>
      <c r="W123" s="132">
        <f>IF(AND(H123="L", V123&gt;=50%), "Pass",
IF(AND(H123="U", V123&gt;=60%), "Pass",
IF(AND(H123="O", V123&gt;=75%), "Pass", "Fail")))</f>
        <v/>
      </c>
      <c r="X123" s="132">
        <f>IF(AND(Q123="Pass", W123="Pass"), "Pass", "Fail")</f>
        <v/>
      </c>
      <c r="Y123" s="15">
        <f>IF($X123="Pass",$H123,
IF(H123="L","I",
IF(H123="U","L",
IF(H123="O","U",
"I"))))</f>
        <v/>
      </c>
    </row>
    <row r="124">
      <c r="A124" s="147">
        <f>ROW()-2</f>
        <v/>
      </c>
      <c r="B124" s="127" t="n">
        <v>900331</v>
      </c>
      <c r="C124" s="128" t="inlineStr">
        <is>
          <t>NAGARAJAN K</t>
        </is>
      </c>
      <c r="D124" s="127" t="inlineStr">
        <is>
          <t>PRODUCTION</t>
        </is>
      </c>
      <c r="E124" s="129" t="inlineStr">
        <is>
          <t>BIAS CUTTING-2</t>
        </is>
      </c>
      <c r="F124" s="130" t="n">
        <v>41000</v>
      </c>
      <c r="G124" s="131">
        <f>NOW()-F124</f>
        <v/>
      </c>
      <c r="H124" s="104" t="inlineStr">
        <is>
          <t>O</t>
        </is>
      </c>
      <c r="I124" s="104" t="inlineStr">
        <is>
          <t>O</t>
        </is>
      </c>
      <c r="J124" s="104" t="n">
        <v>9</v>
      </c>
      <c r="K124" s="104" t="n">
        <v>9</v>
      </c>
      <c r="L124" s="104" t="n">
        <v>9</v>
      </c>
      <c r="M124" s="104" t="n">
        <v>9</v>
      </c>
      <c r="N124" s="104" t="n"/>
      <c r="O124" s="104">
        <f>SUM(J124:N124)</f>
        <v/>
      </c>
      <c r="P124" s="12">
        <f>O124/IF(H124="L",20,IF(H124="U",30,IF(H124="O",40,IF(H124="I",20,""))))</f>
        <v/>
      </c>
      <c r="Q124" s="132">
        <f>IF(AND(H124="L", P124&gt;=50%), "Pass",
IF(AND(H124="U", P124&gt;=60%), "Pass",
IF(AND(H124="O", P124&gt;=75%), "Pass", "Fail")))</f>
        <v/>
      </c>
      <c r="R124" s="104" t="n"/>
      <c r="S124" s="104" t="n">
        <v>15</v>
      </c>
      <c r="T124" s="104" t="n">
        <v>12</v>
      </c>
      <c r="U124" s="104">
        <f>SUM(S124:T124)</f>
        <v/>
      </c>
      <c r="V124" s="12">
        <f>U124/IF(H124="L",35,IF(H124="U",35,IF(H124="O",35,IF(H124="I",35,""))))</f>
        <v/>
      </c>
      <c r="W124" s="132">
        <f>IF(AND(H124="L", V124&gt;=50%), "Pass",
IF(AND(H124="U", V124&gt;=60%), "Pass",
IF(AND(H124="O", V124&gt;=75%), "Pass", "Fail")))</f>
        <v/>
      </c>
      <c r="X124" s="132">
        <f>IF(AND(Q124="Pass", W124="Pass"), "Pass", "Fail")</f>
        <v/>
      </c>
      <c r="Y124" s="15">
        <f>IF($X124="Pass",$H124,
IF(H124="L","I",
IF(H124="U","L",
IF(H124="O","U",
"I"))))</f>
        <v/>
      </c>
      <c r="Z124" s="82" t="n"/>
    </row>
    <row r="125">
      <c r="A125" s="147">
        <f>ROW()-2</f>
        <v/>
      </c>
      <c r="B125" s="127" t="n">
        <v>900332</v>
      </c>
      <c r="C125" s="128" t="inlineStr">
        <is>
          <t>SATHISH KUMAR S</t>
        </is>
      </c>
      <c r="D125" s="127" t="inlineStr">
        <is>
          <t>PRODUCTION</t>
        </is>
      </c>
      <c r="E125" s="129" t="inlineStr">
        <is>
          <t>BAND BUILDING-P3</t>
        </is>
      </c>
      <c r="F125" s="130" t="n">
        <v>41000</v>
      </c>
      <c r="G125" s="131">
        <f>NOW()-F125</f>
        <v/>
      </c>
      <c r="H125" s="104" t="inlineStr">
        <is>
          <t>O</t>
        </is>
      </c>
      <c r="I125" s="104" t="inlineStr">
        <is>
          <t>U</t>
        </is>
      </c>
      <c r="J125" s="104" t="n">
        <v>10</v>
      </c>
      <c r="K125" s="104" t="n">
        <v>9</v>
      </c>
      <c r="L125" s="104" t="n">
        <v>9</v>
      </c>
      <c r="M125" s="104" t="n">
        <v>7</v>
      </c>
      <c r="N125" s="104" t="n"/>
      <c r="O125" s="104">
        <f>SUM(J125:N125)</f>
        <v/>
      </c>
      <c r="P125" s="12">
        <f>O125/IF(H125="L",20,IF(H125="U",30,IF(H125="O",40,IF(H125="I",20,""))))</f>
        <v/>
      </c>
      <c r="Q125" s="132">
        <f>IF(AND(H125="L", P125&gt;=50%), "Pass",
IF(AND(H125="U", P125&gt;=60%), "Pass",
IF(AND(H125="O", P125&gt;=75%), "Pass", "Fail")))</f>
        <v/>
      </c>
      <c r="R125" s="104" t="n"/>
      <c r="S125" s="104" t="n">
        <v>13</v>
      </c>
      <c r="T125" s="104" t="n">
        <v>11</v>
      </c>
      <c r="U125" s="104">
        <f>SUM(S125:T125)</f>
        <v/>
      </c>
      <c r="V125" s="12">
        <f>U125/IF(H125="L",35,IF(H125="U",35,IF(H125="O",35,IF(H125="I",35,""))))</f>
        <v/>
      </c>
      <c r="W125" s="132">
        <f>IF(AND(H125="L", V125&gt;=50%), "Pass",
IF(AND(H125="U", V125&gt;=60%), "Pass",
IF(AND(H125="O", V125&gt;=75%), "Pass", "Fail")))</f>
        <v/>
      </c>
      <c r="X125" s="132">
        <f>IF(AND(Q125="Pass", W125="Pass"), "Pass", "Fail")</f>
        <v/>
      </c>
      <c r="Y125" s="15">
        <f>IF($X125="Pass",$H125,
IF(H125="L","I",
IF(H125="U","L",
IF(H125="O","U",
"I"))))</f>
        <v/>
      </c>
    </row>
    <row r="126">
      <c r="A126" s="147">
        <f>ROW()-2</f>
        <v/>
      </c>
      <c r="B126" s="127" t="n">
        <v>900333</v>
      </c>
      <c r="C126" s="128" t="inlineStr">
        <is>
          <t>SELVAN S</t>
        </is>
      </c>
      <c r="D126" s="127" t="inlineStr">
        <is>
          <t>PRODUCTION</t>
        </is>
      </c>
      <c r="E126" s="129" t="inlineStr">
        <is>
          <t>BIAS CUTTING-2</t>
        </is>
      </c>
      <c r="F126" s="130" t="n">
        <v>41000</v>
      </c>
      <c r="G126" s="131">
        <f>NOW()-F126</f>
        <v/>
      </c>
      <c r="H126" s="104" t="inlineStr">
        <is>
          <t>O</t>
        </is>
      </c>
      <c r="I126" s="104" t="inlineStr">
        <is>
          <t>O</t>
        </is>
      </c>
      <c r="J126" s="104" t="n">
        <v>10</v>
      </c>
      <c r="K126" s="104" t="n">
        <v>8</v>
      </c>
      <c r="L126" s="104" t="n">
        <v>9</v>
      </c>
      <c r="M126" s="104" t="n">
        <v>7</v>
      </c>
      <c r="N126" s="104" t="n"/>
      <c r="O126" s="104">
        <f>SUM(J126:N126)</f>
        <v/>
      </c>
      <c r="P126" s="12">
        <f>O126/IF(H126="L",20,IF(H126="U",30,IF(H126="O",40,IF(H126="I",20,""))))</f>
        <v/>
      </c>
      <c r="Q126" s="132">
        <f>IF(AND(H126="L", P126&gt;=50%), "Pass",
IF(AND(H126="U", P126&gt;=60%), "Pass",
IF(AND(H126="O", P126&gt;=75%), "Pass", "Fail")))</f>
        <v/>
      </c>
      <c r="R126" s="104" t="n"/>
      <c r="S126" s="104" t="n">
        <v>15</v>
      </c>
      <c r="T126" s="104" t="n">
        <v>10</v>
      </c>
      <c r="U126" s="104">
        <f>SUM(S126:T126)</f>
        <v/>
      </c>
      <c r="V126" s="12">
        <f>U126/IF(H126="L",35,IF(H126="U",35,IF(H126="O",35,IF(H126="I",35,""))))</f>
        <v/>
      </c>
      <c r="W126" s="132">
        <f>IF(AND(H126="L", V126&gt;=50%), "Pass",
IF(AND(H126="U", V126&gt;=60%), "Pass",
IF(AND(H126="O", V126&gt;=75%), "Pass", "Fail")))</f>
        <v/>
      </c>
      <c r="X126" s="132">
        <f>IF(AND(Q126="Pass", W126="Pass"), "Pass", "Fail")</f>
        <v/>
      </c>
      <c r="Y126" s="15">
        <f>IF($X126="Pass",$H126,
IF(H126="L","I",
IF(H126="U","L",
IF(H126="O","U",
"I"))))</f>
        <v/>
      </c>
    </row>
    <row r="127">
      <c r="A127" s="147">
        <f>ROW()-2</f>
        <v/>
      </c>
      <c r="B127" s="127" t="n">
        <v>900334</v>
      </c>
      <c r="C127" s="128" t="inlineStr">
        <is>
          <t>RAJKUMAR R</t>
        </is>
      </c>
      <c r="D127" s="127" t="inlineStr">
        <is>
          <t>PRODUCTION</t>
        </is>
      </c>
      <c r="E127" s="129" t="inlineStr">
        <is>
          <t>EXTRUDER</t>
        </is>
      </c>
      <c r="F127" s="130" t="n">
        <v>41000</v>
      </c>
      <c r="G127" s="131">
        <f>NOW()-F127</f>
        <v/>
      </c>
      <c r="H127" s="104" t="inlineStr">
        <is>
          <t>O</t>
        </is>
      </c>
      <c r="I127" s="104" t="inlineStr">
        <is>
          <t>O</t>
        </is>
      </c>
      <c r="J127" s="104" t="n">
        <v>9</v>
      </c>
      <c r="K127" s="104" t="n">
        <v>8</v>
      </c>
      <c r="L127" s="104" t="n">
        <v>9</v>
      </c>
      <c r="M127" s="104" t="n">
        <v>10</v>
      </c>
      <c r="N127" s="104" t="n"/>
      <c r="O127" s="104">
        <f>SUM(J127:N127)</f>
        <v/>
      </c>
      <c r="P127" s="12">
        <f>O127/IF(H127="L",20,IF(H127="U",30,IF(H127="O",40,IF(H127="I",20,""))))</f>
        <v/>
      </c>
      <c r="Q127" s="132">
        <f>IF(AND(H127="L", P127&gt;=50%), "Pass",
IF(AND(H127="U", P127&gt;=60%), "Pass",
IF(AND(H127="O", P127&gt;=75%), "Pass", "Fail")))</f>
        <v/>
      </c>
      <c r="R127" s="104" t="n"/>
      <c r="S127" s="104" t="n">
        <v>18</v>
      </c>
      <c r="T127" s="104" t="n">
        <v>14</v>
      </c>
      <c r="U127" s="104">
        <f>SUM(S127:T127)</f>
        <v/>
      </c>
      <c r="V127" s="12">
        <f>U127/IF(H127="L",35,IF(H127="U",35,IF(H127="O",35,IF(H127="I",35,""))))</f>
        <v/>
      </c>
      <c r="W127" s="132">
        <f>IF(AND(H127="L", V127&gt;=50%), "Pass",
IF(AND(H127="U", V127&gt;=60%), "Pass",
IF(AND(H127="O", V127&gt;=75%), "Pass", "Fail")))</f>
        <v/>
      </c>
      <c r="X127" s="132">
        <f>IF(AND(Q127="Pass", W127="Pass"), "Pass", "Fail")</f>
        <v/>
      </c>
      <c r="Y127" s="15">
        <f>IF($X127="Pass",$H127,
IF(H127="L","I",
IF(H127="U","L",
IF(H127="O","U",
"I"))))</f>
        <v/>
      </c>
    </row>
    <row r="128">
      <c r="A128" s="147">
        <f>ROW()-2</f>
        <v/>
      </c>
      <c r="B128" s="127" t="n">
        <v>900336</v>
      </c>
      <c r="C128" s="128" t="inlineStr">
        <is>
          <t>VELLA DURAI M</t>
        </is>
      </c>
      <c r="D128" s="127" t="inlineStr">
        <is>
          <t>PRODUCTION</t>
        </is>
      </c>
      <c r="E128" s="129" t="inlineStr">
        <is>
          <t>EXTRUDER</t>
        </is>
      </c>
      <c r="F128" s="130" t="n">
        <v>41000</v>
      </c>
      <c r="G128" s="131">
        <f>NOW()-F128</f>
        <v/>
      </c>
      <c r="H128" s="104" t="inlineStr">
        <is>
          <t>O</t>
        </is>
      </c>
      <c r="I128" s="104" t="inlineStr">
        <is>
          <t>O</t>
        </is>
      </c>
      <c r="J128" s="104" t="n">
        <v>7</v>
      </c>
      <c r="K128" s="104" t="n">
        <v>8</v>
      </c>
      <c r="L128" s="104" t="n">
        <v>10</v>
      </c>
      <c r="M128" s="104" t="n">
        <v>9</v>
      </c>
      <c r="N128" s="104" t="n"/>
      <c r="O128" s="104">
        <f>SUM(J128:N128)</f>
        <v/>
      </c>
      <c r="P128" s="12">
        <f>O128/IF(H128="L",20,IF(H128="U",30,IF(H128="O",40,IF(H128="I",20,""))))</f>
        <v/>
      </c>
      <c r="Q128" s="132">
        <f>IF(AND(H128="L", P128&gt;=50%), "Pass",
IF(AND(H128="U", P128&gt;=60%), "Pass",
IF(AND(H128="O", P128&gt;=75%), "Pass", "Fail")))</f>
        <v/>
      </c>
      <c r="R128" s="104" t="n"/>
      <c r="S128" s="104" t="n">
        <v>13</v>
      </c>
      <c r="T128" s="104" t="n">
        <v>10</v>
      </c>
      <c r="U128" s="104">
        <f>SUM(S128:T128)</f>
        <v/>
      </c>
      <c r="V128" s="12">
        <f>U128/IF(H128="L",35,IF(H128="U",35,IF(H128="O",35,IF(H128="I",35,""))))</f>
        <v/>
      </c>
      <c r="W128" s="132">
        <f>IF(AND(H128="L", V128&gt;=50%), "Pass",
IF(AND(H128="U", V128&gt;=60%), "Pass",
IF(AND(H128="O", V128&gt;=75%), "Pass", "Fail")))</f>
        <v/>
      </c>
      <c r="X128" s="132">
        <f>IF(AND(Q128="Pass", W128="Pass"), "Pass", "Fail")</f>
        <v/>
      </c>
      <c r="Y128" s="15">
        <f>IF($X128="Pass",$H128,
IF(H128="L","I",
IF(H128="U","L",
IF(H128="O","U",
"I"))))</f>
        <v/>
      </c>
    </row>
    <row r="129">
      <c r="A129" s="147">
        <f>ROW()-2</f>
        <v/>
      </c>
      <c r="B129" s="127" t="n">
        <v>900337</v>
      </c>
      <c r="C129" s="128" t="inlineStr">
        <is>
          <t>RAJESH KUMAR V</t>
        </is>
      </c>
      <c r="D129" s="127" t="inlineStr">
        <is>
          <t>PRODUCTION</t>
        </is>
      </c>
      <c r="E129" s="129" t="inlineStr">
        <is>
          <t>EXTRUDER</t>
        </is>
      </c>
      <c r="F129" s="130" t="n">
        <v>41000</v>
      </c>
      <c r="G129" s="131">
        <f>NOW()-F129</f>
        <v/>
      </c>
      <c r="H129" s="104" t="inlineStr">
        <is>
          <t>O</t>
        </is>
      </c>
      <c r="I129" s="104" t="inlineStr">
        <is>
          <t>O</t>
        </is>
      </c>
      <c r="J129" s="104" t="n">
        <v>7</v>
      </c>
      <c r="K129" s="104" t="n">
        <v>7</v>
      </c>
      <c r="L129" s="104" t="n">
        <v>10</v>
      </c>
      <c r="M129" s="104" t="n">
        <v>8</v>
      </c>
      <c r="N129" s="104" t="n"/>
      <c r="O129" s="104">
        <f>SUM(J129:N129)</f>
        <v/>
      </c>
      <c r="P129" s="12">
        <f>O129/IF(H129="L",20,IF(H129="U",30,IF(H129="O",40,IF(H129="I",20,""))))</f>
        <v/>
      </c>
      <c r="Q129" s="132">
        <f>IF(AND(H129="L", P129&gt;=50%), "Pass",
IF(AND(H129="U", P129&gt;=60%), "Pass",
IF(AND(H129="O", P129&gt;=75%), "Pass", "Fail")))</f>
        <v/>
      </c>
      <c r="R129" s="104" t="n"/>
      <c r="S129" s="104" t="n">
        <v>18</v>
      </c>
      <c r="T129" s="104" t="n">
        <v>14</v>
      </c>
      <c r="U129" s="104">
        <f>SUM(S129:T129)</f>
        <v/>
      </c>
      <c r="V129" s="12">
        <f>U129/IF(H129="L",35,IF(H129="U",35,IF(H129="O",35,IF(H129="I",35,""))))</f>
        <v/>
      </c>
      <c r="W129" s="132">
        <f>IF(AND(H129="L", V129&gt;=50%), "Pass",
IF(AND(H129="U", V129&gt;=60%), "Pass",
IF(AND(H129="O", V129&gt;=75%), "Pass", "Fail")))</f>
        <v/>
      </c>
      <c r="X129" s="132">
        <f>IF(AND(Q129="Pass", W129="Pass"), "Pass", "Fail")</f>
        <v/>
      </c>
      <c r="Y129" s="15">
        <f>IF($X129="Pass",$H129,
IF(H129="L","I",
IF(H129="U","L",
IF(H129="O","U",
"I"))))</f>
        <v/>
      </c>
    </row>
    <row r="130">
      <c r="A130" s="147">
        <f>ROW()-2</f>
        <v/>
      </c>
      <c r="B130" s="127" t="n">
        <v>900344</v>
      </c>
      <c r="C130" s="128" t="inlineStr">
        <is>
          <t>SAMUTHIRAVEL P</t>
        </is>
      </c>
      <c r="D130" s="127" t="inlineStr">
        <is>
          <t>PRODUCTION</t>
        </is>
      </c>
      <c r="E130" s="129" t="inlineStr">
        <is>
          <t>RADIAL MARANGONI</t>
        </is>
      </c>
      <c r="F130" s="130" t="n">
        <v>41000</v>
      </c>
      <c r="G130" s="131">
        <f>NOW()-F130</f>
        <v/>
      </c>
      <c r="H130" s="104" t="inlineStr">
        <is>
          <t>O</t>
        </is>
      </c>
      <c r="I130" s="104" t="inlineStr">
        <is>
          <t>U</t>
        </is>
      </c>
      <c r="J130" s="104" t="n">
        <v>9</v>
      </c>
      <c r="K130" s="104" t="n">
        <v>9</v>
      </c>
      <c r="L130" s="104" t="n">
        <v>9</v>
      </c>
      <c r="M130" s="104" t="n">
        <v>10</v>
      </c>
      <c r="N130" s="104" t="n"/>
      <c r="O130" s="104">
        <f>SUM(J130:N130)</f>
        <v/>
      </c>
      <c r="P130" s="12">
        <f>O130/IF(H130="L",20,IF(H130="U",30,IF(H130="O",40,IF(H130="I",20,""))))</f>
        <v/>
      </c>
      <c r="Q130" s="132">
        <f>IF(AND(H130="L", P130&gt;=50%), "Pass",
IF(AND(H130="U", P130&gt;=60%), "Pass",
IF(AND(H130="O", P130&gt;=75%), "Pass", "Fail")))</f>
        <v/>
      </c>
      <c r="R130" s="104" t="n"/>
      <c r="S130" s="104" t="n">
        <v>16</v>
      </c>
      <c r="T130" s="104" t="n">
        <v>12</v>
      </c>
      <c r="U130" s="104">
        <f>SUM(S130:T130)</f>
        <v/>
      </c>
      <c r="V130" s="12">
        <f>U130/IF(H130="L",35,IF(H130="U",35,IF(H130="O",35,IF(H130="I",35,""))))</f>
        <v/>
      </c>
      <c r="W130" s="132">
        <f>IF(AND(H130="L", V130&gt;=50%), "Pass",
IF(AND(H130="U", V130&gt;=60%), "Pass",
IF(AND(H130="O", V130&gt;=75%), "Pass", "Fail")))</f>
        <v/>
      </c>
      <c r="X130" s="132">
        <f>IF(AND(Q130="Pass", W130="Pass"), "Pass", "Fail")</f>
        <v/>
      </c>
      <c r="Y130" s="15">
        <f>IF($X130="Pass",$H130,
IF(H130="L","I",
IF(H130="U","L",
IF(H130="O","U",
"I"))))</f>
        <v/>
      </c>
    </row>
    <row r="131">
      <c r="A131" s="147">
        <f>ROW()-2</f>
        <v/>
      </c>
      <c r="B131" s="127" t="n">
        <v>900345</v>
      </c>
      <c r="C131" s="128" t="inlineStr">
        <is>
          <t>ANTONY AMAL J</t>
        </is>
      </c>
      <c r="D131" s="127" t="inlineStr">
        <is>
          <t>PRODUCTION</t>
        </is>
      </c>
      <c r="E131" s="129" t="inlineStr">
        <is>
          <t>BIAS MARANGONI&amp;BESTRY</t>
        </is>
      </c>
      <c r="F131" s="130" t="n">
        <v>41000</v>
      </c>
      <c r="G131" s="131">
        <f>NOW()-F131</f>
        <v/>
      </c>
      <c r="H131" s="104" t="inlineStr">
        <is>
          <t>O</t>
        </is>
      </c>
      <c r="I131" s="104" t="inlineStr">
        <is>
          <t>U</t>
        </is>
      </c>
      <c r="J131" s="104" t="n">
        <v>9</v>
      </c>
      <c r="K131" s="104" t="n">
        <v>9</v>
      </c>
      <c r="L131" s="104" t="n">
        <v>7</v>
      </c>
      <c r="M131" s="104" t="n">
        <v>8</v>
      </c>
      <c r="N131" s="104" t="n"/>
      <c r="O131" s="104">
        <f>SUM(J131:N131)</f>
        <v/>
      </c>
      <c r="P131" s="12">
        <f>O131/IF(H131="L",20,IF(H131="U",30,IF(H131="O",40,IF(H131="I",20,""))))</f>
        <v/>
      </c>
      <c r="Q131" s="132">
        <f>IF(AND(H131="L", P131&gt;=50%), "Pass",
 IF(AND(H131="U", P131&gt;=60%), "Pass",
 IF(AND(H131="O", P131&gt;=75%), "Pass", "Fail")))</f>
        <v/>
      </c>
      <c r="R131" s="104" t="n"/>
      <c r="S131" s="104" t="n">
        <v>16</v>
      </c>
      <c r="T131" s="104" t="n">
        <v>12</v>
      </c>
      <c r="U131" s="104">
        <f>SUM(S131:T131)</f>
        <v/>
      </c>
      <c r="V131" s="12">
        <f>U131/IF(H131="L",35,IF(H131="U",35,IF(H131="O",35,IF(H131="I",35,""))))</f>
        <v/>
      </c>
      <c r="W131" s="132">
        <f>IF(AND(H131="L", V131&gt;=50%), "Pass",
 IF(AND(H131="U", V131&gt;=60%), "Pass",
 IF(AND(H131="O", V131&gt;=75%), "Pass", "Fail")))</f>
        <v/>
      </c>
      <c r="X131" s="132">
        <f>IF(AND(Q131="Pass", W131="Pass"), "Pass", "Fail")</f>
        <v/>
      </c>
      <c r="Y131" s="15">
        <f>IF($X131="Pass",$H131,
IF(H131="L","I",
IF(H131="U","L",
IF(H131="O","U",
"I"))))</f>
        <v/>
      </c>
    </row>
    <row r="132">
      <c r="A132" s="147">
        <f>ROW()-2</f>
        <v/>
      </c>
      <c r="B132" s="127" t="n">
        <v>900346</v>
      </c>
      <c r="C132" s="128" t="inlineStr">
        <is>
          <t>RAMAR T</t>
        </is>
      </c>
      <c r="D132" s="127" t="inlineStr">
        <is>
          <t>PRODUCTION</t>
        </is>
      </c>
      <c r="E132" s="129" t="inlineStr">
        <is>
          <t>BIAS MARANGONI&amp;BESTRY</t>
        </is>
      </c>
      <c r="F132" s="130" t="n">
        <v>41000</v>
      </c>
      <c r="G132" s="131">
        <f>NOW()-F132</f>
        <v/>
      </c>
      <c r="H132" s="104" t="inlineStr">
        <is>
          <t>O</t>
        </is>
      </c>
      <c r="I132" s="104" t="inlineStr">
        <is>
          <t>O</t>
        </is>
      </c>
      <c r="J132" s="104" t="n">
        <v>8</v>
      </c>
      <c r="K132" s="104" t="n">
        <v>8</v>
      </c>
      <c r="L132" s="104" t="n">
        <v>9</v>
      </c>
      <c r="M132" s="104" t="n">
        <v>9</v>
      </c>
      <c r="N132" s="104" t="n"/>
      <c r="O132" s="104">
        <f>SUM(J132:N132)</f>
        <v/>
      </c>
      <c r="P132" s="12">
        <f>O132/IF(H132="L",20,IF(H132="U",30,IF(H132="O",40,IF(H132="I",20,""))))</f>
        <v/>
      </c>
      <c r="Q132" s="132">
        <f>IF(AND(H132="L", P132&gt;=50%), "Pass",
IF(AND(H132="U", P132&gt;=60%), "Pass",
IF(AND(H132="O", P132&gt;=75%), "Pass", "Fail")))</f>
        <v/>
      </c>
      <c r="R132" s="104" t="n"/>
      <c r="S132" s="104" t="n">
        <v>16</v>
      </c>
      <c r="T132" s="104" t="n">
        <v>12</v>
      </c>
      <c r="U132" s="104">
        <f>SUM(S132:T132)</f>
        <v/>
      </c>
      <c r="V132" s="12">
        <f>U132/IF(H132="L",35,IF(H132="U",35,IF(H132="O",35,IF(H132="I",35,""))))</f>
        <v/>
      </c>
      <c r="W132" s="132">
        <f>IF(AND(H132="L", V132&gt;=50%), "Pass",
IF(AND(H132="U", V132&gt;=60%), "Pass",
IF(AND(H132="O", V132&gt;=75%), "Pass", "Fail")))</f>
        <v/>
      </c>
      <c r="X132" s="132">
        <f>IF(AND(Q132="Pass", W132="Pass"), "Pass", "Fail")</f>
        <v/>
      </c>
      <c r="Y132" s="15">
        <f>IF($X132="Pass",$H132,
IF(H132="L","I",
IF(H132="U","L",
IF(H132="O","U",
"I"))))</f>
        <v/>
      </c>
    </row>
    <row r="133">
      <c r="A133" s="147">
        <f>ROW()-2</f>
        <v/>
      </c>
      <c r="B133" s="127" t="n">
        <v>900347</v>
      </c>
      <c r="C133" s="128" t="inlineStr">
        <is>
          <t>MARI SUBASH L</t>
        </is>
      </c>
      <c r="D133" s="127" t="inlineStr">
        <is>
          <t>PRODUCTION</t>
        </is>
      </c>
      <c r="E133" s="129" t="inlineStr">
        <is>
          <t>RADIAL MARANGONI</t>
        </is>
      </c>
      <c r="F133" s="130" t="n">
        <v>41000</v>
      </c>
      <c r="G133" s="131">
        <f>NOW()-F133</f>
        <v/>
      </c>
      <c r="H133" s="104" t="inlineStr">
        <is>
          <t>O</t>
        </is>
      </c>
      <c r="I133" s="104" t="inlineStr">
        <is>
          <t>O</t>
        </is>
      </c>
      <c r="J133" s="104" t="n">
        <v>9</v>
      </c>
      <c r="K133" s="104" t="n">
        <v>10</v>
      </c>
      <c r="L133" s="104" t="n">
        <v>9</v>
      </c>
      <c r="M133" s="104" t="n">
        <v>8</v>
      </c>
      <c r="N133" s="104" t="n"/>
      <c r="O133" s="104">
        <f>SUM(J133:N133)</f>
        <v/>
      </c>
      <c r="P133" s="12">
        <f>O133/IF(H133="L",20,IF(H133="U",30,IF(H133="O",40,IF(H133="I",20,""))))</f>
        <v/>
      </c>
      <c r="Q133" s="132">
        <f>IF(AND(H133="L", P133&gt;=50%), "Pass",
IF(AND(H133="U", P133&gt;=60%), "Pass",
IF(AND(H133="O", P133&gt;=75%), "Pass", "Fail")))</f>
        <v/>
      </c>
      <c r="R133" s="104" t="n"/>
      <c r="S133" s="104" t="n">
        <v>16</v>
      </c>
      <c r="T133" s="104" t="n">
        <v>12</v>
      </c>
      <c r="U133" s="104">
        <f>SUM(S133:T133)</f>
        <v/>
      </c>
      <c r="V133" s="12">
        <f>U133/IF(H133="L",35,IF(H133="U",35,IF(H133="O",35,IF(H133="I",35,""))))</f>
        <v/>
      </c>
      <c r="W133" s="132">
        <f>IF(AND(H133="L", V133&gt;=50%), "Pass",
IF(AND(H133="U", V133&gt;=60%), "Pass",
IF(AND(H133="O", V133&gt;=75%), "Pass", "Fail")))</f>
        <v/>
      </c>
      <c r="X133" s="132">
        <f>IF(AND(Q133="Pass", W133="Pass"), "Pass", "Fail")</f>
        <v/>
      </c>
      <c r="Y133" s="15">
        <f>IF($X133="Pass",$H133,
IF(H133="L","I",
IF(H133="U","L",
IF(H133="O","U",
"I"))))</f>
        <v/>
      </c>
    </row>
    <row r="134">
      <c r="A134" s="147">
        <f>ROW()-2</f>
        <v/>
      </c>
      <c r="B134" s="127" t="n">
        <v>900348</v>
      </c>
      <c r="C134" s="128" t="inlineStr">
        <is>
          <t>RAJA MANI P</t>
        </is>
      </c>
      <c r="D134" s="127" t="inlineStr">
        <is>
          <t>PRODUCTION</t>
        </is>
      </c>
      <c r="E134" s="129" t="inlineStr">
        <is>
          <t>RADIAL MARANGONI</t>
        </is>
      </c>
      <c r="F134" s="130" t="n">
        <v>41000</v>
      </c>
      <c r="G134" s="131">
        <f>NOW()-F134</f>
        <v/>
      </c>
      <c r="H134" s="104" t="inlineStr">
        <is>
          <t>O</t>
        </is>
      </c>
      <c r="I134" s="104" t="inlineStr">
        <is>
          <t>O</t>
        </is>
      </c>
      <c r="J134" s="104" t="n">
        <v>9</v>
      </c>
      <c r="K134" s="104" t="n">
        <v>10</v>
      </c>
      <c r="L134" s="104" t="n">
        <v>9</v>
      </c>
      <c r="M134" s="104" t="n">
        <v>10</v>
      </c>
      <c r="N134" s="104" t="n"/>
      <c r="O134" s="104">
        <f>SUM(J134:N134)</f>
        <v/>
      </c>
      <c r="P134" s="12">
        <f>O134/IF(H134="L",20,IF(H134="U",30,IF(H134="O",40,IF(H134="I",20,""))))</f>
        <v/>
      </c>
      <c r="Q134" s="132">
        <f>IF(AND(H134="L", P134&gt;=50%), "Pass",
IF(AND(H134="U", P134&gt;=60%), "Pass",
IF(AND(H134="O", P134&gt;=75%), "Pass", "Fail")))</f>
        <v/>
      </c>
      <c r="R134" s="104" t="n"/>
      <c r="S134" s="104" t="n">
        <v>16</v>
      </c>
      <c r="T134" s="104" t="n">
        <v>12</v>
      </c>
      <c r="U134" s="104">
        <f>SUM(S134:T134)</f>
        <v/>
      </c>
      <c r="V134" s="12">
        <f>U134/IF(H134="L",35,IF(H134="U",35,IF(H134="O",35,IF(H134="I",35,""))))</f>
        <v/>
      </c>
      <c r="W134" s="132">
        <f>IF(AND(H134="L", V134&gt;=50%), "Pass",
IF(AND(H134="U", V134&gt;=60%), "Pass",
IF(AND(H134="O", V134&gt;=75%), "Pass", "Fail")))</f>
        <v/>
      </c>
      <c r="X134" s="132">
        <f>IF(AND(Q134="Pass", W134="Pass"), "Pass", "Fail")</f>
        <v/>
      </c>
      <c r="Y134" s="15">
        <f>IF($X134="Pass",$H134,
IF(H134="L","I",
IF(H134="U","L",
IF(H134="O","U",
"I"))))</f>
        <v/>
      </c>
    </row>
    <row r="135">
      <c r="A135" s="147">
        <f>ROW()-2</f>
        <v/>
      </c>
      <c r="B135" s="127" t="n">
        <v>900349</v>
      </c>
      <c r="C135" s="128" t="inlineStr">
        <is>
          <t>MARI R</t>
        </is>
      </c>
      <c r="D135" s="127" t="inlineStr">
        <is>
          <t>PRODUCTION</t>
        </is>
      </c>
      <c r="E135" s="129" t="inlineStr">
        <is>
          <t>RADIAL MARANGONI</t>
        </is>
      </c>
      <c r="F135" s="130" t="n">
        <v>41000</v>
      </c>
      <c r="G135" s="131">
        <f>NOW()-F135</f>
        <v/>
      </c>
      <c r="H135" s="104" t="inlineStr">
        <is>
          <t>O</t>
        </is>
      </c>
      <c r="I135" s="104" t="inlineStr">
        <is>
          <t>O</t>
        </is>
      </c>
      <c r="J135" s="104" t="n">
        <v>9</v>
      </c>
      <c r="K135" s="104" t="n">
        <v>9</v>
      </c>
      <c r="L135" s="104" t="n">
        <v>9</v>
      </c>
      <c r="M135" s="104" t="n">
        <v>10</v>
      </c>
      <c r="N135" s="104" t="n"/>
      <c r="O135" s="104">
        <f>SUM(J135:N135)</f>
        <v/>
      </c>
      <c r="P135" s="12">
        <f>O135/IF(H135="L",20,IF(H135="U",30,IF(H135="O",40,IF(H135="I",20,""))))</f>
        <v/>
      </c>
      <c r="Q135" s="132">
        <f>IF(AND(H135="L", P135&gt;=50%), "Pass",
IF(AND(H135="U", P135&gt;=60%), "Pass",
IF(AND(H135="O", P135&gt;=75%), "Pass", "Fail")))</f>
        <v/>
      </c>
      <c r="R135" s="104" t="n"/>
      <c r="S135" s="104" t="n">
        <v>15</v>
      </c>
      <c r="T135" s="104" t="n">
        <v>12</v>
      </c>
      <c r="U135" s="104">
        <f>SUM(S135:T135)</f>
        <v/>
      </c>
      <c r="V135" s="12">
        <f>U135/IF(H135="L",35,IF(H135="U",35,IF(H135="O",35,IF(H135="I",35,""))))</f>
        <v/>
      </c>
      <c r="W135" s="132">
        <f>IF(AND(H135="L", V135&gt;=50%), "Pass",
IF(AND(H135="U", V135&gt;=60%), "Pass",
IF(AND(H135="O", V135&gt;=75%), "Pass", "Fail")))</f>
        <v/>
      </c>
      <c r="X135" s="132">
        <f>IF(AND(Q135="Pass", W135="Pass"), "Pass", "Fail")</f>
        <v/>
      </c>
      <c r="Y135" s="15">
        <f>IF($X135="Pass",$H135,
IF(H135="L","I",
IF(H135="U","L",
IF(H135="O","U",
"I"))))</f>
        <v/>
      </c>
    </row>
    <row r="136">
      <c r="A136" s="147">
        <f>ROW()-2</f>
        <v/>
      </c>
      <c r="B136" s="127" t="n">
        <v>900350</v>
      </c>
      <c r="C136" s="128" t="inlineStr">
        <is>
          <t>AROCKIA ALBERT A</t>
        </is>
      </c>
      <c r="D136" s="127" t="inlineStr">
        <is>
          <t>PRODUCTION</t>
        </is>
      </c>
      <c r="E136" s="129" t="inlineStr">
        <is>
          <t>BIAS MARANGONI&amp;BESTRY</t>
        </is>
      </c>
      <c r="F136" s="130" t="n">
        <v>41000</v>
      </c>
      <c r="G136" s="131">
        <f>NOW()-F136</f>
        <v/>
      </c>
      <c r="H136" s="104" t="inlineStr">
        <is>
          <t>O</t>
        </is>
      </c>
      <c r="I136" s="104" t="inlineStr">
        <is>
          <t>O</t>
        </is>
      </c>
      <c r="J136" s="104" t="n">
        <v>10</v>
      </c>
      <c r="K136" s="104" t="n">
        <v>10</v>
      </c>
      <c r="L136" s="104" t="n">
        <v>10</v>
      </c>
      <c r="M136" s="104" t="n">
        <v>9</v>
      </c>
      <c r="N136" s="104" t="n"/>
      <c r="O136" s="104">
        <f>SUM(J136:N136)</f>
        <v/>
      </c>
      <c r="P136" s="12">
        <f>O136/IF(H136="L",20,IF(H136="U",30,IF(H136="O",40,IF(H136="I",20,""))))</f>
        <v/>
      </c>
      <c r="Q136" s="132">
        <f>IF(AND(H136="L", P136&gt;=50%), "Pass",
IF(AND(H136="U", P136&gt;=60%), "Pass",
IF(AND(H136="O", P136&gt;=75%), "Pass", "Fail")))</f>
        <v/>
      </c>
      <c r="R136" s="104" t="n"/>
      <c r="S136" s="104" t="n">
        <v>16</v>
      </c>
      <c r="T136" s="104" t="n">
        <v>12</v>
      </c>
      <c r="U136" s="104">
        <f>SUM(S136:T136)</f>
        <v/>
      </c>
      <c r="V136" s="12">
        <f>U136/IF(H136="L",35,IF(H136="U",35,IF(H136="O",35,IF(H136="I",35,""))))</f>
        <v/>
      </c>
      <c r="W136" s="132">
        <f>IF(AND(H136="L", V136&gt;=50%), "Pass",
IF(AND(H136="U", V136&gt;=60%), "Pass",
IF(AND(H136="O", V136&gt;=75%), "Pass", "Fail")))</f>
        <v/>
      </c>
      <c r="X136" s="132">
        <f>IF(AND(Q136="Pass", W136="Pass"), "Pass", "Fail")</f>
        <v/>
      </c>
      <c r="Y136" s="15">
        <f>IF($X136="Pass",$H136,
IF(H136="L","I",
IF(H136="U","L",
IF(H136="O","U",
"I"))))</f>
        <v/>
      </c>
    </row>
    <row r="137">
      <c r="A137" s="147">
        <f>ROW()-2</f>
        <v/>
      </c>
      <c r="B137" s="127" t="n">
        <v>900351</v>
      </c>
      <c r="C137" s="128" t="inlineStr">
        <is>
          <t>SARAVANAN G</t>
        </is>
      </c>
      <c r="D137" s="127" t="inlineStr">
        <is>
          <t>PRODUCTION</t>
        </is>
      </c>
      <c r="E137" s="129" t="inlineStr">
        <is>
          <t>BIAS MARANGONI&amp;BESTRY</t>
        </is>
      </c>
      <c r="F137" s="130" t="n">
        <v>41000</v>
      </c>
      <c r="G137" s="131">
        <f>NOW()-F137</f>
        <v/>
      </c>
      <c r="H137" s="104" t="inlineStr">
        <is>
          <t>O</t>
        </is>
      </c>
      <c r="I137" s="104" t="inlineStr">
        <is>
          <t>O</t>
        </is>
      </c>
      <c r="J137" s="104" t="n">
        <v>7</v>
      </c>
      <c r="K137" s="104" t="n">
        <v>9</v>
      </c>
      <c r="L137" s="104" t="n">
        <v>9</v>
      </c>
      <c r="M137" s="104" t="n">
        <v>5</v>
      </c>
      <c r="N137" s="104" t="n"/>
      <c r="O137" s="104">
        <f>SUM(J137:N137)</f>
        <v/>
      </c>
      <c r="P137" s="12">
        <f>O137/IF(H137="L",20,IF(H137="U",30,IF(H137="O",40,IF(H137="I",20,""))))</f>
        <v/>
      </c>
      <c r="Q137" s="132">
        <f>IF(AND(H137="L", P137&gt;=50%), "Pass",
IF(AND(H137="U", P137&gt;=60%), "Pass",
IF(AND(H137="O", P137&gt;=75%), "Pass", "Fail")))</f>
        <v/>
      </c>
      <c r="R137" s="104" t="n"/>
      <c r="S137" s="104" t="n">
        <v>16</v>
      </c>
      <c r="T137" s="104" t="n">
        <v>12</v>
      </c>
      <c r="U137" s="104">
        <f>SUM(S137:T137)</f>
        <v/>
      </c>
      <c r="V137" s="12">
        <f>U137/IF(H137="L",35,IF(H137="U",35,IF(H137="O",35,IF(H137="I",35,""))))</f>
        <v/>
      </c>
      <c r="W137" s="132">
        <f>IF(AND(H137="L", V137&gt;=50%), "Pass",
IF(AND(H137="U", V137&gt;=60%), "Pass",
IF(AND(H137="O", V137&gt;=75%), "Pass", "Fail")))</f>
        <v/>
      </c>
      <c r="X137" s="132">
        <f>IF(AND(Q137="Pass", W137="Pass"), "Pass", "Fail")</f>
        <v/>
      </c>
      <c r="Y137" s="15">
        <f>IF($X137="Pass",$H137,
IF(H137="L","I",
IF(H137="U","L",
IF(H137="O","U",
"I"))))</f>
        <v/>
      </c>
    </row>
    <row r="138">
      <c r="A138" s="147">
        <f>ROW()-2</f>
        <v/>
      </c>
      <c r="B138" s="127" t="n">
        <v>900352</v>
      </c>
      <c r="C138" s="128" t="inlineStr">
        <is>
          <t>MAHESH RAJA C</t>
        </is>
      </c>
      <c r="D138" s="127" t="inlineStr">
        <is>
          <t>PRODUCTION</t>
        </is>
      </c>
      <c r="E138" s="129" t="inlineStr">
        <is>
          <t>BIAS MARANGONI&amp;BESTRY</t>
        </is>
      </c>
      <c r="F138" s="130" t="n">
        <v>41000</v>
      </c>
      <c r="G138" s="131">
        <f>NOW()-F138</f>
        <v/>
      </c>
      <c r="H138" s="104" t="inlineStr">
        <is>
          <t>O</t>
        </is>
      </c>
      <c r="I138" s="104" t="inlineStr">
        <is>
          <t>U</t>
        </is>
      </c>
      <c r="J138" s="104" t="n">
        <v>8</v>
      </c>
      <c r="K138" s="104" t="n">
        <v>9</v>
      </c>
      <c r="L138" s="104" t="n">
        <v>10</v>
      </c>
      <c r="M138" s="104" t="n">
        <v>5</v>
      </c>
      <c r="N138" s="104" t="n"/>
      <c r="O138" s="104">
        <f>SUM(J138:N138)</f>
        <v/>
      </c>
      <c r="P138" s="12">
        <f>O138/IF(H138="L",20,IF(H138="U",30,IF(H138="O",40,IF(H138="I",20,""))))</f>
        <v/>
      </c>
      <c r="Q138" s="132">
        <f>IF(AND(H138="L", P138&gt;=50%), "Pass",
IF(AND(H138="U", P138&gt;=60%), "Pass",
IF(AND(H138="O", P138&gt;=75%), "Pass", "Fail")))</f>
        <v/>
      </c>
      <c r="R138" s="104" t="n"/>
      <c r="S138" s="104" t="n">
        <v>15</v>
      </c>
      <c r="T138" s="104" t="n">
        <v>12</v>
      </c>
      <c r="U138" s="104">
        <f>SUM(S138:T138)</f>
        <v/>
      </c>
      <c r="V138" s="12">
        <f>U138/IF(H138="L",35,IF(H138="U",35,IF(H138="O",35,IF(H138="I",35,""))))</f>
        <v/>
      </c>
      <c r="W138" s="132">
        <f>IF(AND(H138="L", V138&gt;=50%), "Pass",
IF(AND(H138="U", V138&gt;=60%), "Pass",
IF(AND(H138="O", V138&gt;=75%), "Pass", "Fail")))</f>
        <v/>
      </c>
      <c r="X138" s="132">
        <f>IF(AND(Q138="Pass", W138="Pass"), "Pass", "Fail")</f>
        <v/>
      </c>
      <c r="Y138" s="15">
        <f>IF($X138="Pass",$H138,
IF(H138="L","I",
IF(H138="U","L",
IF(H138="O","U",
"I"))))</f>
        <v/>
      </c>
    </row>
    <row r="139">
      <c r="A139" s="147">
        <f>ROW()-2</f>
        <v/>
      </c>
      <c r="B139" s="127" t="n">
        <v>900353</v>
      </c>
      <c r="C139" s="128" t="inlineStr">
        <is>
          <t>PAL PANDI.C</t>
        </is>
      </c>
      <c r="D139" s="127" t="inlineStr">
        <is>
          <t>PRODUCTION</t>
        </is>
      </c>
      <c r="E139" s="129" t="inlineStr">
        <is>
          <t>RADIAL MARANGONI</t>
        </is>
      </c>
      <c r="F139" s="130" t="n">
        <v>41000</v>
      </c>
      <c r="G139" s="131">
        <f>NOW()-F139</f>
        <v/>
      </c>
      <c r="H139" s="104" t="inlineStr">
        <is>
          <t>O</t>
        </is>
      </c>
      <c r="I139" s="104" t="inlineStr">
        <is>
          <t>O</t>
        </is>
      </c>
      <c r="J139" s="104" t="n">
        <v>9</v>
      </c>
      <c r="K139" s="104" t="n">
        <v>10</v>
      </c>
      <c r="L139" s="104" t="n">
        <v>9</v>
      </c>
      <c r="M139" s="104" t="n">
        <v>10</v>
      </c>
      <c r="N139" s="104" t="n"/>
      <c r="O139" s="104">
        <f>SUM(J139:N139)</f>
        <v/>
      </c>
      <c r="P139" s="12">
        <f>O139/IF(H139="L",20,IF(H139="U",30,IF(H139="O",40,IF(H139="I",20,""))))</f>
        <v/>
      </c>
      <c r="Q139" s="132">
        <f>IF(AND(H139="L", P139&gt;=50%), "Pass",
IF(AND(H139="U", P139&gt;=60%), "Pass",
IF(AND(H139="O", P139&gt;=75%), "Pass", "Fail")))</f>
        <v/>
      </c>
      <c r="R139" s="104" t="n"/>
      <c r="S139" s="104" t="n">
        <v>16</v>
      </c>
      <c r="T139" s="104" t="n">
        <v>12</v>
      </c>
      <c r="U139" s="104">
        <f>SUM(S139:T139)</f>
        <v/>
      </c>
      <c r="V139" s="12">
        <f>U139/IF(H139="L",35,IF(H139="U",35,IF(H139="O",35,IF(H139="I",35,""))))</f>
        <v/>
      </c>
      <c r="W139" s="132">
        <f>IF(AND(H139="L", V139&gt;=50%), "Pass",
IF(AND(H139="U", V139&gt;=60%), "Pass",
IF(AND(H139="O", V139&gt;=75%), "Pass", "Fail")))</f>
        <v/>
      </c>
      <c r="X139" s="132">
        <f>IF(AND(Q139="Pass", W139="Pass"), "Pass", "Fail")</f>
        <v/>
      </c>
      <c r="Y139" s="15">
        <f>IF($X139="Pass",$H139,
IF(H139="L","I",
IF(H139="U","L",
IF(H139="O","U",
"I"))))</f>
        <v/>
      </c>
    </row>
    <row r="140">
      <c r="A140" s="147">
        <f>ROW()-2</f>
        <v/>
      </c>
      <c r="B140" s="133" t="n">
        <v>900354</v>
      </c>
      <c r="C140" s="148" t="inlineStr">
        <is>
          <t>ARUMUGAM V</t>
        </is>
      </c>
      <c r="D140" s="127" t="inlineStr">
        <is>
          <t>PRODUCTION</t>
        </is>
      </c>
      <c r="E140" s="135" t="inlineStr">
        <is>
          <t>MIXING</t>
        </is>
      </c>
      <c r="F140" s="136" t="n">
        <v>41000</v>
      </c>
      <c r="G140" s="131">
        <f>NOW()-F140</f>
        <v/>
      </c>
      <c r="H140" s="104" t="inlineStr">
        <is>
          <t>O</t>
        </is>
      </c>
      <c r="I140" s="104" t="inlineStr">
        <is>
          <t>U</t>
        </is>
      </c>
      <c r="J140" s="104" t="inlineStr">
        <is>
          <t>NIL</t>
        </is>
      </c>
      <c r="K140" s="104" t="n"/>
      <c r="L140" s="104" t="n"/>
      <c r="M140" s="104" t="n"/>
      <c r="N140" s="104" t="n"/>
      <c r="O140" s="104" t="n"/>
      <c r="P140" s="12">
        <f>O140/IF(H140="L",20,IF(H140="U",30,IF(H140="O",40,IF(H140="I",20,""))))</f>
        <v/>
      </c>
      <c r="Q140" s="132">
        <f>IF(AND(H140="L", P140&gt;=50%), "Pass",
IF(AND(H140="U", P140&gt;=60%), "Pass",
IF(AND(H140="O", P140&gt;=75%), "Pass", "Fail")))</f>
        <v/>
      </c>
      <c r="R140" s="104" t="n"/>
      <c r="S140" s="104" t="n">
        <v>15</v>
      </c>
      <c r="T140" s="104" t="n">
        <v>11</v>
      </c>
      <c r="U140" s="104">
        <f>SUM(S140:T140)</f>
        <v/>
      </c>
      <c r="V140" s="12">
        <f>U140/IF(H140="L",35,IF(H140="U",35,IF(H140="O",35,IF(H140="I",35,""))))</f>
        <v/>
      </c>
      <c r="W140" s="132">
        <f>IF(AND(H140="L", V140&gt;=50%), "Pass",
IF(AND(H140="U", V140&gt;=60%), "Pass",
IF(AND(H140="O", V140&gt;=75%), "Pass", "Fail")))</f>
        <v/>
      </c>
      <c r="X140" s="132">
        <f>IF(AND(Q140="Pass", W140="Pass"), "Pass", "Fail")</f>
        <v/>
      </c>
      <c r="Y140" s="15">
        <f>IF($X140="Pass",$H140,
IF(H140="L","I",
IF(H140="U","L",
IF(H140="O","U",
"I"))))</f>
        <v/>
      </c>
    </row>
    <row r="141">
      <c r="A141" s="147">
        <f>ROW()-2</f>
        <v/>
      </c>
      <c r="B141" s="133" t="n">
        <v>900355</v>
      </c>
      <c r="C141" s="148" t="inlineStr">
        <is>
          <t>SENTHIL MURUGAN L</t>
        </is>
      </c>
      <c r="D141" s="127" t="inlineStr">
        <is>
          <t>PRODUCTION</t>
        </is>
      </c>
      <c r="E141" s="135" t="inlineStr">
        <is>
          <t>MIXING</t>
        </is>
      </c>
      <c r="F141" s="136" t="n">
        <v>41000</v>
      </c>
      <c r="G141" s="131">
        <f>NOW()-F141</f>
        <v/>
      </c>
      <c r="H141" s="104" t="inlineStr">
        <is>
          <t>O</t>
        </is>
      </c>
      <c r="I141" s="104" t="inlineStr">
        <is>
          <t>U</t>
        </is>
      </c>
      <c r="J141" s="104" t="inlineStr">
        <is>
          <t>NIL</t>
        </is>
      </c>
      <c r="K141" s="104" t="n"/>
      <c r="L141" s="104" t="n"/>
      <c r="M141" s="104" t="n"/>
      <c r="N141" s="104" t="n"/>
      <c r="O141" s="104" t="n"/>
      <c r="P141" s="12">
        <f>O141/IF(H141="L",20,IF(H141="U",30,IF(H141="O",40,IF(H141="I",20,""))))</f>
        <v/>
      </c>
      <c r="Q141" s="132">
        <f>IF(AND(H141="L", P141&gt;=50%), "Pass",
IF(AND(H141="U", P141&gt;=60%), "Pass",
IF(AND(H141="O", P141&gt;=75%), "Pass", "Fail")))</f>
        <v/>
      </c>
      <c r="R141" s="104" t="n"/>
      <c r="S141" s="104" t="n">
        <v>13</v>
      </c>
      <c r="T141" s="104" t="n">
        <v>12</v>
      </c>
      <c r="U141" s="104">
        <f>SUM(S141:T141)</f>
        <v/>
      </c>
      <c r="V141" s="12">
        <f>U141/IF(H141="L",35,IF(H141="U",35,IF(H141="O",35,IF(H141="I",35,""))))</f>
        <v/>
      </c>
      <c r="W141" s="132">
        <f>IF(AND(H141="L", V141&gt;=50%), "Pass",
IF(AND(H141="U", V141&gt;=60%), "Pass",
IF(AND(H141="O", V141&gt;=75%), "Pass", "Fail")))</f>
        <v/>
      </c>
      <c r="X141" s="132">
        <f>IF(AND(Q141="Pass", W141="Pass"), "Pass", "Fail")</f>
        <v/>
      </c>
      <c r="Y141" s="15">
        <f>IF($X141="Pass",$H141,
IF(H141="L","I",
IF(H141="U","L",
IF(H141="O","U",
"I"))))</f>
        <v/>
      </c>
    </row>
    <row r="142">
      <c r="A142" s="147">
        <f>ROW()-2</f>
        <v/>
      </c>
      <c r="B142" s="133" t="n">
        <v>900356</v>
      </c>
      <c r="C142" s="148" t="inlineStr">
        <is>
          <t>SINGA RAJ S</t>
        </is>
      </c>
      <c r="D142" s="127" t="inlineStr">
        <is>
          <t>PRODUCTION</t>
        </is>
      </c>
      <c r="E142" s="135" t="inlineStr">
        <is>
          <t>MIXING</t>
        </is>
      </c>
      <c r="F142" s="136" t="n">
        <v>41000</v>
      </c>
      <c r="G142" s="131">
        <f>NOW()-F142</f>
        <v/>
      </c>
      <c r="H142" s="104" t="inlineStr">
        <is>
          <t>O</t>
        </is>
      </c>
      <c r="I142" s="104" t="inlineStr">
        <is>
          <t>U</t>
        </is>
      </c>
      <c r="J142" s="104" t="inlineStr">
        <is>
          <t>NIL</t>
        </is>
      </c>
      <c r="K142" s="104" t="n"/>
      <c r="L142" s="104" t="n"/>
      <c r="M142" s="104" t="n"/>
      <c r="N142" s="104" t="n"/>
      <c r="O142" s="104" t="n"/>
      <c r="P142" s="12">
        <f>O142/IF(H142="L",20,IF(H142="U",30,IF(H142="O",40,IF(H142="I",20,""))))</f>
        <v/>
      </c>
      <c r="Q142" s="132">
        <f>IF(AND(H142="L", P142&gt;=50%), "Pass",
IF(AND(H142="U", P142&gt;=60%), "Pass",
IF(AND(H142="O", P142&gt;=75%), "Pass", "Fail")))</f>
        <v/>
      </c>
      <c r="R142" s="104" t="n"/>
      <c r="S142" s="104" t="n">
        <v>16</v>
      </c>
      <c r="T142" s="104" t="n">
        <v>12</v>
      </c>
      <c r="U142" s="104">
        <f>SUM(S142:T142)</f>
        <v/>
      </c>
      <c r="V142" s="12">
        <f>U142/IF(H142="L",35,IF(H142="U",35,IF(H142="O",35,IF(H142="I",35,""))))</f>
        <v/>
      </c>
      <c r="W142" s="132">
        <f>IF(AND(H142="L", V142&gt;=50%), "Pass",
IF(AND(H142="U", V142&gt;=60%), "Pass",
IF(AND(H142="O", V142&gt;=75%), "Pass", "Fail")))</f>
        <v/>
      </c>
      <c r="X142" s="132">
        <f>IF(AND(Q142="Pass", W142="Pass"), "Pass", "Fail")</f>
        <v/>
      </c>
      <c r="Y142" s="15">
        <f>IF($X142="Pass",$H142,
IF(H142="L","I",
IF(H142="U","L",
IF(H142="O","U",
"I"))))</f>
        <v/>
      </c>
    </row>
    <row r="143">
      <c r="A143" s="147">
        <f>ROW()-2</f>
        <v/>
      </c>
      <c r="B143" s="133" t="n">
        <v>900357</v>
      </c>
      <c r="C143" s="148" t="inlineStr">
        <is>
          <t>JEBA SELVA KUMAR K</t>
        </is>
      </c>
      <c r="D143" s="127" t="inlineStr">
        <is>
          <t>PRODUCTION</t>
        </is>
      </c>
      <c r="E143" s="135" t="inlineStr">
        <is>
          <t>MIXING</t>
        </is>
      </c>
      <c r="F143" s="136" t="n">
        <v>41000</v>
      </c>
      <c r="G143" s="131">
        <f>NOW()-F143</f>
        <v/>
      </c>
      <c r="H143" s="104" t="inlineStr">
        <is>
          <t>O</t>
        </is>
      </c>
      <c r="I143" s="104" t="inlineStr">
        <is>
          <t>U</t>
        </is>
      </c>
      <c r="J143" s="104" t="inlineStr">
        <is>
          <t>NIL</t>
        </is>
      </c>
      <c r="K143" s="104" t="n"/>
      <c r="L143" s="104" t="n"/>
      <c r="M143" s="104" t="n"/>
      <c r="N143" s="104" t="n"/>
      <c r="O143" s="104" t="n"/>
      <c r="P143" s="12">
        <f>O143/IF(H143="L",20,IF(H143="U",30,IF(H143="O",40,IF(H143="I",20,""))))</f>
        <v/>
      </c>
      <c r="Q143" s="132">
        <f>IF(AND(H143="L", P143&gt;=50%), "Pass",
IF(AND(H143="U", P143&gt;=60%), "Pass",
IF(AND(H143="O", P143&gt;=75%), "Pass", "Fail")))</f>
        <v/>
      </c>
      <c r="R143" s="104" t="n"/>
      <c r="S143" s="104" t="n">
        <v>16</v>
      </c>
      <c r="T143" s="104" t="n">
        <v>12</v>
      </c>
      <c r="U143" s="104">
        <f>SUM(S143:T143)</f>
        <v/>
      </c>
      <c r="V143" s="12">
        <f>U143/IF(H143="L",35,IF(H143="U",35,IF(H143="O",35,IF(H143="I",35,""))))</f>
        <v/>
      </c>
      <c r="W143" s="132">
        <f>IF(AND(H143="L", V143&gt;=50%), "Pass",
IF(AND(H143="U", V143&gt;=60%), "Pass",
IF(AND(H143="O", V143&gt;=75%), "Pass", "Fail")))</f>
        <v/>
      </c>
      <c r="X143" s="132">
        <f>IF(AND(Q143="Pass", W143="Pass"), "Pass", "Fail")</f>
        <v/>
      </c>
      <c r="Y143" s="15">
        <f>IF($X143="Pass",$H143,
IF(H143="L","I",
IF(H143="U","L",
IF(H143="O","U",
"I"))))</f>
        <v/>
      </c>
    </row>
    <row r="144">
      <c r="A144" s="147">
        <f>ROW()-2</f>
        <v/>
      </c>
      <c r="B144" s="133" t="n">
        <v>900358</v>
      </c>
      <c r="C144" s="148" t="inlineStr">
        <is>
          <t>SENDHUR PANDI A</t>
        </is>
      </c>
      <c r="D144" s="127" t="inlineStr">
        <is>
          <t>PRODUCTION</t>
        </is>
      </c>
      <c r="E144" s="135" t="inlineStr">
        <is>
          <t>MIXING</t>
        </is>
      </c>
      <c r="F144" s="136" t="n">
        <v>41000</v>
      </c>
      <c r="G144" s="131">
        <f>NOW()-F144</f>
        <v/>
      </c>
      <c r="H144" s="104" t="inlineStr">
        <is>
          <t>O</t>
        </is>
      </c>
      <c r="I144" s="104" t="inlineStr">
        <is>
          <t>U</t>
        </is>
      </c>
      <c r="J144" s="104" t="inlineStr">
        <is>
          <t>NIL</t>
        </is>
      </c>
      <c r="K144" s="104" t="n"/>
      <c r="L144" s="104" t="n"/>
      <c r="M144" s="104" t="n"/>
      <c r="N144" s="104" t="n"/>
      <c r="O144" s="104" t="n"/>
      <c r="P144" s="12">
        <f>O144/IF(H144="L",20,IF(H144="U",30,IF(H144="O",40,IF(H144="I",20,""))))</f>
        <v/>
      </c>
      <c r="Q144" s="132">
        <f>IF(AND(H144="L", P144&gt;=50%), "Pass",
IF(AND(H144="U", P144&gt;=60%), "Pass",
IF(AND(H144="O", P144&gt;=75%), "Pass", "Fail")))</f>
        <v/>
      </c>
      <c r="R144" s="104" t="n"/>
      <c r="S144" s="104" t="n">
        <v>13</v>
      </c>
      <c r="T144" s="104" t="n">
        <v>12</v>
      </c>
      <c r="U144" s="104">
        <f>SUM(S144:T144)</f>
        <v/>
      </c>
      <c r="V144" s="12">
        <f>U144/IF(H144="L",35,IF(H144="U",35,IF(H144="O",35,IF(H144="I",35,""))))</f>
        <v/>
      </c>
      <c r="W144" s="132">
        <f>IF(AND(H144="L", V144&gt;=50%), "Pass",
IF(AND(H144="U", V144&gt;=60%), "Pass",
IF(AND(H144="O", V144&gt;=75%), "Pass", "Fail")))</f>
        <v/>
      </c>
      <c r="X144" s="132">
        <f>IF(AND(Q144="Pass", W144="Pass"), "Pass", "Fail")</f>
        <v/>
      </c>
      <c r="Y144" s="15">
        <f>IF($X144="Pass",$H144,
IF(H144="L","I",
IF(H144="U","L",
IF(H144="O","U",
"I"))))</f>
        <v/>
      </c>
    </row>
    <row r="145">
      <c r="A145" s="147">
        <f>ROW()-2</f>
        <v/>
      </c>
      <c r="B145" s="133" t="n">
        <v>900359</v>
      </c>
      <c r="C145" s="148" t="inlineStr">
        <is>
          <t>NATARAJAN M</t>
        </is>
      </c>
      <c r="D145" s="127" t="inlineStr">
        <is>
          <t>PRODUCTION</t>
        </is>
      </c>
      <c r="E145" s="135" t="inlineStr">
        <is>
          <t>MIXING</t>
        </is>
      </c>
      <c r="F145" s="136" t="n">
        <v>41000</v>
      </c>
      <c r="G145" s="131">
        <f>NOW()-F145</f>
        <v/>
      </c>
      <c r="H145" s="104" t="inlineStr">
        <is>
          <t>O</t>
        </is>
      </c>
      <c r="I145" s="104" t="inlineStr">
        <is>
          <t>U</t>
        </is>
      </c>
      <c r="J145" s="104" t="inlineStr">
        <is>
          <t>NIL</t>
        </is>
      </c>
      <c r="K145" s="104" t="n"/>
      <c r="L145" s="104" t="n"/>
      <c r="M145" s="104" t="n"/>
      <c r="N145" s="104" t="n"/>
      <c r="O145" s="104" t="n"/>
      <c r="P145" s="12">
        <f>O145/IF(H145="L",20,IF(H145="U",30,IF(H145="O",40,IF(H145="I",20,""))))</f>
        <v/>
      </c>
      <c r="Q145" s="132">
        <f>IF(AND(H145="L", P145&gt;=50%), "Pass",
IF(AND(H145="U", P145&gt;=60%), "Pass",
IF(AND(H145="O", P145&gt;=75%), "Pass", "Fail")))</f>
        <v/>
      </c>
      <c r="R145" s="104" t="n"/>
      <c r="S145" s="104" t="n">
        <v>15</v>
      </c>
      <c r="T145" s="104" t="n">
        <v>12</v>
      </c>
      <c r="U145" s="104">
        <f>SUM(S145:T145)</f>
        <v/>
      </c>
      <c r="V145" s="12">
        <f>U145/IF(H145="L",35,IF(H145="U",35,IF(H145="O",35,IF(H145="I",35,""))))</f>
        <v/>
      </c>
      <c r="W145" s="132">
        <f>IF(AND(H145="L", V145&gt;=50%), "Pass",
IF(AND(H145="U", V145&gt;=60%), "Pass",
IF(AND(H145="O", V145&gt;=75%), "Pass", "Fail")))</f>
        <v/>
      </c>
      <c r="X145" s="132">
        <f>IF(AND(Q145="Pass", W145="Pass"), "Pass", "Fail")</f>
        <v/>
      </c>
      <c r="Y145" s="15">
        <f>IF($X145="Pass",$H145,
IF(H145="L","I",
IF(H145="U","L",
IF(H145="O","U",
"I"))))</f>
        <v/>
      </c>
    </row>
    <row r="146">
      <c r="A146" s="147">
        <f>ROW()-2</f>
        <v/>
      </c>
      <c r="B146" s="133" t="n">
        <v>900360</v>
      </c>
      <c r="C146" s="148" t="inlineStr">
        <is>
          <t>RAJ K</t>
        </is>
      </c>
      <c r="D146" s="127" t="inlineStr">
        <is>
          <t>PRODUCTION</t>
        </is>
      </c>
      <c r="E146" s="135" t="inlineStr">
        <is>
          <t>MIXING</t>
        </is>
      </c>
      <c r="F146" s="136" t="n">
        <v>41000</v>
      </c>
      <c r="G146" s="131">
        <f>NOW()-F146</f>
        <v/>
      </c>
      <c r="H146" s="104" t="inlineStr">
        <is>
          <t>O</t>
        </is>
      </c>
      <c r="I146" s="104" t="inlineStr">
        <is>
          <t>U</t>
        </is>
      </c>
      <c r="J146" s="104" t="inlineStr">
        <is>
          <t>NIL</t>
        </is>
      </c>
      <c r="K146" s="104" t="n"/>
      <c r="L146" s="104" t="n"/>
      <c r="M146" s="104" t="n"/>
      <c r="N146" s="104" t="n"/>
      <c r="O146" s="104" t="n"/>
      <c r="P146" s="12">
        <f>O146/IF(H146="L",20,IF(H146="U",30,IF(H146="O",40,IF(H146="I",20,""))))</f>
        <v/>
      </c>
      <c r="Q146" s="132">
        <f>IF(AND(H146="L", P146&gt;=50%), "Pass",
IF(AND(H146="U", P146&gt;=60%), "Pass",
IF(AND(H146="O", P146&gt;=75%), "Pass", "Fail")))</f>
        <v/>
      </c>
      <c r="R146" s="104" t="n"/>
      <c r="S146" s="104" t="n">
        <v>14</v>
      </c>
      <c r="T146" s="104" t="n">
        <v>12</v>
      </c>
      <c r="U146" s="104">
        <f>SUM(S146:T146)</f>
        <v/>
      </c>
      <c r="V146" s="12">
        <f>U146/IF(H146="L",35,IF(H146="U",35,IF(H146="O",35,IF(H146="I",35,""))))</f>
        <v/>
      </c>
      <c r="W146" s="132">
        <f>IF(AND(H146="L", V146&gt;=50%), "Pass",
IF(AND(H146="U", V146&gt;=60%), "Pass",
IF(AND(H146="O", V146&gt;=75%), "Pass", "Fail")))</f>
        <v/>
      </c>
      <c r="X146" s="132">
        <f>IF(AND(Q146="Pass", W146="Pass"), "Pass", "Fail")</f>
        <v/>
      </c>
      <c r="Y146" s="15">
        <f>IF($X146="Pass",$H146,
IF(H146="L","I",
IF(H146="U","L",
IF(H146="O","U",
"I"))))</f>
        <v/>
      </c>
    </row>
    <row r="147">
      <c r="A147" s="147">
        <f>ROW()-2</f>
        <v/>
      </c>
      <c r="B147" s="133" t="n">
        <v>900361</v>
      </c>
      <c r="C147" s="148" t="inlineStr">
        <is>
          <t>KARUPPA SAMY R</t>
        </is>
      </c>
      <c r="D147" s="127" t="inlineStr">
        <is>
          <t>PRODUCTION</t>
        </is>
      </c>
      <c r="E147" s="135" t="inlineStr">
        <is>
          <t>MIXING</t>
        </is>
      </c>
      <c r="F147" s="136" t="n">
        <v>41000</v>
      </c>
      <c r="G147" s="131">
        <f>NOW()-F147</f>
        <v/>
      </c>
      <c r="H147" s="104" t="inlineStr">
        <is>
          <t>O</t>
        </is>
      </c>
      <c r="I147" s="104" t="inlineStr">
        <is>
          <t>U</t>
        </is>
      </c>
      <c r="J147" s="104" t="inlineStr">
        <is>
          <t>NIL</t>
        </is>
      </c>
      <c r="K147" s="104" t="n"/>
      <c r="L147" s="104" t="n"/>
      <c r="M147" s="104" t="n"/>
      <c r="N147" s="104" t="n"/>
      <c r="O147" s="104" t="n"/>
      <c r="P147" s="12">
        <f>O147/IF(H147="L",20,IF(H147="U",30,IF(H147="O",40,IF(H147="I",20,""))))</f>
        <v/>
      </c>
      <c r="Q147" s="132">
        <f>IF(AND(H147="L", P147&gt;=50%), "Pass",
IF(AND(H147="U", P147&gt;=60%), "Pass",
IF(AND(H147="O", P147&gt;=75%), "Pass", "Fail")))</f>
        <v/>
      </c>
      <c r="R147" s="104" t="n"/>
      <c r="S147" s="104" t="n">
        <v>13</v>
      </c>
      <c r="T147" s="104" t="n">
        <v>11</v>
      </c>
      <c r="U147" s="104">
        <f>SUM(S147:T147)</f>
        <v/>
      </c>
      <c r="V147" s="12">
        <f>U147/IF(H147="L",35,IF(H147="U",35,IF(H147="O",35,IF(H147="I",35,""))))</f>
        <v/>
      </c>
      <c r="W147" s="132">
        <f>IF(AND(H147="L", V147&gt;=50%), "Pass",
IF(AND(H147="U", V147&gt;=60%), "Pass",
IF(AND(H147="O", V147&gt;=75%), "Pass", "Fail")))</f>
        <v/>
      </c>
      <c r="X147" s="132">
        <f>IF(AND(Q147="Pass", W147="Pass"), "Pass", "Fail")</f>
        <v/>
      </c>
      <c r="Y147" s="15">
        <f>IF($X147="Pass",$H147,
IF(H147="L","I",
IF(H147="U","L",
IF(H147="O","U",
"I"))))</f>
        <v/>
      </c>
    </row>
    <row r="148">
      <c r="A148" s="147">
        <f>ROW()-2</f>
        <v/>
      </c>
      <c r="B148" s="133" t="n">
        <v>900362</v>
      </c>
      <c r="C148" s="148" t="inlineStr">
        <is>
          <t>KUMAR C</t>
        </is>
      </c>
      <c r="D148" s="127" t="inlineStr">
        <is>
          <t>PRODUCTION</t>
        </is>
      </c>
      <c r="E148" s="135" t="inlineStr">
        <is>
          <t>MIXING</t>
        </is>
      </c>
      <c r="F148" s="136" t="n">
        <v>41000</v>
      </c>
      <c r="G148" s="131">
        <f>NOW()-F148</f>
        <v/>
      </c>
      <c r="H148" s="104" t="inlineStr">
        <is>
          <t>O</t>
        </is>
      </c>
      <c r="I148" s="104" t="inlineStr">
        <is>
          <t>U</t>
        </is>
      </c>
      <c r="J148" s="104" t="inlineStr">
        <is>
          <t>NIL</t>
        </is>
      </c>
      <c r="K148" s="104" t="n"/>
      <c r="L148" s="104" t="n"/>
      <c r="M148" s="104" t="n"/>
      <c r="N148" s="104" t="n"/>
      <c r="O148" s="104" t="n"/>
      <c r="P148" s="12">
        <f>O148/IF(H148="L",20,IF(H148="U",30,IF(H148="O",40,IF(H148="I",20,""))))</f>
        <v/>
      </c>
      <c r="Q148" s="132">
        <f>IF(AND(H148="L", P148&gt;=50%), "Pass",
IF(AND(H148="U", P148&gt;=60%), "Pass",
IF(AND(H148="O", P148&gt;=75%), "Pass", "Fail")))</f>
        <v/>
      </c>
      <c r="R148" s="104" t="n"/>
      <c r="S148" s="104" t="n">
        <v>13</v>
      </c>
      <c r="T148" s="104" t="n">
        <v>12</v>
      </c>
      <c r="U148" s="104">
        <f>SUM(S148:T148)</f>
        <v/>
      </c>
      <c r="V148" s="12">
        <f>U148/IF(H148="L",35,IF(H148="U",35,IF(H148="O",35,IF(H148="I",35,""))))</f>
        <v/>
      </c>
      <c r="W148" s="132">
        <f>IF(AND(H148="L", V148&gt;=50%), "Pass",
IF(AND(H148="U", V148&gt;=60%), "Pass",
IF(AND(H148="O", V148&gt;=75%), "Pass", "Fail")))</f>
        <v/>
      </c>
      <c r="X148" s="132">
        <f>IF(AND(Q148="Pass", W148="Pass"), "Pass", "Fail")</f>
        <v/>
      </c>
      <c r="Y148" s="15">
        <f>IF($X148="Pass",$H148,
IF(H148="L","I",
IF(H148="U","L",
IF(H148="O","U",
"I"))))</f>
        <v/>
      </c>
    </row>
    <row r="149">
      <c r="A149" s="147">
        <f>ROW()-2</f>
        <v/>
      </c>
      <c r="B149" s="133" t="n">
        <v>900363</v>
      </c>
      <c r="C149" s="148" t="inlineStr">
        <is>
          <t>RAJKUMAR K</t>
        </is>
      </c>
      <c r="D149" s="127" t="inlineStr">
        <is>
          <t>PRODUCTION</t>
        </is>
      </c>
      <c r="E149" s="135" t="inlineStr">
        <is>
          <t>MIXING</t>
        </is>
      </c>
      <c r="F149" s="136" t="n">
        <v>41000</v>
      </c>
      <c r="G149" s="131">
        <f>NOW()-F149</f>
        <v/>
      </c>
      <c r="H149" s="104" t="inlineStr">
        <is>
          <t>O</t>
        </is>
      </c>
      <c r="I149" s="104" t="inlineStr">
        <is>
          <t>U</t>
        </is>
      </c>
      <c r="J149" s="104" t="inlineStr">
        <is>
          <t>NIL</t>
        </is>
      </c>
      <c r="K149" s="104" t="n"/>
      <c r="L149" s="104" t="n"/>
      <c r="M149" s="104" t="n"/>
      <c r="N149" s="104" t="n"/>
      <c r="O149" s="104" t="n"/>
      <c r="P149" s="12">
        <f>O149/IF(H149="L",20,IF(H149="U",30,IF(H149="O",40,IF(H149="I",20,""))))</f>
        <v/>
      </c>
      <c r="Q149" s="132">
        <f>IF(AND(H149="L", P149&gt;=50%), "Pass",
IF(AND(H149="U", P149&gt;=60%), "Pass",
IF(AND(H149="O", P149&gt;=75%), "Pass", "Fail")))</f>
        <v/>
      </c>
      <c r="R149" s="104" t="n"/>
      <c r="S149" s="104" t="n">
        <v>15</v>
      </c>
      <c r="T149" s="104" t="n">
        <v>12</v>
      </c>
      <c r="U149" s="104">
        <f>SUM(S149:T149)</f>
        <v/>
      </c>
      <c r="V149" s="12">
        <f>U149/IF(H149="L",35,IF(H149="U",35,IF(H149="O",35,IF(H149="I",35,""))))</f>
        <v/>
      </c>
      <c r="W149" s="132">
        <f>IF(AND(H149="L", V149&gt;=50%), "Pass",
IF(AND(H149="U", V149&gt;=60%), "Pass",
IF(AND(H149="O", V149&gt;=75%), "Pass", "Fail")))</f>
        <v/>
      </c>
      <c r="X149" s="132">
        <f>IF(AND(Q149="Pass", W149="Pass"), "Pass", "Fail")</f>
        <v/>
      </c>
      <c r="Y149" s="15">
        <f>IF($X149="Pass",$H149,
IF(H149="L","I",
IF(H149="U","L",
IF(H149="O","U",
"I"))))</f>
        <v/>
      </c>
    </row>
    <row r="150">
      <c r="A150" s="147">
        <f>ROW()-2</f>
        <v/>
      </c>
      <c r="B150" s="133" t="n">
        <v>900364</v>
      </c>
      <c r="C150" s="148" t="inlineStr">
        <is>
          <t>MANI KANDA NAINAR</t>
        </is>
      </c>
      <c r="D150" s="127" t="inlineStr">
        <is>
          <t>PRODUCTION</t>
        </is>
      </c>
      <c r="E150" s="135" t="inlineStr">
        <is>
          <t>MIXING</t>
        </is>
      </c>
      <c r="F150" s="136" t="n">
        <v>41000</v>
      </c>
      <c r="G150" s="131">
        <f>NOW()-F150</f>
        <v/>
      </c>
      <c r="H150" s="104" t="inlineStr">
        <is>
          <t>O</t>
        </is>
      </c>
      <c r="I150" s="104" t="inlineStr">
        <is>
          <t>U</t>
        </is>
      </c>
      <c r="J150" s="104" t="inlineStr">
        <is>
          <t>NIL</t>
        </is>
      </c>
      <c r="K150" s="104" t="n"/>
      <c r="L150" s="104" t="n"/>
      <c r="M150" s="104" t="n"/>
      <c r="N150" s="104" t="n"/>
      <c r="O150" s="104" t="n"/>
      <c r="P150" s="12">
        <f>O150/IF(H150="L",20,IF(H150="U",30,IF(H150="O",40,IF(H150="I",20,""))))</f>
        <v/>
      </c>
      <c r="Q150" s="132">
        <f>IF(AND(H150="L", P150&gt;=50%), "Pass",
IF(AND(H150="U", P150&gt;=60%), "Pass",
IF(AND(H150="O", P150&gt;=75%), "Pass", "Fail")))</f>
        <v/>
      </c>
      <c r="R150" s="104" t="n"/>
      <c r="S150" s="104" t="n">
        <v>16</v>
      </c>
      <c r="T150" s="104" t="n">
        <v>12</v>
      </c>
      <c r="U150" s="104">
        <f>SUM(S150:T150)</f>
        <v/>
      </c>
      <c r="V150" s="12">
        <f>U150/IF(H150="L",35,IF(H150="U",35,IF(H150="O",35,IF(H150="I",35,""))))</f>
        <v/>
      </c>
      <c r="W150" s="132">
        <f>IF(AND(H150="L", V150&gt;=50%), "Pass",
IF(AND(H150="U", V150&gt;=60%), "Pass",
IF(AND(H150="O", V150&gt;=75%), "Pass", "Fail")))</f>
        <v/>
      </c>
      <c r="X150" s="132">
        <f>IF(AND(Q150="Pass", W150="Pass"), "Pass", "Fail")</f>
        <v/>
      </c>
      <c r="Y150" s="15">
        <f>IF($X150="Pass",$H150,
IF(H150="L","I",
IF(H150="U","L",
IF(H150="O","U",
"I"))))</f>
        <v/>
      </c>
    </row>
    <row r="151">
      <c r="A151" s="147">
        <f>ROW()-2</f>
        <v/>
      </c>
      <c r="B151" s="127" t="n">
        <v>900365</v>
      </c>
      <c r="C151" s="128" t="inlineStr">
        <is>
          <t>MURUGAN S</t>
        </is>
      </c>
      <c r="D151" s="127" t="inlineStr">
        <is>
          <t>PRODUCTION</t>
        </is>
      </c>
      <c r="E151" s="129" t="inlineStr">
        <is>
          <t>TYRE BUILDING-P3</t>
        </is>
      </c>
      <c r="F151" s="130" t="n">
        <v>41000</v>
      </c>
      <c r="G151" s="131">
        <f>NOW()-F151</f>
        <v/>
      </c>
      <c r="H151" s="104" t="inlineStr">
        <is>
          <t>O</t>
        </is>
      </c>
      <c r="I151" s="104" t="inlineStr">
        <is>
          <t>U</t>
        </is>
      </c>
      <c r="J151" s="104" t="n">
        <v>10</v>
      </c>
      <c r="K151" s="104" t="n">
        <v>8</v>
      </c>
      <c r="L151" s="104" t="n">
        <v>8</v>
      </c>
      <c r="M151" s="104" t="n">
        <v>7</v>
      </c>
      <c r="N151" s="104" t="n"/>
      <c r="O151" s="104">
        <f>SUM(J151:N151)</f>
        <v/>
      </c>
      <c r="P151" s="12">
        <f>O151/IF(H151="L",20,IF(H151="U",30,IF(H151="O",40,IF(H151="I",20,""))))</f>
        <v/>
      </c>
      <c r="Q151" s="132">
        <f>IF(AND(H151="L", P151&gt;=50%), "Pass",
IF(AND(H151="U", P151&gt;=60%), "Pass",
IF(AND(H151="O", P151&gt;=75%), "Pass", "Fail")))</f>
        <v/>
      </c>
      <c r="R151" s="104" t="n"/>
      <c r="S151" s="104" t="n">
        <v>19</v>
      </c>
      <c r="T151" s="104" t="n">
        <v>15</v>
      </c>
      <c r="U151" s="104">
        <f>SUM(S151:T151)</f>
        <v/>
      </c>
      <c r="V151" s="12">
        <f>U151/IF(H151="L",35,IF(H151="U",35,IF(H151="O",35,IF(H151="I",35,""))))</f>
        <v/>
      </c>
      <c r="W151" s="132">
        <f>IF(AND(H151="L", V151&gt;=50%), "Pass",
IF(AND(H151="U", V151&gt;=60%), "Pass",
IF(AND(H151="O", V151&gt;=75%), "Pass", "Fail")))</f>
        <v/>
      </c>
      <c r="X151" s="132">
        <f>IF(AND(Q151="Pass", W151="Pass"), "Pass", "Fail")</f>
        <v/>
      </c>
      <c r="Y151" s="15">
        <f>IF($X151="Pass",$H151,
IF(H151="L","I",
IF(H151="U","L",
IF(H151="O","U",
"I"))))</f>
        <v/>
      </c>
    </row>
    <row r="152">
      <c r="A152" s="147">
        <f>ROW()-2</f>
        <v/>
      </c>
      <c r="B152" s="127" t="n">
        <v>900366</v>
      </c>
      <c r="C152" s="128" t="inlineStr">
        <is>
          <t>SELVA KUMAR K</t>
        </is>
      </c>
      <c r="D152" s="127" t="inlineStr">
        <is>
          <t>PRODUCTION</t>
        </is>
      </c>
      <c r="E152" s="129" t="inlineStr">
        <is>
          <t>TYRE CURING</t>
        </is>
      </c>
      <c r="F152" s="130" t="n">
        <v>41000</v>
      </c>
      <c r="G152" s="131">
        <f>NOW()-F152</f>
        <v/>
      </c>
      <c r="H152" s="104" t="inlineStr">
        <is>
          <t>O</t>
        </is>
      </c>
      <c r="I152" s="104" t="inlineStr">
        <is>
          <t>O</t>
        </is>
      </c>
      <c r="J152" s="104" t="n">
        <v>10</v>
      </c>
      <c r="K152" s="104" t="n">
        <v>9</v>
      </c>
      <c r="L152" s="104" t="n">
        <v>7</v>
      </c>
      <c r="M152" s="104" t="n">
        <v>8</v>
      </c>
      <c r="N152" s="104" t="n"/>
      <c r="O152" s="104">
        <f>SUM(J152:N152)</f>
        <v/>
      </c>
      <c r="P152" s="12">
        <f>O152/IF(H152="L",20,IF(H152="U",30,IF(H152="O",40,IF(H152="I",20,""))))</f>
        <v/>
      </c>
      <c r="Q152" s="132">
        <f>IF(AND(H152="L", P152&gt;=50%), "Pass",
IF(AND(H152="U", P152&gt;=60%), "Pass",
IF(AND(H152="O", P152&gt;=75%), "Pass", "Fail")))</f>
        <v/>
      </c>
      <c r="R152" s="104" t="n"/>
      <c r="S152" s="104" t="n">
        <v>14</v>
      </c>
      <c r="T152" s="104" t="n">
        <v>13</v>
      </c>
      <c r="U152" s="104">
        <f>SUM(S152:T152)</f>
        <v/>
      </c>
      <c r="V152" s="12">
        <f>U152/IF(H152="L",35,IF(H152="U",35,IF(H152="O",35,IF(H152="I",35,""))))</f>
        <v/>
      </c>
      <c r="W152" s="132">
        <f>IF(AND(H152="L", V152&gt;=50%), "Pass",
IF(AND(H152="U", V152&gt;=60%), "Pass",
IF(AND(H152="O", V152&gt;=75%), "Pass", "Fail")))</f>
        <v/>
      </c>
      <c r="X152" s="132">
        <f>IF(AND(Q152="Pass", W152="Pass"), "Pass", "Fail")</f>
        <v/>
      </c>
      <c r="Y152" s="15">
        <f>IF($X152="Pass",$H152,
IF(H152="L","I",
IF(H152="U","L",
IF(H152="O","U",
"I"))))</f>
        <v/>
      </c>
    </row>
    <row r="153">
      <c r="A153" s="147">
        <f>ROW()-2</f>
        <v/>
      </c>
      <c r="B153" s="127" t="n">
        <v>900367</v>
      </c>
      <c r="C153" s="128" t="inlineStr">
        <is>
          <t>SANKARA NARAYANAN P</t>
        </is>
      </c>
      <c r="D153" s="127" t="inlineStr">
        <is>
          <t>PRODUCTION</t>
        </is>
      </c>
      <c r="E153" s="129" t="inlineStr">
        <is>
          <t>TYRE CURING</t>
        </is>
      </c>
      <c r="F153" s="130" t="n">
        <v>41000</v>
      </c>
      <c r="G153" s="131">
        <f>NOW()-F153</f>
        <v/>
      </c>
      <c r="H153" s="104" t="inlineStr">
        <is>
          <t>O</t>
        </is>
      </c>
      <c r="I153" s="104" t="inlineStr">
        <is>
          <t>O</t>
        </is>
      </c>
      <c r="J153" s="104" t="n">
        <v>9</v>
      </c>
      <c r="K153" s="104" t="n">
        <v>9</v>
      </c>
      <c r="L153" s="104" t="n">
        <v>9</v>
      </c>
      <c r="M153" s="104" t="n">
        <v>8</v>
      </c>
      <c r="N153" s="104" t="n"/>
      <c r="O153" s="104">
        <f>SUM(J153:N153)</f>
        <v/>
      </c>
      <c r="P153" s="12">
        <f>O153/IF(H153="L",20,IF(H153="U",30,IF(H153="O",40,IF(H153="I",20,""))))</f>
        <v/>
      </c>
      <c r="Q153" s="132">
        <f>IF(AND(H153="L", P153&gt;=50%), "Pass",
IF(AND(H153="U", P153&gt;=60%), "Pass",
IF(AND(H153="O", P153&gt;=75%), "Pass", "Fail")))</f>
        <v/>
      </c>
      <c r="R153" s="104" t="n"/>
      <c r="S153" s="104" t="n">
        <v>14</v>
      </c>
      <c r="T153" s="104" t="n">
        <v>14</v>
      </c>
      <c r="U153" s="104">
        <f>SUM(S153:T153)</f>
        <v/>
      </c>
      <c r="V153" s="12">
        <f>U153/IF(H153="L",35,IF(H153="U",35,IF(H153="O",35,IF(H153="I",35,""))))</f>
        <v/>
      </c>
      <c r="W153" s="132">
        <f>IF(AND(H153="L", V153&gt;=50%), "Pass",
IF(AND(H153="U", V153&gt;=60%), "Pass",
IF(AND(H153="O", V153&gt;=75%), "Pass", "Fail")))</f>
        <v/>
      </c>
      <c r="X153" s="132">
        <f>IF(AND(Q153="Pass", W153="Pass"), "Pass", "Fail")</f>
        <v/>
      </c>
      <c r="Y153" s="15">
        <f>IF($X153="Pass",$H153,
IF(H153="L","I",
IF(H153="U","L",
IF(H153="O","U",
"I"))))</f>
        <v/>
      </c>
    </row>
    <row r="154">
      <c r="A154" s="147">
        <f>ROW()-2</f>
        <v/>
      </c>
      <c r="B154" s="127" t="n">
        <v>900369</v>
      </c>
      <c r="C154" s="128" t="inlineStr">
        <is>
          <t>BHOLA KUSHWAHA</t>
        </is>
      </c>
      <c r="D154" s="127" t="inlineStr">
        <is>
          <t>PRODUCTION</t>
        </is>
      </c>
      <c r="E154" s="129" t="inlineStr">
        <is>
          <t>TYRE BUILDING-P3</t>
        </is>
      </c>
      <c r="F154" s="130" t="n">
        <v>41000</v>
      </c>
      <c r="G154" s="131">
        <f>NOW()-F154</f>
        <v/>
      </c>
      <c r="H154" s="104" t="inlineStr">
        <is>
          <t>O</t>
        </is>
      </c>
      <c r="I154" s="104" t="inlineStr">
        <is>
          <t>U</t>
        </is>
      </c>
      <c r="J154" s="104" t="n">
        <v>9</v>
      </c>
      <c r="K154" s="104" t="n">
        <v>8</v>
      </c>
      <c r="L154" s="104" t="n">
        <v>5</v>
      </c>
      <c r="M154" s="104" t="n">
        <v>6</v>
      </c>
      <c r="N154" s="104" t="n"/>
      <c r="O154" s="104">
        <f>SUM(J154:N154)</f>
        <v/>
      </c>
      <c r="P154" s="12">
        <f>O154/IF(H154="L",20,IF(H154="U",30,IF(H154="O",40,IF(H154="I",20,""))))</f>
        <v/>
      </c>
      <c r="Q154" s="132">
        <f>IF(AND(H154="L", P154&gt;=50%), "Pass",
IF(AND(H154="U", P154&gt;=60%), "Pass",
IF(AND(H154="O", P154&gt;=75%), "Pass", "Fail")))</f>
        <v/>
      </c>
      <c r="R154" s="104" t="n"/>
      <c r="S154" s="104" t="n">
        <v>17</v>
      </c>
      <c r="T154" s="104" t="n">
        <v>15</v>
      </c>
      <c r="U154" s="104">
        <f>SUM(S154:T154)</f>
        <v/>
      </c>
      <c r="V154" s="12">
        <f>U154/IF(H154="L",35,IF(H154="U",35,IF(H154="O",35,IF(H154="I",35,""))))</f>
        <v/>
      </c>
      <c r="W154" s="132">
        <f>IF(AND(H154="L", V154&gt;=50%), "Pass",
IF(AND(H154="U", V154&gt;=60%), "Pass",
IF(AND(H154="O", V154&gt;=75%), "Pass", "Fail")))</f>
        <v/>
      </c>
      <c r="X154" s="132">
        <f>IF(AND(Q154="Pass", W154="Pass"), "Pass", "Fail")</f>
        <v/>
      </c>
      <c r="Y154" s="15">
        <f>IF($X154="Pass",$H154,
IF(H154="L","I",
IF(H154="U","L",
IF(H154="O","U",
"I"))))</f>
        <v/>
      </c>
    </row>
    <row r="155">
      <c r="A155" s="147">
        <f>ROW()-2</f>
        <v/>
      </c>
      <c r="B155" s="127" t="n">
        <v>900370</v>
      </c>
      <c r="C155" s="128" t="inlineStr">
        <is>
          <t>MAHESH B</t>
        </is>
      </c>
      <c r="D155" s="127" t="inlineStr">
        <is>
          <t>PRODUCTION</t>
        </is>
      </c>
      <c r="E155" s="129" t="inlineStr">
        <is>
          <t>TYRE BUILDING-P2</t>
        </is>
      </c>
      <c r="F155" s="130" t="n">
        <v>41000</v>
      </c>
      <c r="G155" s="131">
        <f>NOW()-F155</f>
        <v/>
      </c>
      <c r="H155" s="104" t="inlineStr">
        <is>
          <t>O</t>
        </is>
      </c>
      <c r="I155" s="104" t="inlineStr">
        <is>
          <t>U</t>
        </is>
      </c>
      <c r="J155" s="104" t="n">
        <v>8</v>
      </c>
      <c r="K155" s="104" t="n">
        <v>9</v>
      </c>
      <c r="L155" s="104" t="n">
        <v>5</v>
      </c>
      <c r="M155" s="104" t="n">
        <v>6</v>
      </c>
      <c r="N155" s="104" t="n"/>
      <c r="O155" s="104">
        <f>SUM(J155:N155)</f>
        <v/>
      </c>
      <c r="P155" s="12">
        <f>O155/IF(H155="L",20,IF(H155="U",30,IF(H155="O",40,IF(H155="I",20,""))))</f>
        <v/>
      </c>
      <c r="Q155" s="132">
        <f>IF(AND(H155="L", P155&gt;=50%), "Pass",
IF(AND(H155="U", P155&gt;=60%), "Pass",
IF(AND(H155="O", P155&gt;=75%), "Pass", "Fail")))</f>
        <v/>
      </c>
      <c r="R155" s="104" t="n"/>
      <c r="S155" s="104" t="n">
        <v>14</v>
      </c>
      <c r="T155" s="104" t="n">
        <v>11</v>
      </c>
      <c r="U155" s="104">
        <f>SUM(S155:T155)</f>
        <v/>
      </c>
      <c r="V155" s="12">
        <f>U155/IF(H155="L",35,IF(H155="U",35,IF(H155="O",35,IF(H155="I",35,""))))</f>
        <v/>
      </c>
      <c r="W155" s="132">
        <f>IF(AND(H155="L", V155&gt;=50%), "Pass",
IF(AND(H155="U", V155&gt;=60%), "Pass",
IF(AND(H155="O", V155&gt;=75%), "Pass", "Fail")))</f>
        <v/>
      </c>
      <c r="X155" s="132">
        <f>IF(AND(Q155="Pass", W155="Pass"), "Pass", "Fail")</f>
        <v/>
      </c>
      <c r="Y155" s="15">
        <f>IF($X155="Pass",$H155,
IF(H155="L","I",
IF(H155="U","L",
IF(H155="O","U",
"I"))))</f>
        <v/>
      </c>
    </row>
    <row r="156">
      <c r="A156" s="147">
        <f>ROW()-2</f>
        <v/>
      </c>
      <c r="B156" s="127" t="n">
        <v>900371</v>
      </c>
      <c r="C156" s="128" t="inlineStr">
        <is>
          <t>KALI SHANKAR A</t>
        </is>
      </c>
      <c r="D156" s="127" t="inlineStr">
        <is>
          <t>PRODUCTION</t>
        </is>
      </c>
      <c r="E156" s="129" t="inlineStr">
        <is>
          <t>TYRE BUILDING-P2</t>
        </is>
      </c>
      <c r="F156" s="130" t="n">
        <v>41000</v>
      </c>
      <c r="G156" s="131">
        <f>NOW()-F156</f>
        <v/>
      </c>
      <c r="H156" s="104" t="inlineStr">
        <is>
          <t>O</t>
        </is>
      </c>
      <c r="I156" s="104" t="inlineStr">
        <is>
          <t>O</t>
        </is>
      </c>
      <c r="J156" s="104" t="n">
        <v>10</v>
      </c>
      <c r="K156" s="104" t="n">
        <v>8</v>
      </c>
      <c r="L156" s="104" t="n">
        <v>7</v>
      </c>
      <c r="M156" s="104" t="n">
        <v>9</v>
      </c>
      <c r="N156" s="104" t="n"/>
      <c r="O156" s="104">
        <f>SUM(J156:N156)</f>
        <v/>
      </c>
      <c r="P156" s="12">
        <f>O156/IF(H156="L",20,IF(H156="U",30,IF(H156="O",40,IF(H156="I",20,""))))</f>
        <v/>
      </c>
      <c r="Q156" s="132">
        <f>IF(AND(H156="L", P156&gt;=50%), "Pass",
IF(AND(H156="U", P156&gt;=60%), "Pass",
IF(AND(H156="O", P156&gt;=75%), "Pass", "Fail")))</f>
        <v/>
      </c>
      <c r="R156" s="104" t="n"/>
      <c r="S156" s="104" t="n">
        <v>13</v>
      </c>
      <c r="T156" s="104" t="n">
        <v>11</v>
      </c>
      <c r="U156" s="104">
        <f>SUM(S156:T156)</f>
        <v/>
      </c>
      <c r="V156" s="12">
        <f>U156/IF(H156="L",35,IF(H156="U",35,IF(H156="O",35,IF(H156="I",35,""))))</f>
        <v/>
      </c>
      <c r="W156" s="132">
        <f>IF(AND(H156="L", V156&gt;=50%), "Pass",
IF(AND(H156="U", V156&gt;=60%), "Pass",
IF(AND(H156="O", V156&gt;=75%), "Pass", "Fail")))</f>
        <v/>
      </c>
      <c r="X156" s="132">
        <f>IF(AND(Q156="Pass", W156="Pass"), "Pass", "Fail")</f>
        <v/>
      </c>
      <c r="Y156" s="15">
        <f>IF($X156="Pass",$H156,
IF(H156="L","I",
IF(H156="U","L",
IF(H156="O","U",
"I"))))</f>
        <v/>
      </c>
    </row>
    <row r="157">
      <c r="A157" s="147">
        <f>ROW()-2</f>
        <v/>
      </c>
      <c r="B157" s="127" t="n">
        <v>900372</v>
      </c>
      <c r="C157" s="128" t="inlineStr">
        <is>
          <t>SUNDAR RAJ L</t>
        </is>
      </c>
      <c r="D157" s="127" t="inlineStr">
        <is>
          <t>PRODUCTION</t>
        </is>
      </c>
      <c r="E157" s="129" t="inlineStr">
        <is>
          <t>TYRE BUILDING-P1</t>
        </is>
      </c>
      <c r="F157" s="130" t="n">
        <v>41000</v>
      </c>
      <c r="G157" s="131">
        <f>NOW()-F157</f>
        <v/>
      </c>
      <c r="H157" s="104" t="inlineStr">
        <is>
          <t>O</t>
        </is>
      </c>
      <c r="I157" s="104" t="inlineStr">
        <is>
          <t>O</t>
        </is>
      </c>
      <c r="J157" s="104" t="n">
        <v>9</v>
      </c>
      <c r="K157" s="104" t="n">
        <v>10</v>
      </c>
      <c r="L157" s="104" t="n">
        <v>8</v>
      </c>
      <c r="M157" s="104" t="n">
        <v>8</v>
      </c>
      <c r="N157" s="104" t="n"/>
      <c r="O157" s="104">
        <f>SUM(J157:N157)</f>
        <v/>
      </c>
      <c r="P157" s="12">
        <f>O157/IF(H157="L",20,IF(H157="U",30,IF(H157="O",40,IF(H157="I",20,""))))</f>
        <v/>
      </c>
      <c r="Q157" s="132">
        <f>IF(AND(H157="L", P157&gt;=50%), "Pass",
IF(AND(H157="U", P157&gt;=60%), "Pass",
IF(AND(H157="O", P157&gt;=75%), "Pass", "Fail")))</f>
        <v/>
      </c>
      <c r="R157" s="104" t="n"/>
      <c r="S157" s="104" t="n">
        <v>16</v>
      </c>
      <c r="T157" s="104" t="n">
        <v>15</v>
      </c>
      <c r="U157" s="104">
        <f>SUM(S157:T157)</f>
        <v/>
      </c>
      <c r="V157" s="12">
        <f>U157/IF(H157="L",35,IF(H157="U",35,IF(H157="O",35,IF(H157="I",35,""))))</f>
        <v/>
      </c>
      <c r="W157" s="132">
        <f>IF(AND(H157="L", V157&gt;=50%), "Pass",
IF(AND(H157="U", V157&gt;=60%), "Pass",
IF(AND(H157="O", V157&gt;=75%), "Pass", "Fail")))</f>
        <v/>
      </c>
      <c r="X157" s="132">
        <f>IF(AND(Q157="Pass", W157="Pass"), "Pass", "Fail")</f>
        <v/>
      </c>
      <c r="Y157" s="15">
        <f>IF($X157="Pass",$H157,
IF(H157="L","I",
IF(H157="U","L",
IF(H157="O","U",
"I"))))</f>
        <v/>
      </c>
    </row>
    <row r="158">
      <c r="A158" s="147">
        <f>ROW()-2</f>
        <v/>
      </c>
      <c r="B158" s="127" t="n">
        <v>900373</v>
      </c>
      <c r="C158" s="128" t="inlineStr">
        <is>
          <t>RAJA RAMAN G</t>
        </is>
      </c>
      <c r="D158" s="127" t="inlineStr">
        <is>
          <t>PRODUCTION</t>
        </is>
      </c>
      <c r="E158" s="129" t="inlineStr">
        <is>
          <t>TYRE BUILDING-P1</t>
        </is>
      </c>
      <c r="F158" s="130" t="n">
        <v>41000</v>
      </c>
      <c r="G158" s="131">
        <f>NOW()-F158</f>
        <v/>
      </c>
      <c r="H158" s="104" t="inlineStr">
        <is>
          <t>O</t>
        </is>
      </c>
      <c r="I158" s="104" t="inlineStr">
        <is>
          <t>U</t>
        </is>
      </c>
      <c r="J158" s="104" t="n">
        <v>9</v>
      </c>
      <c r="K158" s="104" t="n">
        <v>9</v>
      </c>
      <c r="L158" s="104" t="n">
        <v>9</v>
      </c>
      <c r="M158" s="104" t="n">
        <v>8</v>
      </c>
      <c r="N158" s="104" t="n"/>
      <c r="O158" s="104">
        <f>SUM(J158:N158)</f>
        <v/>
      </c>
      <c r="P158" s="12">
        <f>O158/IF(H158="L",20,IF(H158="U",30,IF(H158="O",40,IF(H158="I",20,""))))</f>
        <v/>
      </c>
      <c r="Q158" s="132">
        <f>IF(AND(H158="L", P158&gt;=50%), "Pass",
IF(AND(H158="U", P158&gt;=60%), "Pass",
IF(AND(H158="O", P158&gt;=75%), "Pass", "Fail")))</f>
        <v/>
      </c>
      <c r="R158" s="104" t="n"/>
      <c r="S158" s="104" t="n">
        <v>14</v>
      </c>
      <c r="T158" s="104" t="n">
        <v>15</v>
      </c>
      <c r="U158" s="104">
        <f>SUM(S158:T158)</f>
        <v/>
      </c>
      <c r="V158" s="12">
        <f>U158/IF(H158="L",35,IF(H158="U",35,IF(H158="O",35,IF(H158="I",35,""))))</f>
        <v/>
      </c>
      <c r="W158" s="132">
        <f>IF(AND(H158="L", V158&gt;=50%), "Pass",
IF(AND(H158="U", V158&gt;=60%), "Pass",
IF(AND(H158="O", V158&gt;=75%), "Pass", "Fail")))</f>
        <v/>
      </c>
      <c r="X158" s="132">
        <f>IF(AND(Q158="Pass", W158="Pass"), "Pass", "Fail")</f>
        <v/>
      </c>
      <c r="Y158" s="15">
        <f>IF($X158="Pass",$H158,
IF(H158="L","I",
IF(H158="U","L",
IF(H158="O","U",
"I"))))</f>
        <v/>
      </c>
    </row>
    <row r="159">
      <c r="A159" s="147">
        <f>ROW()-2</f>
        <v/>
      </c>
      <c r="B159" s="127" t="n">
        <v>900374</v>
      </c>
      <c r="C159" s="128" t="inlineStr">
        <is>
          <t>CHELLADURAI E</t>
        </is>
      </c>
      <c r="D159" s="127" t="inlineStr">
        <is>
          <t>PRODUCTION</t>
        </is>
      </c>
      <c r="E159" s="129" t="inlineStr">
        <is>
          <t>TYRE BUILDING-P2</t>
        </is>
      </c>
      <c r="F159" s="130" t="n">
        <v>41000</v>
      </c>
      <c r="G159" s="131">
        <f>NOW()-F159</f>
        <v/>
      </c>
      <c r="H159" s="104" t="inlineStr">
        <is>
          <t>O</t>
        </is>
      </c>
      <c r="I159" s="104" t="inlineStr">
        <is>
          <t>O</t>
        </is>
      </c>
      <c r="J159" s="104" t="n">
        <v>10</v>
      </c>
      <c r="K159" s="104" t="n">
        <v>8</v>
      </c>
      <c r="L159" s="104" t="n">
        <v>6</v>
      </c>
      <c r="M159" s="104" t="n">
        <v>8</v>
      </c>
      <c r="N159" s="104" t="n"/>
      <c r="O159" s="104">
        <f>SUM(J159:N159)</f>
        <v/>
      </c>
      <c r="P159" s="12">
        <f>O159/IF(H159="L",20,IF(H159="U",30,IF(H159="O",40,IF(H159="I",20,""))))</f>
        <v/>
      </c>
      <c r="Q159" s="132">
        <f>IF(AND(H159="L", P159&gt;=50%), "Pass",
IF(AND(H159="U", P159&gt;=60%), "Pass",
IF(AND(H159="O", P159&gt;=75%), "Pass", "Fail")))</f>
        <v/>
      </c>
      <c r="R159" s="104" t="n"/>
      <c r="S159" s="104" t="n">
        <v>14</v>
      </c>
      <c r="T159" s="104" t="n">
        <v>11</v>
      </c>
      <c r="U159" s="104">
        <f>SUM(S159:T159)</f>
        <v/>
      </c>
      <c r="V159" s="12">
        <f>U159/IF(H159="L",35,IF(H159="U",35,IF(H159="O",35,IF(H159="I",35,""))))</f>
        <v/>
      </c>
      <c r="W159" s="132">
        <f>IF(AND(H159="L", V159&gt;=50%), "Pass",
IF(AND(H159="U", V159&gt;=60%), "Pass",
IF(AND(H159="O", V159&gt;=75%), "Pass", "Fail")))</f>
        <v/>
      </c>
      <c r="X159" s="132">
        <f>IF(AND(Q159="Pass", W159="Pass"), "Pass", "Fail")</f>
        <v/>
      </c>
      <c r="Y159" s="15">
        <f>IF($X159="Pass",$H159,
IF(H159="L","I",
IF(H159="U","L",
IF(H159="O","U",
"I"))))</f>
        <v/>
      </c>
    </row>
    <row r="160">
      <c r="A160" s="147">
        <f>ROW()-2</f>
        <v/>
      </c>
      <c r="B160" s="127" t="n">
        <v>900375</v>
      </c>
      <c r="C160" s="128" t="inlineStr">
        <is>
          <t>SUDALAI MANI N</t>
        </is>
      </c>
      <c r="D160" s="127" t="inlineStr">
        <is>
          <t>PRODUCTION</t>
        </is>
      </c>
      <c r="E160" s="129" t="inlineStr">
        <is>
          <t>TYRE BUILDING-P1</t>
        </is>
      </c>
      <c r="F160" s="130" t="n">
        <v>41000</v>
      </c>
      <c r="G160" s="131">
        <f>NOW()-F160</f>
        <v/>
      </c>
      <c r="H160" s="104" t="inlineStr">
        <is>
          <t>O</t>
        </is>
      </c>
      <c r="I160" s="104" t="inlineStr">
        <is>
          <t>O</t>
        </is>
      </c>
      <c r="J160" s="104" t="n">
        <v>9</v>
      </c>
      <c r="K160" s="104" t="n">
        <v>10</v>
      </c>
      <c r="L160" s="104" t="n">
        <v>8</v>
      </c>
      <c r="M160" s="104" t="n">
        <v>8</v>
      </c>
      <c r="N160" s="104" t="n"/>
      <c r="O160" s="104">
        <f>SUM(J160:N160)</f>
        <v/>
      </c>
      <c r="P160" s="12">
        <f>O160/IF(H160="L",20,IF(H160="U",30,IF(H160="O",40,IF(H160="I",20,""))))</f>
        <v/>
      </c>
      <c r="Q160" s="132">
        <f>IF(AND(H160="L", P160&gt;=50%), "Pass",
IF(AND(H160="U", P160&gt;=60%), "Pass",
IF(AND(H160="O", P160&gt;=75%), "Pass", "Fail")))</f>
        <v/>
      </c>
      <c r="R160" s="104" t="n"/>
      <c r="S160" s="104" t="n">
        <v>15</v>
      </c>
      <c r="T160" s="104" t="n">
        <v>15</v>
      </c>
      <c r="U160" s="104">
        <f>SUM(S160:T160)</f>
        <v/>
      </c>
      <c r="V160" s="12">
        <f>U160/IF(H160="L",35,IF(H160="U",35,IF(H160="O",35,IF(H160="I",35,""))))</f>
        <v/>
      </c>
      <c r="W160" s="132">
        <f>IF(AND(H160="L", V160&gt;=50%), "Pass",
IF(AND(H160="U", V160&gt;=60%), "Pass",
IF(AND(H160="O", V160&gt;=75%), "Pass", "Fail")))</f>
        <v/>
      </c>
      <c r="X160" s="132">
        <f>IF(AND(Q160="Pass", W160="Pass"), "Pass", "Fail")</f>
        <v/>
      </c>
      <c r="Y160" s="15">
        <f>IF($X160="Pass",$H160,
IF(H160="L","I",
IF(H160="U","L",
IF(H160="O","U",
"I"))))</f>
        <v/>
      </c>
    </row>
    <row r="161">
      <c r="A161" s="147">
        <f>ROW()-2</f>
        <v/>
      </c>
      <c r="B161" s="127" t="n">
        <v>900376</v>
      </c>
      <c r="C161" s="128" t="inlineStr">
        <is>
          <t>LAKSHMANAN S</t>
        </is>
      </c>
      <c r="D161" s="127" t="inlineStr">
        <is>
          <t>PRODUCTION</t>
        </is>
      </c>
      <c r="E161" s="129" t="inlineStr">
        <is>
          <t>TYRE BUILDING-P2</t>
        </is>
      </c>
      <c r="F161" s="130" t="n">
        <v>41000</v>
      </c>
      <c r="G161" s="131">
        <f>NOW()-F161</f>
        <v/>
      </c>
      <c r="H161" s="104" t="inlineStr">
        <is>
          <t>O</t>
        </is>
      </c>
      <c r="I161" s="104" t="inlineStr">
        <is>
          <t>U</t>
        </is>
      </c>
      <c r="J161" s="104" t="n">
        <v>10</v>
      </c>
      <c r="K161" s="104" t="n">
        <v>9</v>
      </c>
      <c r="L161" s="104" t="n">
        <v>8</v>
      </c>
      <c r="M161" s="104" t="n">
        <v>9</v>
      </c>
      <c r="N161" s="104" t="n"/>
      <c r="O161" s="104">
        <f>SUM(J161:N161)</f>
        <v/>
      </c>
      <c r="P161" s="12">
        <f>O161/IF(H161="L",20,IF(H161="U",30,IF(H161="O",40,IF(H161="I",20,""))))</f>
        <v/>
      </c>
      <c r="Q161" s="132">
        <f>IF(AND(H161="L", P161&gt;=50%), "Pass",
IF(AND(H161="U", P161&gt;=60%), "Pass",
IF(AND(H161="O", P161&gt;=75%), "Pass", "Fail")))</f>
        <v/>
      </c>
      <c r="R161" s="104" t="n"/>
      <c r="S161" s="104" t="n">
        <v>12</v>
      </c>
      <c r="T161" s="104" t="n">
        <v>11</v>
      </c>
      <c r="U161" s="104">
        <f>SUM(S161:T161)</f>
        <v/>
      </c>
      <c r="V161" s="12">
        <f>U161/IF(H161="L",35,IF(H161="U",35,IF(H161="O",35,IF(H161="I",35,""))))</f>
        <v/>
      </c>
      <c r="W161" s="132">
        <f>IF(AND(H161="L", V161&gt;=50%), "Pass",
IF(AND(H161="U", V161&gt;=60%), "Pass",
IF(AND(H161="O", V161&gt;=75%), "Pass", "Fail")))</f>
        <v/>
      </c>
      <c r="X161" s="132">
        <f>IF(AND(Q161="Pass", W161="Pass"), "Pass", "Fail")</f>
        <v/>
      </c>
      <c r="Y161" s="15">
        <f>IF($X161="Pass",$H161,
IF(H161="L","I",
IF(H161="U","L",
IF(H161="O","U",
"I"))))</f>
        <v/>
      </c>
    </row>
    <row r="162">
      <c r="A162" s="147">
        <f>ROW()-2</f>
        <v/>
      </c>
      <c r="B162" s="127" t="n">
        <v>900377</v>
      </c>
      <c r="C162" s="128" t="inlineStr">
        <is>
          <t>MICHAEL RAJ P</t>
        </is>
      </c>
      <c r="D162" s="127" t="inlineStr">
        <is>
          <t>PRODUCTION</t>
        </is>
      </c>
      <c r="E162" s="129" t="inlineStr">
        <is>
          <t>TYRE BUILDING-P1</t>
        </is>
      </c>
      <c r="F162" s="130" t="n">
        <v>41000</v>
      </c>
      <c r="G162" s="131">
        <f>NOW()-F162</f>
        <v/>
      </c>
      <c r="H162" s="104" t="inlineStr">
        <is>
          <t>O</t>
        </is>
      </c>
      <c r="I162" s="104" t="inlineStr">
        <is>
          <t>O</t>
        </is>
      </c>
      <c r="J162" s="104" t="n">
        <v>10</v>
      </c>
      <c r="K162" s="104" t="n">
        <v>10</v>
      </c>
      <c r="L162" s="104" t="n">
        <v>8</v>
      </c>
      <c r="M162" s="104" t="n">
        <v>9</v>
      </c>
      <c r="N162" s="104" t="n"/>
      <c r="O162" s="104">
        <f>SUM(J162:N162)</f>
        <v/>
      </c>
      <c r="P162" s="12">
        <f>O162/IF(H162="L",20,IF(H162="U",30,IF(H162="O",40,IF(H162="I",20,""))))</f>
        <v/>
      </c>
      <c r="Q162" s="132">
        <f>IF(AND(H162="L", P162&gt;=50%), "Pass",
IF(AND(H162="U", P162&gt;=60%), "Pass",
IF(AND(H162="O", P162&gt;=75%), "Pass", "Fail")))</f>
        <v/>
      </c>
      <c r="R162" s="104" t="n"/>
      <c r="S162" s="104" t="n">
        <v>16</v>
      </c>
      <c r="T162" s="104" t="n">
        <v>15</v>
      </c>
      <c r="U162" s="104">
        <f>SUM(S162:T162)</f>
        <v/>
      </c>
      <c r="V162" s="12">
        <f>U162/IF(H162="L",35,IF(H162="U",35,IF(H162="O",35,IF(H162="I",35,""))))</f>
        <v/>
      </c>
      <c r="W162" s="132">
        <f>IF(AND(H162="L", V162&gt;=50%), "Pass",
IF(AND(H162="U", V162&gt;=60%), "Pass",
IF(AND(H162="O", V162&gt;=75%), "Pass", "Fail")))</f>
        <v/>
      </c>
      <c r="X162" s="132">
        <f>IF(AND(Q162="Pass", W162="Pass"), "Pass", "Fail")</f>
        <v/>
      </c>
      <c r="Y162" s="15">
        <f>IF($X162="Pass",$H162,
IF(H162="L","I",
IF(H162="U","L",
IF(H162="O","U",
"I"))))</f>
        <v/>
      </c>
    </row>
    <row r="163">
      <c r="A163" s="147">
        <f>ROW()-2</f>
        <v/>
      </c>
      <c r="B163" s="127" t="n">
        <v>900378</v>
      </c>
      <c r="C163" s="128" t="inlineStr">
        <is>
          <t>SHANMUGA VEL M</t>
        </is>
      </c>
      <c r="D163" s="127" t="inlineStr">
        <is>
          <t>PRODUCTION</t>
        </is>
      </c>
      <c r="E163" s="129" t="inlineStr">
        <is>
          <t>TYRE BUILDING-P1</t>
        </is>
      </c>
      <c r="F163" s="130" t="n">
        <v>41000</v>
      </c>
      <c r="G163" s="131">
        <f>NOW()-F163</f>
        <v/>
      </c>
      <c r="H163" s="104" t="inlineStr">
        <is>
          <t>O</t>
        </is>
      </c>
      <c r="I163" s="104" t="inlineStr">
        <is>
          <t>O</t>
        </is>
      </c>
      <c r="J163" s="104" t="n">
        <v>10</v>
      </c>
      <c r="K163" s="104" t="n">
        <v>9</v>
      </c>
      <c r="L163" s="104" t="n">
        <v>9</v>
      </c>
      <c r="M163" s="104" t="n">
        <v>5</v>
      </c>
      <c r="N163" s="104" t="n"/>
      <c r="O163" s="104">
        <f>SUM(J163:N163)</f>
        <v/>
      </c>
      <c r="P163" s="12">
        <f>O163/IF(H163="L",20,IF(H163="U",30,IF(H163="O",40,IF(H163="I",20,""))))</f>
        <v/>
      </c>
      <c r="Q163" s="132">
        <f>IF(AND(H163="L", P163&gt;=50%), "Pass",
IF(AND(H163="U", P163&gt;=60%), "Pass",
IF(AND(H163="O", P163&gt;=75%), "Pass", "Fail")))</f>
        <v/>
      </c>
      <c r="R163" s="104" t="n"/>
      <c r="S163" s="104" t="n">
        <v>15</v>
      </c>
      <c r="T163" s="104" t="n">
        <v>15</v>
      </c>
      <c r="U163" s="104">
        <f>SUM(S163:T163)</f>
        <v/>
      </c>
      <c r="V163" s="12">
        <f>U163/IF(H163="L",35,IF(H163="U",35,IF(H163="O",35,IF(H163="I",35,""))))</f>
        <v/>
      </c>
      <c r="W163" s="132">
        <f>IF(AND(H163="L", V163&gt;=50%), "Pass",
IF(AND(H163="U", V163&gt;=60%), "Pass",
IF(AND(H163="O", V163&gt;=75%), "Pass", "Fail")))</f>
        <v/>
      </c>
      <c r="X163" s="132">
        <f>IF(AND(Q163="Pass", W163="Pass"), "Pass", "Fail")</f>
        <v/>
      </c>
      <c r="Y163" s="15">
        <f>IF($X163="Pass",$H163,
IF(H163="L","I",
IF(H163="U","L",
IF(H163="O","U",
"I"))))</f>
        <v/>
      </c>
    </row>
    <row r="164">
      <c r="A164" s="147">
        <f>ROW()-2</f>
        <v/>
      </c>
      <c r="B164" s="127" t="n">
        <v>900379</v>
      </c>
      <c r="C164" s="128" t="inlineStr">
        <is>
          <t>SELVA SANKAR E</t>
        </is>
      </c>
      <c r="D164" s="127" t="inlineStr">
        <is>
          <t>PRODUCTION</t>
        </is>
      </c>
      <c r="E164" s="129" t="inlineStr">
        <is>
          <t>TYRE BUILDING-P1</t>
        </is>
      </c>
      <c r="F164" s="130" t="n">
        <v>41000</v>
      </c>
      <c r="G164" s="131">
        <f>NOW()-F164</f>
        <v/>
      </c>
      <c r="H164" s="104" t="inlineStr">
        <is>
          <t>O</t>
        </is>
      </c>
      <c r="I164" s="104" t="inlineStr">
        <is>
          <t>O</t>
        </is>
      </c>
      <c r="J164" s="104" t="n">
        <v>10</v>
      </c>
      <c r="K164" s="104" t="n">
        <v>9</v>
      </c>
      <c r="L164" s="104" t="n">
        <v>8</v>
      </c>
      <c r="M164" s="104" t="n">
        <v>10</v>
      </c>
      <c r="N164" s="104" t="n"/>
      <c r="O164" s="104">
        <f>SUM(J164:N164)</f>
        <v/>
      </c>
      <c r="P164" s="12">
        <f>O164/IF(H164="L",20,IF(H164="U",30,IF(H164="O",40,IF(H164="I",20,""))))</f>
        <v/>
      </c>
      <c r="Q164" s="132">
        <f>IF(AND(H164="L", P164&gt;=50%), "Pass",
IF(AND(H164="U", P164&gt;=60%), "Pass",
IF(AND(H164="O", P164&gt;=75%), "Pass", "Fail")))</f>
        <v/>
      </c>
      <c r="R164" s="104" t="n"/>
      <c r="S164" s="104" t="n">
        <v>15</v>
      </c>
      <c r="T164" s="104" t="n">
        <v>15</v>
      </c>
      <c r="U164" s="104">
        <f>SUM(S164:T164)</f>
        <v/>
      </c>
      <c r="V164" s="12">
        <f>U164/IF(H164="L",35,IF(H164="U",35,IF(H164="O",35,IF(H164="I",35,""))))</f>
        <v/>
      </c>
      <c r="W164" s="132">
        <f>IF(AND(H164="L", V164&gt;=50%), "Pass",
IF(AND(H164="U", V164&gt;=60%), "Pass",
IF(AND(H164="O", V164&gt;=75%), "Pass", "Fail")))</f>
        <v/>
      </c>
      <c r="X164" s="132">
        <f>IF(AND(Q164="Pass", W164="Pass"), "Pass", "Fail")</f>
        <v/>
      </c>
      <c r="Y164" s="15">
        <f>IF($X164="Pass",$H164,
IF(H164="L","I",
IF(H164="U","L",
IF(H164="O","U",
"I"))))</f>
        <v/>
      </c>
    </row>
    <row r="165">
      <c r="A165" s="147">
        <f>ROW()-2</f>
        <v/>
      </c>
      <c r="B165" s="127" t="n">
        <v>900380</v>
      </c>
      <c r="C165" s="128" t="inlineStr">
        <is>
          <t>RAMESH K</t>
        </is>
      </c>
      <c r="D165" s="127" t="inlineStr">
        <is>
          <t>PRODUCTION</t>
        </is>
      </c>
      <c r="E165" s="129" t="inlineStr">
        <is>
          <t>TYRE BUILDING-P1</t>
        </is>
      </c>
      <c r="F165" s="130" t="n">
        <v>41000</v>
      </c>
      <c r="G165" s="131">
        <f>NOW()-F165</f>
        <v/>
      </c>
      <c r="H165" s="104" t="inlineStr">
        <is>
          <t>O</t>
        </is>
      </c>
      <c r="I165" s="104" t="inlineStr">
        <is>
          <t>O</t>
        </is>
      </c>
      <c r="J165" s="104" t="n">
        <v>10</v>
      </c>
      <c r="K165" s="104" t="n">
        <v>9</v>
      </c>
      <c r="L165" s="104" t="n">
        <v>8</v>
      </c>
      <c r="M165" s="104" t="n">
        <v>9</v>
      </c>
      <c r="N165" s="104" t="n"/>
      <c r="O165" s="104">
        <f>SUM(J165:N165)</f>
        <v/>
      </c>
      <c r="P165" s="12">
        <f>O165/IF(H165="L",20,IF(H165="U",30,IF(H165="O",40,IF(H165="I",20,""))))</f>
        <v/>
      </c>
      <c r="Q165" s="132">
        <f>IF(AND(H165="L", P165&gt;=50%), "Pass",
IF(AND(H165="U", P165&gt;=60%), "Pass",
IF(AND(H165="O", P165&gt;=75%), "Pass", "Fail")))</f>
        <v/>
      </c>
      <c r="R165" s="104" t="n"/>
      <c r="S165" s="104" t="n">
        <v>14</v>
      </c>
      <c r="T165" s="104" t="n">
        <v>15</v>
      </c>
      <c r="U165" s="104">
        <f>SUM(S165:T165)</f>
        <v/>
      </c>
      <c r="V165" s="12">
        <f>U165/IF(H165="L",35,IF(H165="U",35,IF(H165="O",35,IF(H165="I",35,""))))</f>
        <v/>
      </c>
      <c r="W165" s="132">
        <f>IF(AND(H165="L", V165&gt;=50%), "Pass",
IF(AND(H165="U", V165&gt;=60%), "Pass",
IF(AND(H165="O", V165&gt;=75%), "Pass", "Fail")))</f>
        <v/>
      </c>
      <c r="X165" s="132">
        <f>IF(AND(Q165="Pass", W165="Pass"), "Pass", "Fail")</f>
        <v/>
      </c>
      <c r="Y165" s="15">
        <f>IF($X165="Pass",$H165,
IF(H165="L","I",
IF(H165="U","L",
IF(H165="O","U",
"I"))))</f>
        <v/>
      </c>
    </row>
    <row r="166">
      <c r="A166" s="147">
        <f>ROW()-2</f>
        <v/>
      </c>
      <c r="B166" s="127" t="n">
        <v>900381</v>
      </c>
      <c r="C166" s="128" t="inlineStr">
        <is>
          <t>KANDHASAMY A</t>
        </is>
      </c>
      <c r="D166" s="127" t="inlineStr">
        <is>
          <t>PRODUCTION</t>
        </is>
      </c>
      <c r="E166" s="129" t="inlineStr">
        <is>
          <t>TYRE BUILDING-P1</t>
        </is>
      </c>
      <c r="F166" s="130" t="n">
        <v>41000</v>
      </c>
      <c r="G166" s="131">
        <f>NOW()-F166</f>
        <v/>
      </c>
      <c r="H166" s="104" t="inlineStr">
        <is>
          <t>O</t>
        </is>
      </c>
      <c r="I166" s="104" t="inlineStr">
        <is>
          <t>O</t>
        </is>
      </c>
      <c r="J166" s="104" t="n">
        <v>9</v>
      </c>
      <c r="K166" s="104" t="n">
        <v>10</v>
      </c>
      <c r="L166" s="104" t="n">
        <v>8</v>
      </c>
      <c r="M166" s="104" t="n">
        <v>10</v>
      </c>
      <c r="N166" s="104" t="n"/>
      <c r="O166" s="104">
        <f>SUM(J166:N166)</f>
        <v/>
      </c>
      <c r="P166" s="12">
        <f>O166/IF(H166="L",20,IF(H166="U",30,IF(H166="O",40,IF(H166="I",20,""))))</f>
        <v/>
      </c>
      <c r="Q166" s="132">
        <f>IF(AND(H166="L", P166&gt;=50%), "Pass",
IF(AND(H166="U", P166&gt;=60%), "Pass",
IF(AND(H166="O", P166&gt;=75%), "Pass", "Fail")))</f>
        <v/>
      </c>
      <c r="R166" s="104" t="n"/>
      <c r="S166" s="104" t="n">
        <v>14</v>
      </c>
      <c r="T166" s="104" t="n">
        <v>15</v>
      </c>
      <c r="U166" s="104">
        <f>SUM(S166:T166)</f>
        <v/>
      </c>
      <c r="V166" s="12">
        <f>U166/IF(H166="L",35,IF(H166="U",35,IF(H166="O",35,IF(H166="I",35,""))))</f>
        <v/>
      </c>
      <c r="W166" s="132">
        <f>IF(AND(H166="L", V166&gt;=50%), "Pass",
IF(AND(H166="U", V166&gt;=60%), "Pass",
IF(AND(H166="O", V166&gt;=75%), "Pass", "Fail")))</f>
        <v/>
      </c>
      <c r="X166" s="132">
        <f>IF(AND(Q166="Pass", W166="Pass"), "Pass", "Fail")</f>
        <v/>
      </c>
      <c r="Y166" s="15">
        <f>IF($X166="Pass",$H166,
IF(H166="L","I",
IF(H166="U","L",
IF(H166="O","U",
"I"))))</f>
        <v/>
      </c>
    </row>
    <row r="167">
      <c r="A167" s="147">
        <f>ROW()-2</f>
        <v/>
      </c>
      <c r="B167" s="127" t="n">
        <v>900383</v>
      </c>
      <c r="C167" s="128" t="inlineStr">
        <is>
          <t>GANESA PERUMAL K</t>
        </is>
      </c>
      <c r="D167" s="127" t="inlineStr">
        <is>
          <t>PRODUCTION</t>
        </is>
      </c>
      <c r="E167" s="129" t="inlineStr">
        <is>
          <t>TYRE BUILDING-P2</t>
        </is>
      </c>
      <c r="F167" s="130" t="n">
        <v>41000</v>
      </c>
      <c r="G167" s="131">
        <f>NOW()-F167</f>
        <v/>
      </c>
      <c r="H167" s="104" t="inlineStr">
        <is>
          <t>O</t>
        </is>
      </c>
      <c r="I167" s="104" t="inlineStr">
        <is>
          <t>O</t>
        </is>
      </c>
      <c r="J167" s="104" t="n">
        <v>10</v>
      </c>
      <c r="K167" s="104" t="n">
        <v>10</v>
      </c>
      <c r="L167" s="104" t="n">
        <v>8</v>
      </c>
      <c r="M167" s="104" t="n">
        <v>9</v>
      </c>
      <c r="N167" s="104" t="n"/>
      <c r="O167" s="104">
        <f>SUM(J167:N167)</f>
        <v/>
      </c>
      <c r="P167" s="12">
        <f>O167/IF(H167="L",20,IF(H167="U",30,IF(H167="O",40,IF(H167="I",20,""))))</f>
        <v/>
      </c>
      <c r="Q167" s="132">
        <f>IF(AND(H167="L", P167&gt;=50%), "Pass",
IF(AND(H167="U", P167&gt;=60%), "Pass",
IF(AND(H167="O", P167&gt;=75%), "Pass", "Fail")))</f>
        <v/>
      </c>
      <c r="R167" s="104" t="n"/>
      <c r="S167" s="104" t="n">
        <v>14</v>
      </c>
      <c r="T167" s="104" t="n">
        <v>11</v>
      </c>
      <c r="U167" s="104">
        <f>SUM(S167:T167)</f>
        <v/>
      </c>
      <c r="V167" s="12">
        <f>U167/IF(H167="L",35,IF(H167="U",35,IF(H167="O",35,IF(H167="I",35,""))))</f>
        <v/>
      </c>
      <c r="W167" s="132">
        <f>IF(AND(H167="L", V167&gt;=50%), "Pass",
IF(AND(H167="U", V167&gt;=60%), "Pass",
IF(AND(H167="O", V167&gt;=75%), "Pass", "Fail")))</f>
        <v/>
      </c>
      <c r="X167" s="132">
        <f>IF(AND(Q167="Pass", W167="Pass"), "Pass", "Fail")</f>
        <v/>
      </c>
      <c r="Y167" s="15">
        <f>IF($X167="Pass",$H167,
IF(H167="L","I",
IF(H167="U","L",
IF(H167="O","U",
"I"))))</f>
        <v/>
      </c>
    </row>
    <row r="168">
      <c r="A168" s="147">
        <f>ROW()-2</f>
        <v/>
      </c>
      <c r="B168" s="127" t="n">
        <v>900384</v>
      </c>
      <c r="C168" s="128" t="inlineStr">
        <is>
          <t>MURUGAN C</t>
        </is>
      </c>
      <c r="D168" s="127" t="inlineStr">
        <is>
          <t>PRODUCTION</t>
        </is>
      </c>
      <c r="E168" s="129" t="inlineStr">
        <is>
          <t>TYRE BUILDING-P1</t>
        </is>
      </c>
      <c r="F168" s="130" t="n">
        <v>41000</v>
      </c>
      <c r="G168" s="131">
        <f>NOW()-F168</f>
        <v/>
      </c>
      <c r="H168" s="104" t="inlineStr">
        <is>
          <t>O</t>
        </is>
      </c>
      <c r="I168" s="104" t="inlineStr">
        <is>
          <t>O</t>
        </is>
      </c>
      <c r="J168" s="104" t="n">
        <v>9</v>
      </c>
      <c r="K168" s="104" t="n">
        <v>9</v>
      </c>
      <c r="L168" s="104" t="n">
        <v>9</v>
      </c>
      <c r="M168" s="104" t="n">
        <v>7</v>
      </c>
      <c r="N168" s="104" t="n"/>
      <c r="O168" s="104">
        <f>SUM(J168:N168)</f>
        <v/>
      </c>
      <c r="P168" s="12">
        <f>O168/IF(H168="L",20,IF(H168="U",30,IF(H168="O",40,IF(H168="I",20,""))))</f>
        <v/>
      </c>
      <c r="Q168" s="132">
        <f>IF(AND(H168="L", P168&gt;=50%), "Pass",
IF(AND(H168="U", P168&gt;=60%), "Pass",
IF(AND(H168="O", P168&gt;=75%), "Pass", "Fail")))</f>
        <v/>
      </c>
      <c r="R168" s="104" t="n"/>
      <c r="S168" s="104" t="n">
        <v>17</v>
      </c>
      <c r="T168" s="104" t="n">
        <v>15</v>
      </c>
      <c r="U168" s="104">
        <f>SUM(S168:T168)</f>
        <v/>
      </c>
      <c r="V168" s="12">
        <f>U168/IF(H168="L",35,IF(H168="U",35,IF(H168="O",35,IF(H168="I",35,""))))</f>
        <v/>
      </c>
      <c r="W168" s="132">
        <f>IF(AND(H168="L", V168&gt;=50%), "Pass",
IF(AND(H168="U", V168&gt;=60%), "Pass",
IF(AND(H168="O", V168&gt;=75%), "Pass", "Fail")))</f>
        <v/>
      </c>
      <c r="X168" s="132">
        <f>IF(AND(Q168="Pass", W168="Pass"), "Pass", "Fail")</f>
        <v/>
      </c>
      <c r="Y168" s="15">
        <f>IF($X168="Pass",$H168,
IF(H168="L","I",
IF(H168="U","L",
IF(H168="O","U",
"I"))))</f>
        <v/>
      </c>
    </row>
    <row r="169">
      <c r="A169" s="147">
        <f>ROW()-2</f>
        <v/>
      </c>
      <c r="B169" s="127" t="n">
        <v>900385</v>
      </c>
      <c r="C169" s="141" t="inlineStr">
        <is>
          <t>SIVA RAMAN K</t>
        </is>
      </c>
      <c r="D169" s="127" t="inlineStr">
        <is>
          <t>PRODUCTION</t>
        </is>
      </c>
      <c r="E169" s="129" t="inlineStr">
        <is>
          <t>TYRE BUILDING-P2</t>
        </is>
      </c>
      <c r="F169" s="130" t="n">
        <v>41000</v>
      </c>
      <c r="G169" s="131">
        <f>NOW()-F169</f>
        <v/>
      </c>
      <c r="H169" s="104" t="inlineStr">
        <is>
          <t>O</t>
        </is>
      </c>
      <c r="I169" s="104" t="inlineStr">
        <is>
          <t>O</t>
        </is>
      </c>
      <c r="J169" s="104" t="n">
        <v>7</v>
      </c>
      <c r="K169" s="104" t="n">
        <v>8</v>
      </c>
      <c r="L169" s="104" t="n">
        <v>8</v>
      </c>
      <c r="M169" s="104" t="n">
        <v>6</v>
      </c>
      <c r="N169" s="104" t="n"/>
      <c r="O169" s="104">
        <f>SUM(J169:N169)</f>
        <v/>
      </c>
      <c r="P169" s="12">
        <f>O169/IF(H169="L",20,IF(H169="U",30,IF(H169="O",40,IF(H169="I",20,""))))</f>
        <v/>
      </c>
      <c r="Q169" s="132">
        <f>IF(AND(H169="L", P169&gt;=50%), "Pass",
IF(AND(H169="U", P169&gt;=60%), "Pass",
IF(AND(H169="O", P169&gt;=75%), "Pass", "Fail")))</f>
        <v/>
      </c>
      <c r="R169" s="104" t="n"/>
      <c r="S169" s="104" t="n">
        <v>12</v>
      </c>
      <c r="T169" s="104" t="n">
        <v>11</v>
      </c>
      <c r="U169" s="104">
        <f>SUM(S169:T169)</f>
        <v/>
      </c>
      <c r="V169" s="12">
        <f>U169/IF(H169="L",35,IF(H169="U",35,IF(H169="O",35,IF(H169="I",35,""))))</f>
        <v/>
      </c>
      <c r="W169" s="132">
        <f>IF(AND(H169="L", V169&gt;=50%), "Pass",
IF(AND(H169="U", V169&gt;=60%), "Pass",
IF(AND(H169="O", V169&gt;=75%), "Pass", "Fail")))</f>
        <v/>
      </c>
      <c r="X169" s="132">
        <f>IF(AND(Q169="Pass", W169="Pass"), "Pass", "Fail")</f>
        <v/>
      </c>
      <c r="Y169" s="15">
        <f>IF($X169="Pass",$H169,
IF(H169="L","I",
IF(H169="U","L",
IF(H169="O","U",
"I"))))</f>
        <v/>
      </c>
    </row>
    <row r="170">
      <c r="A170" s="147">
        <f>ROW()-2</f>
        <v/>
      </c>
      <c r="B170" s="127" t="n">
        <v>900386</v>
      </c>
      <c r="C170" s="128" t="inlineStr">
        <is>
          <t>KALI DOSS S</t>
        </is>
      </c>
      <c r="D170" s="127" t="inlineStr">
        <is>
          <t>PRODUCTION</t>
        </is>
      </c>
      <c r="E170" s="129" t="inlineStr">
        <is>
          <t>TYRE BUILDING-P3</t>
        </is>
      </c>
      <c r="F170" s="130" t="n">
        <v>41000</v>
      </c>
      <c r="G170" s="131">
        <f>NOW()-F170</f>
        <v/>
      </c>
      <c r="H170" s="104" t="inlineStr">
        <is>
          <t>O</t>
        </is>
      </c>
      <c r="I170" s="104" t="inlineStr">
        <is>
          <t>O</t>
        </is>
      </c>
      <c r="J170" s="104" t="n">
        <v>10</v>
      </c>
      <c r="K170" s="104" t="n">
        <v>8</v>
      </c>
      <c r="L170" s="104" t="n">
        <v>8</v>
      </c>
      <c r="M170" s="104" t="n">
        <v>9</v>
      </c>
      <c r="N170" s="104" t="n"/>
      <c r="O170" s="104">
        <f>SUM(J170:N170)</f>
        <v/>
      </c>
      <c r="P170" s="12">
        <f>O170/IF(H170="L",20,IF(H170="U",30,IF(H170="O",40,IF(H170="I",20,""))))</f>
        <v/>
      </c>
      <c r="Q170" s="132">
        <f>IF(AND(H170="L", P170&gt;=50%), "Pass",
IF(AND(H170="U", P170&gt;=60%), "Pass",
IF(AND(H170="O", P170&gt;=75%), "Pass", "Fail")))</f>
        <v/>
      </c>
      <c r="R170" s="104" t="n"/>
      <c r="S170" s="43" t="n">
        <v>20</v>
      </c>
      <c r="T170" s="43" t="n">
        <v>14</v>
      </c>
      <c r="U170" s="104">
        <f>SUM(S170:T170)</f>
        <v/>
      </c>
      <c r="V170" s="12">
        <f>U170/IF(H170="L",35,IF(H170="U",35,IF(H170="O",35,IF(H170="I",35,""))))</f>
        <v/>
      </c>
      <c r="W170" s="132">
        <f>IF(AND(H170="L", V170&gt;=50%), "Pass",
IF(AND(H170="U", V170&gt;=60%), "Pass",
IF(AND(H170="O", V170&gt;=75%), "Pass", "Fail")))</f>
        <v/>
      </c>
      <c r="X170" s="132">
        <f>IF(AND(Q170="Pass", W170="Pass"), "Pass", "Fail")</f>
        <v/>
      </c>
      <c r="Y170" s="15">
        <f>IF($X170="Pass",$H170,
IF(H170="L","I",
IF(H170="U","L",
IF(H170="O","U",
"I"))))</f>
        <v/>
      </c>
    </row>
    <row r="171">
      <c r="A171" s="147">
        <f>ROW()-2</f>
        <v/>
      </c>
      <c r="B171" s="127" t="n">
        <v>900387</v>
      </c>
      <c r="C171" s="128" t="inlineStr">
        <is>
          <t>MUKESH KUMAR</t>
        </is>
      </c>
      <c r="D171" s="127" t="inlineStr">
        <is>
          <t>PRODUCTION</t>
        </is>
      </c>
      <c r="E171" s="129" t="inlineStr">
        <is>
          <t>TYRE BUILDING-P3</t>
        </is>
      </c>
      <c r="F171" s="130" t="n">
        <v>41000</v>
      </c>
      <c r="G171" s="131">
        <f>NOW()-F171</f>
        <v/>
      </c>
      <c r="H171" s="104" t="inlineStr">
        <is>
          <t>O</t>
        </is>
      </c>
      <c r="I171" s="104" t="inlineStr">
        <is>
          <t>U</t>
        </is>
      </c>
      <c r="J171" s="104" t="n">
        <v>8</v>
      </c>
      <c r="K171" s="104" t="n">
        <v>8</v>
      </c>
      <c r="L171" s="104" t="n">
        <v>4</v>
      </c>
      <c r="M171" s="104" t="n">
        <v>5</v>
      </c>
      <c r="N171" s="104" t="n"/>
      <c r="O171" s="104">
        <f>SUM(J171:N171)</f>
        <v/>
      </c>
      <c r="P171" s="12">
        <f>O171/IF(H171="L",20,IF(H171="U",30,IF(H171="O",40,IF(H171="I",20,""))))</f>
        <v/>
      </c>
      <c r="Q171" s="132">
        <f>IF(AND(H171="L", P171&gt;=50%), "Pass",
IF(AND(H171="U", P171&gt;=60%), "Pass",
IF(AND(H171="O", P171&gt;=75%), "Pass", "Fail")))</f>
        <v/>
      </c>
      <c r="R171" s="104" t="n"/>
      <c r="S171" s="104" t="n">
        <v>18</v>
      </c>
      <c r="T171" s="104" t="n">
        <v>15</v>
      </c>
      <c r="U171" s="104">
        <f>SUM(S171:T171)</f>
        <v/>
      </c>
      <c r="V171" s="12">
        <f>U171/IF(H171="L",35,IF(H171="U",35,IF(H171="O",35,IF(H171="I",35,""))))</f>
        <v/>
      </c>
      <c r="W171" s="132">
        <f>IF(AND(H171="L", V171&gt;=50%), "Pass",
IF(AND(H171="U", V171&gt;=60%), "Pass",
IF(AND(H171="O", V171&gt;=75%), "Pass", "Fail")))</f>
        <v/>
      </c>
      <c r="X171" s="132">
        <f>IF(AND(Q171="Pass", W171="Pass"), "Pass", "Fail")</f>
        <v/>
      </c>
      <c r="Y171" s="15">
        <f>IF($X171="Pass",$H171,
IF(H171="L","I",
IF(H171="U","L",
IF(H171="O","U",
"I"))))</f>
        <v/>
      </c>
      <c r="Z171" s="82" t="n"/>
    </row>
    <row r="172">
      <c r="A172" s="147">
        <f>ROW()-2</f>
        <v/>
      </c>
      <c r="B172" s="127" t="n">
        <v>900388</v>
      </c>
      <c r="C172" s="128" t="inlineStr">
        <is>
          <t>MADASAMY A</t>
        </is>
      </c>
      <c r="D172" s="127" t="inlineStr">
        <is>
          <t>PRODUCTION</t>
        </is>
      </c>
      <c r="E172" s="129" t="inlineStr">
        <is>
          <t>TYRE BUILDING-P2</t>
        </is>
      </c>
      <c r="F172" s="130" t="n">
        <v>41000</v>
      </c>
      <c r="G172" s="131">
        <f>NOW()-F172</f>
        <v/>
      </c>
      <c r="H172" s="104" t="inlineStr">
        <is>
          <t>O</t>
        </is>
      </c>
      <c r="I172" s="104" t="inlineStr">
        <is>
          <t>O</t>
        </is>
      </c>
      <c r="J172" s="104" t="n">
        <v>9</v>
      </c>
      <c r="K172" s="104" t="n">
        <v>8</v>
      </c>
      <c r="L172" s="104" t="n">
        <v>6</v>
      </c>
      <c r="M172" s="104" t="n">
        <v>9</v>
      </c>
      <c r="N172" s="104" t="n"/>
      <c r="O172" s="104">
        <f>SUM(J172:N172)</f>
        <v/>
      </c>
      <c r="P172" s="12">
        <f>O172/IF(H172="L",20,IF(H172="U",30,IF(H172="O",40,IF(H172="I",20,""))))</f>
        <v/>
      </c>
      <c r="Q172" s="132">
        <f>IF(AND(H172="L", P172&gt;=50%), "Pass",
IF(AND(H172="U", P172&gt;=60%), "Pass",
IF(AND(H172="O", P172&gt;=75%), "Pass", "Fail")))</f>
        <v/>
      </c>
      <c r="R172" s="104" t="n"/>
      <c r="S172" s="104" t="n">
        <v>14</v>
      </c>
      <c r="T172" s="104" t="n">
        <v>11</v>
      </c>
      <c r="U172" s="104">
        <f>SUM(S172:T172)</f>
        <v/>
      </c>
      <c r="V172" s="12">
        <f>U172/IF(H172="L",35,IF(H172="U",35,IF(H172="O",35,IF(H172="I",35,""))))</f>
        <v/>
      </c>
      <c r="W172" s="132">
        <f>IF(AND(H172="L", V172&gt;=50%), "Pass",
IF(AND(H172="U", V172&gt;=60%), "Pass",
IF(AND(H172="O", V172&gt;=75%), "Pass", "Fail")))</f>
        <v/>
      </c>
      <c r="X172" s="132">
        <f>IF(AND(Q172="Pass", W172="Pass"), "Pass", "Fail")</f>
        <v/>
      </c>
      <c r="Y172" s="15">
        <f>IF($X172="Pass",$H172,
IF(H172="L","I",
IF(H172="U","L",
IF(H172="O","U",
"I"))))</f>
        <v/>
      </c>
    </row>
    <row r="173">
      <c r="A173" s="147">
        <f>ROW()-2</f>
        <v/>
      </c>
      <c r="B173" s="127" t="n">
        <v>900389</v>
      </c>
      <c r="C173" s="128" t="inlineStr">
        <is>
          <t>KUMAR P K</t>
        </is>
      </c>
      <c r="D173" s="127" t="inlineStr">
        <is>
          <t>PRODUCTION</t>
        </is>
      </c>
      <c r="E173" s="129" t="inlineStr">
        <is>
          <t>TYRE BUILDING-P3</t>
        </is>
      </c>
      <c r="F173" s="130" t="n">
        <v>41000</v>
      </c>
      <c r="G173" s="131">
        <f>NOW()-F173</f>
        <v/>
      </c>
      <c r="H173" s="104" t="inlineStr">
        <is>
          <t>O</t>
        </is>
      </c>
      <c r="I173" s="104" t="inlineStr">
        <is>
          <t>O</t>
        </is>
      </c>
      <c r="J173" s="104" t="n">
        <v>10</v>
      </c>
      <c r="K173" s="104" t="n">
        <v>8</v>
      </c>
      <c r="L173" s="104" t="n">
        <v>8</v>
      </c>
      <c r="M173" s="104" t="n">
        <v>7</v>
      </c>
      <c r="N173" s="104" t="n"/>
      <c r="O173" s="104">
        <f>SUM(J173:N173)</f>
        <v/>
      </c>
      <c r="P173" s="12">
        <f>O173/IF(H173="L",20,IF(H173="U",30,IF(H173="O",40,IF(H173="I",20,""))))</f>
        <v/>
      </c>
      <c r="Q173" s="132">
        <f>IF(AND(H173="L", P173&gt;=50%), "Pass",
IF(AND(H173="U", P173&gt;=60%), "Pass",
IF(AND(H173="O", P173&gt;=75%), "Pass", "Fail")))</f>
        <v/>
      </c>
      <c r="R173" s="104" t="n"/>
      <c r="S173" s="43" t="n">
        <v>17</v>
      </c>
      <c r="T173" s="43" t="n">
        <v>15</v>
      </c>
      <c r="U173" s="104">
        <f>SUM(S173:T173)</f>
        <v/>
      </c>
      <c r="V173" s="12">
        <f>U173/IF(H173="L",35,IF(H173="U",35,IF(H173="O",35,IF(H173="I",35,""))))</f>
        <v/>
      </c>
      <c r="W173" s="132">
        <f>IF(AND(H173="L", V173&gt;=50%), "Pass",
IF(AND(H173="U", V173&gt;=60%), "Pass",
IF(AND(H173="O", V173&gt;=75%), "Pass", "Fail")))</f>
        <v/>
      </c>
      <c r="X173" s="132">
        <f>IF(AND(Q173="Pass", W173="Pass"), "Pass", "Fail")</f>
        <v/>
      </c>
      <c r="Y173" s="15">
        <f>IF($X173="Pass",$H173,
IF(H173="L","I",
IF(H173="U","L",
IF(H173="O","U",
"I"))))</f>
        <v/>
      </c>
      <c r="Z173" s="82">
        <f>V173-75%</f>
        <v/>
      </c>
    </row>
    <row r="174">
      <c r="A174" s="147">
        <f>ROW()-2</f>
        <v/>
      </c>
      <c r="B174" s="127" t="n">
        <v>900390</v>
      </c>
      <c r="C174" s="128" t="inlineStr">
        <is>
          <t>PRABAKARAN M</t>
        </is>
      </c>
      <c r="D174" s="127" t="inlineStr">
        <is>
          <t>PRODUCTION</t>
        </is>
      </c>
      <c r="E174" s="129" t="inlineStr">
        <is>
          <t>TYRE BUILDING-P1</t>
        </is>
      </c>
      <c r="F174" s="130" t="n">
        <v>41000</v>
      </c>
      <c r="G174" s="131">
        <f>NOW()-F174</f>
        <v/>
      </c>
      <c r="H174" s="104" t="inlineStr">
        <is>
          <t>O</t>
        </is>
      </c>
      <c r="I174" s="104" t="inlineStr">
        <is>
          <t>O</t>
        </is>
      </c>
      <c r="J174" s="104" t="n">
        <v>9</v>
      </c>
      <c r="K174" s="104" t="n">
        <v>9</v>
      </c>
      <c r="L174" s="104" t="n">
        <v>9</v>
      </c>
      <c r="M174" s="104" t="n">
        <v>8</v>
      </c>
      <c r="N174" s="104" t="n"/>
      <c r="O174" s="104">
        <f>SUM(J174:N174)</f>
        <v/>
      </c>
      <c r="P174" s="12">
        <f>O174/IF(H174="L",20,IF(H174="U",30,IF(H174="O",40,IF(H174="I",20,""))))</f>
        <v/>
      </c>
      <c r="Q174" s="132">
        <f>IF(AND(H174="L", P174&gt;=50%), "Pass",
IF(AND(H174="U", P174&gt;=60%), "Pass",
IF(AND(H174="O", P174&gt;=75%), "Pass", "Fail")))</f>
        <v/>
      </c>
      <c r="R174" s="104" t="n"/>
      <c r="S174" s="104" t="n">
        <v>15</v>
      </c>
      <c r="T174" s="104" t="n">
        <v>15</v>
      </c>
      <c r="U174" s="104">
        <f>SUM(S174:T174)</f>
        <v/>
      </c>
      <c r="V174" s="12">
        <f>U174/IF(H174="L",35,IF(H174="U",35,IF(H174="O",35,IF(H174="I",35,""))))</f>
        <v/>
      </c>
      <c r="W174" s="132">
        <f>IF(AND(H174="L", V174&gt;=50%), "Pass",
IF(AND(H174="U", V174&gt;=60%), "Pass",
IF(AND(H174="O", V174&gt;=75%), "Pass", "Fail")))</f>
        <v/>
      </c>
      <c r="X174" s="132">
        <f>IF(AND(Q174="Pass", W174="Pass"), "Pass", "Fail")</f>
        <v/>
      </c>
      <c r="Y174" s="15">
        <f>IF($X174="Pass",$H174,
IF(H174="L","I",
IF(H174="U","L",
IF(H174="O","U",
"I"))))</f>
        <v/>
      </c>
    </row>
    <row r="175">
      <c r="A175" s="147">
        <f>ROW()-2</f>
        <v/>
      </c>
      <c r="B175" s="127" t="n">
        <v>900391</v>
      </c>
      <c r="C175" s="128" t="inlineStr">
        <is>
          <t>KRISHNAN P</t>
        </is>
      </c>
      <c r="D175" s="127" t="inlineStr">
        <is>
          <t>PRODUCTION</t>
        </is>
      </c>
      <c r="E175" s="129" t="inlineStr">
        <is>
          <t>TYRE BUILDING-P3</t>
        </is>
      </c>
      <c r="F175" s="130" t="n">
        <v>41000</v>
      </c>
      <c r="G175" s="131">
        <f>NOW()-F175</f>
        <v/>
      </c>
      <c r="H175" s="104" t="inlineStr">
        <is>
          <t>O</t>
        </is>
      </c>
      <c r="I175" s="104" t="inlineStr">
        <is>
          <t>O</t>
        </is>
      </c>
      <c r="J175" s="104" t="n">
        <v>10</v>
      </c>
      <c r="K175" s="104" t="n">
        <v>10</v>
      </c>
      <c r="L175" s="104" t="n">
        <v>6</v>
      </c>
      <c r="M175" s="104" t="n">
        <v>5</v>
      </c>
      <c r="N175" s="104" t="n"/>
      <c r="O175" s="104">
        <f>SUM(J175:N175)</f>
        <v/>
      </c>
      <c r="P175" s="12">
        <f>O175/IF(H175="L",20,IF(H175="U",30,IF(H175="O",40,IF(H175="I",20,""))))</f>
        <v/>
      </c>
      <c r="Q175" s="132">
        <f>IF(AND(H175="L", P175&gt;=50%), "Pass",
IF(AND(H175="U", P175&gt;=60%), "Pass",
IF(AND(H175="O", P175&gt;=75%), "Pass", "Fail")))</f>
        <v/>
      </c>
      <c r="R175" s="104" t="n"/>
      <c r="S175" s="104" t="n">
        <v>20</v>
      </c>
      <c r="T175" s="104" t="n">
        <v>15</v>
      </c>
      <c r="U175" s="104">
        <f>SUM(S175:T175)</f>
        <v/>
      </c>
      <c r="V175" s="12">
        <f>U175/IF(H175="L",35,IF(H175="U",35,IF(H175="O",35,IF(H175="I",35,""))))</f>
        <v/>
      </c>
      <c r="W175" s="132">
        <f>IF(AND(H175="L", V175&gt;=50%), "Pass",
IF(AND(H175="U", V175&gt;=60%), "Pass",
IF(AND(H175="O", V175&gt;=75%), "Pass", "Fail")))</f>
        <v/>
      </c>
      <c r="X175" s="132">
        <f>IF(AND(Q175="Pass", W175="Pass"), "Pass", "Fail")</f>
        <v/>
      </c>
      <c r="Y175" s="15">
        <f>IF($X175="Pass",$H175,
IF(H175="L","I",
IF(H175="U","L",
IF(H175="O","U",
"I"))))</f>
        <v/>
      </c>
      <c r="Z175" s="81">
        <f>V175-75%</f>
        <v/>
      </c>
    </row>
    <row r="176">
      <c r="A176" s="147">
        <f>ROW()-2</f>
        <v/>
      </c>
      <c r="B176" s="127" t="n">
        <v>900392</v>
      </c>
      <c r="C176" s="128" t="inlineStr">
        <is>
          <t>JAYA KRISHNA DIXIT</t>
        </is>
      </c>
      <c r="D176" s="127" t="inlineStr">
        <is>
          <t>PRODUCTION</t>
        </is>
      </c>
      <c r="E176" s="129" t="inlineStr">
        <is>
          <t>TYRE BUILDING-P2</t>
        </is>
      </c>
      <c r="F176" s="130" t="n">
        <v>41000</v>
      </c>
      <c r="G176" s="131">
        <f>NOW()-F176</f>
        <v/>
      </c>
      <c r="H176" s="104" t="inlineStr">
        <is>
          <t>O</t>
        </is>
      </c>
      <c r="I176" s="104" t="inlineStr">
        <is>
          <t>U</t>
        </is>
      </c>
      <c r="J176" s="104" t="n">
        <v>2</v>
      </c>
      <c r="K176" s="104" t="n">
        <v>9</v>
      </c>
      <c r="L176" s="104" t="n">
        <v>7</v>
      </c>
      <c r="M176" s="104" t="n">
        <v>6</v>
      </c>
      <c r="N176" s="104" t="n"/>
      <c r="O176" s="104">
        <f>SUM(J176:N176)</f>
        <v/>
      </c>
      <c r="P176" s="12">
        <f>O176/IF(H176="L",20,IF(H176="U",30,IF(H176="O",40,IF(H176="I",20,""))))</f>
        <v/>
      </c>
      <c r="Q176" s="132">
        <f>IF(AND(H176="L", P176&gt;=50%), "Pass",
IF(AND(H176="U", P176&gt;=60%), "Pass",
IF(AND(H176="O", P176&gt;=75%), "Pass", "Fail")))</f>
        <v/>
      </c>
      <c r="R176" s="104" t="n"/>
      <c r="S176" s="104" t="n">
        <v>13</v>
      </c>
      <c r="T176" s="104" t="n">
        <v>10</v>
      </c>
      <c r="U176" s="104">
        <f>SUM(S176:T176)</f>
        <v/>
      </c>
      <c r="V176" s="12">
        <f>U176/IF(H176="L",35,IF(H176="U",35,IF(H176="O",35,IF(H176="I",35,""))))</f>
        <v/>
      </c>
      <c r="W176" s="132">
        <f>IF(AND(H176="L", V176&gt;=50%), "Pass",
IF(AND(H176="U", V176&gt;=60%), "Pass",
IF(AND(H176="O", V176&gt;=75%), "Pass", "Fail")))</f>
        <v/>
      </c>
      <c r="X176" s="132">
        <f>IF(AND(Q176="Pass", W176="Pass"), "Pass", "Fail")</f>
        <v/>
      </c>
      <c r="Y176" s="15">
        <f>IF($X176="Pass",$H176,
IF(H176="L","I",
IF(H176="U","L",
IF(H176="O","U",
"I"))))</f>
        <v/>
      </c>
    </row>
    <row r="177">
      <c r="A177" s="147">
        <f>ROW()-2</f>
        <v/>
      </c>
      <c r="B177" s="127" t="n">
        <v>900393</v>
      </c>
      <c r="C177" s="128" t="inlineStr">
        <is>
          <t>RUPENDAR KUMAR</t>
        </is>
      </c>
      <c r="D177" s="127" t="inlineStr">
        <is>
          <t>PRODUCTION</t>
        </is>
      </c>
      <c r="E177" s="129" t="inlineStr">
        <is>
          <t>TYRE BUILDING-P2</t>
        </is>
      </c>
      <c r="F177" s="130" t="n">
        <v>41000</v>
      </c>
      <c r="G177" s="131">
        <f>NOW()-F177</f>
        <v/>
      </c>
      <c r="H177" s="104" t="inlineStr">
        <is>
          <t>O</t>
        </is>
      </c>
      <c r="I177" s="104" t="inlineStr">
        <is>
          <t>U</t>
        </is>
      </c>
      <c r="J177" s="104" t="n">
        <v>8</v>
      </c>
      <c r="K177" s="104" t="n">
        <v>7</v>
      </c>
      <c r="L177" s="104" t="n">
        <v>6</v>
      </c>
      <c r="M177" s="104" t="n">
        <v>5</v>
      </c>
      <c r="N177" s="104" t="n"/>
      <c r="O177" s="104">
        <f>SUM(J177:N177)</f>
        <v/>
      </c>
      <c r="P177" s="12">
        <f>O177/IF(H177="L",20,IF(H177="U",30,IF(H177="O",40,IF(H177="I",20,""))))</f>
        <v/>
      </c>
      <c r="Q177" s="132">
        <f>IF(AND(H177="L", P177&gt;=50%), "Pass",
IF(AND(H177="U", P177&gt;=60%), "Pass",
IF(AND(H177="O", P177&gt;=75%), "Pass", "Fail")))</f>
        <v/>
      </c>
      <c r="R177" s="104" t="n"/>
      <c r="S177" s="104" t="n">
        <v>9</v>
      </c>
      <c r="T177" s="104" t="n">
        <v>5</v>
      </c>
      <c r="U177" s="104">
        <f>SUM(S177:T177)</f>
        <v/>
      </c>
      <c r="V177" s="12">
        <f>U177/IF(H177="L",35,IF(H177="U",35,IF(H177="O",35,IF(H177="I",35,""))))</f>
        <v/>
      </c>
      <c r="W177" s="132">
        <f>IF(AND(H177="L", V177&gt;=50%), "Pass",
IF(AND(H177="U", V177&gt;=60%), "Pass",
IF(AND(H177="O", V177&gt;=75%), "Pass", "Fail")))</f>
        <v/>
      </c>
      <c r="X177" s="132">
        <f>IF(AND(Q177="Pass", W177="Pass"), "Pass", "Fail")</f>
        <v/>
      </c>
      <c r="Y177" s="15">
        <f>IF($X177="Pass",$H177,
IF(H177="L","I",
IF(H177="U","L",
IF(H177="O","U",
"I"))))</f>
        <v/>
      </c>
    </row>
    <row r="178">
      <c r="A178" s="147">
        <f>ROW()-2</f>
        <v/>
      </c>
      <c r="B178" s="127" t="n">
        <v>900394</v>
      </c>
      <c r="C178" s="128" t="inlineStr">
        <is>
          <t>ANIL ORAON</t>
        </is>
      </c>
      <c r="D178" s="127" t="inlineStr">
        <is>
          <t>PRODUCTION</t>
        </is>
      </c>
      <c r="E178" s="129" t="inlineStr">
        <is>
          <t>TYRE BUILDING-P3</t>
        </is>
      </c>
      <c r="F178" s="130" t="n">
        <v>41000</v>
      </c>
      <c r="G178" s="131">
        <f>NOW()-F178</f>
        <v/>
      </c>
      <c r="H178" s="104" t="inlineStr">
        <is>
          <t>O</t>
        </is>
      </c>
      <c r="I178" s="104" t="inlineStr">
        <is>
          <t>O</t>
        </is>
      </c>
      <c r="J178" s="104" t="n">
        <v>7</v>
      </c>
      <c r="K178" s="104" t="n">
        <v>10</v>
      </c>
      <c r="L178" s="104" t="n">
        <v>8</v>
      </c>
      <c r="M178" s="104" t="n">
        <v>8</v>
      </c>
      <c r="N178" s="104" t="n"/>
      <c r="O178" s="104">
        <f>SUM(J178:N178)</f>
        <v/>
      </c>
      <c r="P178" s="12">
        <f>O178/IF(H178="L",20,IF(H178="U",30,IF(H178="O",40,IF(H178="I",20,""))))</f>
        <v/>
      </c>
      <c r="Q178" s="132">
        <f>IF(AND(H178="L", P178&gt;=50%), "Pass",
IF(AND(H178="U", P178&gt;=60%), "Pass",
IF(AND(H178="O", P178&gt;=75%), "Pass", "Fail")))</f>
        <v/>
      </c>
      <c r="R178" s="104" t="n"/>
      <c r="S178" s="43" t="n">
        <v>17</v>
      </c>
      <c r="T178" s="43" t="n">
        <v>15</v>
      </c>
      <c r="U178" s="104">
        <f>SUM(S178:T178)</f>
        <v/>
      </c>
      <c r="V178" s="12">
        <f>U178/IF(H178="L",35,IF(H178="U",35,IF(H178="O",35,IF(H178="I",35,""))))</f>
        <v/>
      </c>
      <c r="W178" s="132">
        <f>IF(AND(H178="L", V178&gt;=50%), "Pass",
IF(AND(H178="U", V178&gt;=60%), "Pass",
IF(AND(H178="O", V178&gt;=75%), "Pass", "Fail")))</f>
        <v/>
      </c>
      <c r="X178" s="132">
        <f>IF(AND(Q178="Pass", W178="Pass"), "Pass", "Fail")</f>
        <v/>
      </c>
      <c r="Y178" s="15">
        <f>IF($X178="Pass",$H178,
IF(H178="L","I",
IF(H178="U","L",
IF(H178="O","U",
"I"))))</f>
        <v/>
      </c>
      <c r="Z178" s="81">
        <f>V178-75%</f>
        <v/>
      </c>
    </row>
    <row r="179">
      <c r="A179" s="147">
        <f>ROW()-2</f>
        <v/>
      </c>
      <c r="B179" s="127" t="n">
        <v>900395</v>
      </c>
      <c r="C179" s="128" t="inlineStr">
        <is>
          <t>BIJESH KUMAR RAY</t>
        </is>
      </c>
      <c r="D179" s="127" t="inlineStr">
        <is>
          <t>PRODUCTION</t>
        </is>
      </c>
      <c r="E179" s="129" t="inlineStr">
        <is>
          <t>TYRE BUILDING-P2</t>
        </is>
      </c>
      <c r="F179" s="130" t="n">
        <v>41000</v>
      </c>
      <c r="G179" s="131">
        <f>NOW()-F179</f>
        <v/>
      </c>
      <c r="H179" s="104" t="inlineStr">
        <is>
          <t>O</t>
        </is>
      </c>
      <c r="I179" s="104" t="inlineStr">
        <is>
          <t>U</t>
        </is>
      </c>
      <c r="J179" s="104" t="n">
        <v>10</v>
      </c>
      <c r="K179" s="104" t="n">
        <v>8</v>
      </c>
      <c r="L179" s="104" t="n">
        <v>7</v>
      </c>
      <c r="M179" s="104" t="n">
        <v>9</v>
      </c>
      <c r="N179" s="104" t="n"/>
      <c r="O179" s="104">
        <f>SUM(J179:N179)</f>
        <v/>
      </c>
      <c r="P179" s="12">
        <f>O179/IF(H179="L",20,IF(H179="U",30,IF(H179="O",40,IF(H179="I",20,""))))</f>
        <v/>
      </c>
      <c r="Q179" s="132">
        <f>IF(AND(H179="L", P179&gt;=50%), "Pass",
IF(AND(H179="U", P179&gt;=60%), "Pass",
IF(AND(H179="O", P179&gt;=75%), "Pass", "Fail")))</f>
        <v/>
      </c>
      <c r="R179" s="104" t="n"/>
      <c r="S179" s="104" t="n">
        <v>13</v>
      </c>
      <c r="T179" s="104" t="n">
        <v>11</v>
      </c>
      <c r="U179" s="104">
        <f>SUM(S179:T179)</f>
        <v/>
      </c>
      <c r="V179" s="12">
        <f>U179/IF(H179="L",35,IF(H179="U",35,IF(H179="O",35,IF(H179="I",35,""))))</f>
        <v/>
      </c>
      <c r="W179" s="132">
        <f>IF(AND(H179="L", V179&gt;=50%), "Pass",
IF(AND(H179="U", V179&gt;=60%), "Pass",
IF(AND(H179="O", V179&gt;=75%), "Pass", "Fail")))</f>
        <v/>
      </c>
      <c r="X179" s="132">
        <f>IF(AND(Q179="Pass", W179="Pass"), "Pass", "Fail")</f>
        <v/>
      </c>
      <c r="Y179" s="15">
        <f>IF($X179="Pass",$H179,
IF(H179="L","I",
IF(H179="U","L",
IF(H179="O","U",
"I"))))</f>
        <v/>
      </c>
      <c r="Z179" s="82" t="n"/>
    </row>
    <row r="180">
      <c r="A180" s="147">
        <f>ROW()-2</f>
        <v/>
      </c>
      <c r="B180" s="127" t="n">
        <v>900396</v>
      </c>
      <c r="C180" s="128" t="inlineStr">
        <is>
          <t>MARI MUTHU A</t>
        </is>
      </c>
      <c r="D180" s="127" t="inlineStr">
        <is>
          <t>PRODUCTION</t>
        </is>
      </c>
      <c r="E180" s="129" t="inlineStr">
        <is>
          <t>TYRE BUILDING-P3</t>
        </is>
      </c>
      <c r="F180" s="130" t="n">
        <v>41000</v>
      </c>
      <c r="G180" s="131">
        <f>NOW()-F180</f>
        <v/>
      </c>
      <c r="H180" s="104" t="inlineStr">
        <is>
          <t>O</t>
        </is>
      </c>
      <c r="I180" s="104" t="inlineStr">
        <is>
          <t>O</t>
        </is>
      </c>
      <c r="J180" s="104" t="n">
        <v>10</v>
      </c>
      <c r="K180" s="104" t="n">
        <v>9</v>
      </c>
      <c r="L180" s="104" t="n">
        <v>6</v>
      </c>
      <c r="M180" s="104" t="n">
        <v>10</v>
      </c>
      <c r="N180" s="104" t="n"/>
      <c r="O180" s="104">
        <f>SUM(J180:N180)</f>
        <v/>
      </c>
      <c r="P180" s="12">
        <f>O180/IF(H180="L",20,IF(H180="U",30,IF(H180="O",40,IF(H180="I",20,""))))</f>
        <v/>
      </c>
      <c r="Q180" s="132">
        <f>IF(AND(H180="L", P180&gt;=50%), "Pass",
IF(AND(H180="U", P180&gt;=60%), "Pass",
IF(AND(H180="O", P180&gt;=75%), "Pass", "Fail")))</f>
        <v/>
      </c>
      <c r="R180" s="104" t="n"/>
      <c r="S180" s="104" t="n">
        <v>18</v>
      </c>
      <c r="T180" s="104" t="n">
        <v>15</v>
      </c>
      <c r="U180" s="104">
        <f>SUM(S180:T180)</f>
        <v/>
      </c>
      <c r="V180" s="12">
        <f>U180/IF(H180="L",35,IF(H180="U",35,IF(H180="O",35,IF(H180="I",35,""))))</f>
        <v/>
      </c>
      <c r="W180" s="132">
        <f>IF(AND(H180="L", V180&gt;=50%), "Pass",
IF(AND(H180="U", V180&gt;=60%), "Pass",
IF(AND(H180="O", V180&gt;=75%), "Pass", "Fail")))</f>
        <v/>
      </c>
      <c r="X180" s="132">
        <f>IF(AND(Q180="Pass", W180="Pass"), "Pass", "Fail")</f>
        <v/>
      </c>
      <c r="Y180" s="15">
        <f>IF($X180="Pass",$H180,
IF(H180="L","I",
IF(H180="U","L",
IF(H180="O","U",
"I"))))</f>
        <v/>
      </c>
    </row>
    <row r="181">
      <c r="A181" s="147">
        <f>ROW()-2</f>
        <v/>
      </c>
      <c r="B181" s="127" t="n">
        <v>900397</v>
      </c>
      <c r="C181" s="128" t="inlineStr">
        <is>
          <t>MURUGAN R</t>
        </is>
      </c>
      <c r="D181" s="127" t="inlineStr">
        <is>
          <t>PRODUCTION</t>
        </is>
      </c>
      <c r="E181" s="129" t="inlineStr">
        <is>
          <t>TYRE BUILDING-P1</t>
        </is>
      </c>
      <c r="F181" s="130" t="n">
        <v>41000</v>
      </c>
      <c r="G181" s="131">
        <f>NOW()-F181</f>
        <v/>
      </c>
      <c r="H181" s="104" t="inlineStr">
        <is>
          <t>O</t>
        </is>
      </c>
      <c r="I181" s="104" t="inlineStr">
        <is>
          <t>O</t>
        </is>
      </c>
      <c r="J181" s="104" t="n">
        <v>10</v>
      </c>
      <c r="K181" s="104" t="n">
        <v>10</v>
      </c>
      <c r="L181" s="104" t="n">
        <v>8</v>
      </c>
      <c r="M181" s="104" t="n">
        <v>8</v>
      </c>
      <c r="N181" s="104" t="n"/>
      <c r="O181" s="104">
        <f>SUM(J181:N181)</f>
        <v/>
      </c>
      <c r="P181" s="12">
        <f>O181/IF(H181="L",20,IF(H181="U",30,IF(H181="O",40,IF(H181="I",20,""))))</f>
        <v/>
      </c>
      <c r="Q181" s="132">
        <f>IF(AND(H181="L", P181&gt;=50%), "Pass",
IF(AND(H181="U", P181&gt;=60%), "Pass",
IF(AND(H181="O", P181&gt;=75%), "Pass", "Fail")))</f>
        <v/>
      </c>
      <c r="R181" s="104" t="n"/>
      <c r="S181" s="104" t="n">
        <v>13</v>
      </c>
      <c r="T181" s="104" t="n">
        <v>15</v>
      </c>
      <c r="U181" s="104">
        <f>SUM(S181:T181)</f>
        <v/>
      </c>
      <c r="V181" s="12">
        <f>U181/IF(H181="L",35,IF(H181="U",35,IF(H181="O",35,IF(H181="I",35,""))))</f>
        <v/>
      </c>
      <c r="W181" s="132">
        <f>IF(AND(H181="L", V181&gt;=50%), "Pass",
IF(AND(H181="U", V181&gt;=60%), "Pass",
IF(AND(H181="O", V181&gt;=75%), "Pass", "Fail")))</f>
        <v/>
      </c>
      <c r="X181" s="132">
        <f>IF(AND(Q181="Pass", W181="Pass"), "Pass", "Fail")</f>
        <v/>
      </c>
      <c r="Y181" s="15">
        <f>IF($X181="Pass",$H181,
IF(H181="L","I",
IF(H181="U","L",
IF(H181="O","U",
"I"))))</f>
        <v/>
      </c>
      <c r="Z181" s="82" t="n"/>
    </row>
    <row r="182">
      <c r="A182" s="147">
        <f>ROW()-2</f>
        <v/>
      </c>
      <c r="B182" s="127" t="n">
        <v>900398</v>
      </c>
      <c r="C182" s="128" t="inlineStr">
        <is>
          <t>NARAYANAN E</t>
        </is>
      </c>
      <c r="D182" s="127" t="inlineStr">
        <is>
          <t>PRODUCTION</t>
        </is>
      </c>
      <c r="E182" s="129" t="inlineStr">
        <is>
          <t>TYRE BUILDING-P1</t>
        </is>
      </c>
      <c r="F182" s="130" t="n">
        <v>41000</v>
      </c>
      <c r="G182" s="131">
        <f>NOW()-F182</f>
        <v/>
      </c>
      <c r="H182" s="104" t="inlineStr">
        <is>
          <t>O</t>
        </is>
      </c>
      <c r="I182" s="104" t="inlineStr">
        <is>
          <t>O</t>
        </is>
      </c>
      <c r="J182" s="104" t="n">
        <v>9</v>
      </c>
      <c r="K182" s="104" t="n">
        <v>10</v>
      </c>
      <c r="L182" s="104" t="n">
        <v>8</v>
      </c>
      <c r="M182" s="104" t="n">
        <v>10</v>
      </c>
      <c r="N182" s="104" t="n"/>
      <c r="O182" s="104">
        <f>SUM(J182:N182)</f>
        <v/>
      </c>
      <c r="P182" s="12">
        <f>O182/IF(H182="L",20,IF(H182="U",30,IF(H182="O",40,IF(H182="I",20,""))))</f>
        <v/>
      </c>
      <c r="Q182" s="132">
        <f>IF(AND(H182="L", P182&gt;=50%), "Pass",
IF(AND(H182="U", P182&gt;=60%), "Pass",
IF(AND(H182="O", P182&gt;=75%), "Pass", "Fail")))</f>
        <v/>
      </c>
      <c r="R182" s="104" t="n"/>
      <c r="S182" s="104" t="n">
        <v>15</v>
      </c>
      <c r="T182" s="104" t="n">
        <v>15</v>
      </c>
      <c r="U182" s="104">
        <f>SUM(S182:T182)</f>
        <v/>
      </c>
      <c r="V182" s="12">
        <f>U182/IF(H182="L",35,IF(H182="U",35,IF(H182="O",35,IF(H182="I",35,""))))</f>
        <v/>
      </c>
      <c r="W182" s="132">
        <f>IF(AND(H182="L", V182&gt;=50%), "Pass",
IF(AND(H182="U", V182&gt;=60%), "Pass",
IF(AND(H182="O", V182&gt;=75%), "Pass", "Fail")))</f>
        <v/>
      </c>
      <c r="X182" s="132">
        <f>IF(AND(Q182="Pass", W182="Pass"), "Pass", "Fail")</f>
        <v/>
      </c>
      <c r="Y182" s="15">
        <f>IF($X182="Pass",$H182,
IF(H182="L","I",
IF(H182="U","L",
IF(H182="O","U",
"I"))))</f>
        <v/>
      </c>
      <c r="Z182" s="81">
        <f>V182-75%</f>
        <v/>
      </c>
    </row>
    <row r="183">
      <c r="A183" s="147">
        <f>ROW()-2</f>
        <v/>
      </c>
      <c r="B183" s="127" t="n">
        <v>900399</v>
      </c>
      <c r="C183" s="128" t="inlineStr">
        <is>
          <t>KANTHAN E</t>
        </is>
      </c>
      <c r="D183" s="127" t="inlineStr">
        <is>
          <t>PRODUCTION</t>
        </is>
      </c>
      <c r="E183" s="129" t="inlineStr">
        <is>
          <t>TYRE BUILDING-P1</t>
        </is>
      </c>
      <c r="F183" s="130" t="n">
        <v>41000</v>
      </c>
      <c r="G183" s="131">
        <f>NOW()-F183</f>
        <v/>
      </c>
      <c r="H183" s="104" t="inlineStr">
        <is>
          <t>O</t>
        </is>
      </c>
      <c r="I183" s="104" t="inlineStr">
        <is>
          <t>O</t>
        </is>
      </c>
      <c r="J183" s="104" t="n">
        <v>8</v>
      </c>
      <c r="K183" s="104" t="n">
        <v>10</v>
      </c>
      <c r="L183" s="104" t="n">
        <v>8</v>
      </c>
      <c r="M183" s="104" t="n">
        <v>9</v>
      </c>
      <c r="N183" s="104" t="n"/>
      <c r="O183" s="104">
        <f>SUM(J183:N183)</f>
        <v/>
      </c>
      <c r="P183" s="12">
        <f>O183/IF(H183="L",20,IF(H183="U",30,IF(H183="O",40,IF(H183="I",20,""))))</f>
        <v/>
      </c>
      <c r="Q183" s="132">
        <f>IF(AND(H183="L", P183&gt;=50%), "Pass",
IF(AND(H183="U", P183&gt;=60%), "Pass",
IF(AND(H183="O", P183&gt;=75%), "Pass", "Fail")))</f>
        <v/>
      </c>
      <c r="R183" s="104" t="n"/>
      <c r="S183" s="104" t="n">
        <v>15</v>
      </c>
      <c r="T183" s="104" t="n">
        <v>15</v>
      </c>
      <c r="U183" s="104">
        <f>SUM(S183:T183)</f>
        <v/>
      </c>
      <c r="V183" s="12">
        <f>U183/IF(H183="L",35,IF(H183="U",35,IF(H183="O",35,IF(H183="I",35,""))))</f>
        <v/>
      </c>
      <c r="W183" s="132">
        <f>IF(AND(H183="L", V183&gt;=50%), "Pass",
IF(AND(H183="U", V183&gt;=60%), "Pass",
IF(AND(H183="O", V183&gt;=75%), "Pass", "Fail")))</f>
        <v/>
      </c>
      <c r="X183" s="132">
        <f>IF(AND(Q183="Pass", W183="Pass"), "Pass", "Fail")</f>
        <v/>
      </c>
      <c r="Y183" s="15">
        <f>IF($X183="Pass",$H183,
IF(H183="L","I",
IF(H183="U","L",
IF(H183="O","U",
"I"))))</f>
        <v/>
      </c>
    </row>
    <row r="184">
      <c r="A184" s="147">
        <f>ROW()-2</f>
        <v/>
      </c>
      <c r="B184" s="127" t="n">
        <v>900400</v>
      </c>
      <c r="C184" s="128" t="inlineStr">
        <is>
          <t>SURESH B</t>
        </is>
      </c>
      <c r="D184" s="127" t="inlineStr">
        <is>
          <t>PRODUCTION</t>
        </is>
      </c>
      <c r="E184" s="129" t="inlineStr">
        <is>
          <t>TYRE BUILDING-P2</t>
        </is>
      </c>
      <c r="F184" s="130" t="n">
        <v>41000</v>
      </c>
      <c r="G184" s="131">
        <f>NOW()-F184</f>
        <v/>
      </c>
      <c r="H184" s="104" t="inlineStr">
        <is>
          <t>O</t>
        </is>
      </c>
      <c r="I184" s="104" t="inlineStr">
        <is>
          <t>U</t>
        </is>
      </c>
      <c r="J184" s="104" t="n">
        <v>7</v>
      </c>
      <c r="K184" s="104" t="n">
        <v>10</v>
      </c>
      <c r="L184" s="104" t="n">
        <v>6</v>
      </c>
      <c r="M184" s="104" t="n">
        <v>7</v>
      </c>
      <c r="N184" s="104" t="n"/>
      <c r="O184" s="104">
        <f>SUM(J184:N184)</f>
        <v/>
      </c>
      <c r="P184" s="12">
        <f>O184/IF(H184="L",20,IF(H184="U",30,IF(H184="O",40,IF(H184="I",20,""))))</f>
        <v/>
      </c>
      <c r="Q184" s="132">
        <f>IF(AND(H184="L", P184&gt;=50%), "Pass",
IF(AND(H184="U", P184&gt;=60%), "Pass",
IF(AND(H184="O", P184&gt;=75%), "Pass", "Fail")))</f>
        <v/>
      </c>
      <c r="R184" s="104" t="n"/>
      <c r="S184" s="104" t="n">
        <v>14</v>
      </c>
      <c r="T184" s="104" t="n">
        <v>11</v>
      </c>
      <c r="U184" s="104">
        <f>SUM(S184:T184)</f>
        <v/>
      </c>
      <c r="V184" s="12">
        <f>U184/IF(H184="L",35,IF(H184="U",35,IF(H184="O",35,IF(H184="I",35,""))))</f>
        <v/>
      </c>
      <c r="W184" s="132">
        <f>IF(AND(H184="L", V184&gt;=50%), "Pass",
IF(AND(H184="U", V184&gt;=60%), "Pass",
IF(AND(H184="O", V184&gt;=75%), "Pass", "Fail")))</f>
        <v/>
      </c>
      <c r="X184" s="132">
        <f>IF(AND(Q184="Pass", W184="Pass"), "Pass", "Fail")</f>
        <v/>
      </c>
      <c r="Y184" s="15">
        <f>IF($X184="Pass",$H184,
IF(H184="L","I",
IF(H184="U","L",
IF(H184="O","U",
"I"))))</f>
        <v/>
      </c>
      <c r="Z184" s="81">
        <f>V184-75%</f>
        <v/>
      </c>
    </row>
    <row r="185">
      <c r="A185" s="147">
        <f>ROW()-2</f>
        <v/>
      </c>
      <c r="B185" s="127" t="n">
        <v>900401</v>
      </c>
      <c r="C185" s="128" t="inlineStr">
        <is>
          <t>MARIAPPAN S</t>
        </is>
      </c>
      <c r="D185" s="127" t="inlineStr">
        <is>
          <t>PRODUCTION</t>
        </is>
      </c>
      <c r="E185" s="129" t="inlineStr">
        <is>
          <t>TYRE CURING</t>
        </is>
      </c>
      <c r="F185" s="130" t="n">
        <v>41000</v>
      </c>
      <c r="G185" s="131">
        <f>NOW()-F185</f>
        <v/>
      </c>
      <c r="H185" s="104" t="inlineStr">
        <is>
          <t>O</t>
        </is>
      </c>
      <c r="I185" s="104" t="inlineStr">
        <is>
          <t>O</t>
        </is>
      </c>
      <c r="J185" s="104" t="n">
        <v>8</v>
      </c>
      <c r="K185" s="104" t="n">
        <v>9</v>
      </c>
      <c r="L185" s="104" t="n">
        <v>8</v>
      </c>
      <c r="M185" s="104" t="n">
        <v>8</v>
      </c>
      <c r="N185" s="104" t="n"/>
      <c r="O185" s="104">
        <f>SUM(J185:N185)</f>
        <v/>
      </c>
      <c r="P185" s="12">
        <f>O185/IF(H185="L",20,IF(H185="U",30,IF(H185="O",40,IF(H185="I",20,""))))</f>
        <v/>
      </c>
      <c r="Q185" s="132">
        <f>IF(AND(H185="L", P185&gt;=50%), "Pass",
IF(AND(H185="U", P185&gt;=60%), "Pass",
IF(AND(H185="O", P185&gt;=75%), "Pass", "Fail")))</f>
        <v/>
      </c>
      <c r="R185" s="104" t="n"/>
      <c r="S185" s="104" t="n">
        <v>13</v>
      </c>
      <c r="T185" s="104" t="n">
        <v>14</v>
      </c>
      <c r="U185" s="104">
        <f>SUM(S185:T185)</f>
        <v/>
      </c>
      <c r="V185" s="12">
        <f>U185/IF(H185="L",35,IF(H185="U",35,IF(H185="O",35,IF(H185="I",35,""))))</f>
        <v/>
      </c>
      <c r="W185" s="132">
        <f>IF(AND(H185="L", V185&gt;=50%), "Pass",
IF(AND(H185="U", V185&gt;=60%), "Pass",
IF(AND(H185="O", V185&gt;=75%), "Pass", "Fail")))</f>
        <v/>
      </c>
      <c r="X185" s="132">
        <f>IF(AND(Q185="Pass", W185="Pass"), "Pass", "Fail")</f>
        <v/>
      </c>
      <c r="Y185" s="15">
        <f>IF($X185="Pass",$H185,
IF(H185="L","I",
IF(H185="U","L",
IF(H185="O","U",
"I"))))</f>
        <v/>
      </c>
    </row>
    <row r="186">
      <c r="A186" s="147">
        <f>ROW()-2</f>
        <v/>
      </c>
      <c r="B186" s="127" t="n">
        <v>900402</v>
      </c>
      <c r="C186" s="128" t="inlineStr">
        <is>
          <t>DANIEL PACKIA RAJ V</t>
        </is>
      </c>
      <c r="D186" s="127" t="inlineStr">
        <is>
          <t>PRODUCTION</t>
        </is>
      </c>
      <c r="E186" s="129" t="inlineStr">
        <is>
          <t>TYRE CURING</t>
        </is>
      </c>
      <c r="F186" s="130" t="n">
        <v>41000</v>
      </c>
      <c r="G186" s="131">
        <f>NOW()-F186</f>
        <v/>
      </c>
      <c r="H186" s="104" t="inlineStr">
        <is>
          <t>O</t>
        </is>
      </c>
      <c r="I186" s="104" t="inlineStr">
        <is>
          <t>O</t>
        </is>
      </c>
      <c r="J186" s="104" t="n">
        <v>9</v>
      </c>
      <c r="K186" s="104" t="n">
        <v>10</v>
      </c>
      <c r="L186" s="104" t="n">
        <v>10</v>
      </c>
      <c r="M186" s="104" t="n">
        <v>8</v>
      </c>
      <c r="N186" s="104" t="n"/>
      <c r="O186" s="104">
        <f>SUM(J186:N186)</f>
        <v/>
      </c>
      <c r="P186" s="12">
        <f>O186/IF(H186="L",20,IF(H186="U",30,IF(H186="O",40,IF(H186="I",20,""))))</f>
        <v/>
      </c>
      <c r="Q186" s="132">
        <f>IF(AND(H186="L", P186&gt;=50%), "Pass",
IF(AND(H186="U", P186&gt;=60%), "Pass",
IF(AND(H186="O", P186&gt;=75%), "Pass", "Fail")))</f>
        <v/>
      </c>
      <c r="R186" s="104" t="n"/>
      <c r="S186" s="104" t="n">
        <v>16</v>
      </c>
      <c r="T186" s="104" t="n">
        <v>11</v>
      </c>
      <c r="U186" s="104">
        <f>SUM(S186:T186)</f>
        <v/>
      </c>
      <c r="V186" s="12">
        <f>U186/IF(H186="L",35,IF(H186="U",35,IF(H186="O",35,IF(H186="I",35,""))))</f>
        <v/>
      </c>
      <c r="W186" s="132">
        <f>IF(AND(H186="L", V186&gt;=50%), "Pass",
IF(AND(H186="U", V186&gt;=60%), "Pass",
IF(AND(H186="O", V186&gt;=75%), "Pass", "Fail")))</f>
        <v/>
      </c>
      <c r="X186" s="132">
        <f>IF(AND(Q186="Pass", W186="Pass"), "Pass", "Fail")</f>
        <v/>
      </c>
      <c r="Y186" s="15">
        <f>IF($X186="Pass",$H186,
IF(H186="L","I",
IF(H186="U","L",
IF(H186="O","U",
"I"))))</f>
        <v/>
      </c>
    </row>
    <row r="187">
      <c r="A187" s="147">
        <f>ROW()-2</f>
        <v/>
      </c>
      <c r="B187" s="127" t="n">
        <v>900403</v>
      </c>
      <c r="C187" s="128" t="inlineStr">
        <is>
          <t>VISWANATHAN A</t>
        </is>
      </c>
      <c r="D187" s="127" t="inlineStr">
        <is>
          <t>PRODUCTION</t>
        </is>
      </c>
      <c r="E187" s="129" t="inlineStr">
        <is>
          <t>TYRE CURING</t>
        </is>
      </c>
      <c r="F187" s="130" t="n">
        <v>41000</v>
      </c>
      <c r="G187" s="131">
        <f>NOW()-F187</f>
        <v/>
      </c>
      <c r="H187" s="104" t="inlineStr">
        <is>
          <t>O</t>
        </is>
      </c>
      <c r="I187" s="104" t="inlineStr">
        <is>
          <t>O</t>
        </is>
      </c>
      <c r="J187" s="104" t="n">
        <v>8</v>
      </c>
      <c r="K187" s="104" t="n">
        <v>9</v>
      </c>
      <c r="L187" s="104" t="n">
        <v>8</v>
      </c>
      <c r="M187" s="104" t="n">
        <v>9</v>
      </c>
      <c r="N187" s="104" t="n"/>
      <c r="O187" s="104">
        <f>SUM(J187:N187)</f>
        <v/>
      </c>
      <c r="P187" s="12">
        <f>O187/IF(H187="L",20,IF(H187="U",30,IF(H187="O",40,IF(H187="I",20,""))))</f>
        <v/>
      </c>
      <c r="Q187" s="132">
        <f>IF(AND(H187="L", P187&gt;=50%), "Pass",
IF(AND(H187="U", P187&gt;=60%), "Pass",
IF(AND(H187="O", P187&gt;=75%), "Pass", "Fail")))</f>
        <v/>
      </c>
      <c r="R187" s="104" t="n"/>
      <c r="S187" s="104" t="n">
        <v>15</v>
      </c>
      <c r="T187" s="104" t="n">
        <v>12</v>
      </c>
      <c r="U187" s="104">
        <f>SUM(S187:T187)</f>
        <v/>
      </c>
      <c r="V187" s="12">
        <f>U187/IF(H187="L",35,IF(H187="U",35,IF(H187="O",35,IF(H187="I",35,""))))</f>
        <v/>
      </c>
      <c r="W187" s="132">
        <f>IF(AND(H187="L", V187&gt;=50%), "Pass",
IF(AND(H187="U", V187&gt;=60%), "Pass",
IF(AND(H187="O", V187&gt;=75%), "Pass", "Fail")))</f>
        <v/>
      </c>
      <c r="X187" s="132">
        <f>IF(AND(Q187="Pass", W187="Pass"), "Pass", "Fail")</f>
        <v/>
      </c>
      <c r="Y187" s="15">
        <f>IF($X187="Pass",$H187,
IF(H187="L","I",
IF(H187="U","L",
IF(H187="O","U",
"I"))))</f>
        <v/>
      </c>
    </row>
    <row r="188">
      <c r="A188" s="147">
        <f>ROW()-2</f>
        <v/>
      </c>
      <c r="B188" s="127" t="n">
        <v>900404</v>
      </c>
      <c r="C188" s="128" t="inlineStr">
        <is>
          <t>SANKARA NARAYANAN C</t>
        </is>
      </c>
      <c r="D188" s="127" t="inlineStr">
        <is>
          <t>PRODUCTION</t>
        </is>
      </c>
      <c r="E188" s="129" t="inlineStr">
        <is>
          <t>TYRE CURING</t>
        </is>
      </c>
      <c r="F188" s="130" t="n">
        <v>41000</v>
      </c>
      <c r="G188" s="131">
        <f>NOW()-F188</f>
        <v/>
      </c>
      <c r="H188" s="104" t="inlineStr">
        <is>
          <t>O</t>
        </is>
      </c>
      <c r="I188" s="104" t="inlineStr">
        <is>
          <t>O</t>
        </is>
      </c>
      <c r="J188" s="104" t="n">
        <v>8</v>
      </c>
      <c r="K188" s="104" t="n">
        <v>9</v>
      </c>
      <c r="L188" s="104" t="n">
        <v>8</v>
      </c>
      <c r="M188" s="104" t="n">
        <v>8</v>
      </c>
      <c r="N188" s="104" t="n"/>
      <c r="O188" s="104">
        <f>SUM(J188:N188)</f>
        <v/>
      </c>
      <c r="P188" s="12">
        <f>O188/IF(H188="L",20,IF(H188="U",30,IF(H188="O",40,IF(H188="I",20,""))))</f>
        <v/>
      </c>
      <c r="Q188" s="132">
        <f>IF(AND(H188="L", P188&gt;=50%), "Pass",
IF(AND(H188="U", P188&gt;=60%), "Pass",
IF(AND(H188="O", P188&gt;=75%), "Pass", "Fail")))</f>
        <v/>
      </c>
      <c r="R188" s="104" t="n"/>
      <c r="S188" s="104" t="n">
        <v>13</v>
      </c>
      <c r="T188" s="104" t="n">
        <v>10</v>
      </c>
      <c r="U188" s="104">
        <f>SUM(S188:T188)</f>
        <v/>
      </c>
      <c r="V188" s="12">
        <f>U188/IF(H188="L",35,IF(H188="U",35,IF(H188="O",35,IF(H188="I",35,""))))</f>
        <v/>
      </c>
      <c r="W188" s="132">
        <f>IF(AND(H188="L", V188&gt;=50%), "Pass",
IF(AND(H188="U", V188&gt;=60%), "Pass",
IF(AND(H188="O", V188&gt;=75%), "Pass", "Fail")))</f>
        <v/>
      </c>
      <c r="X188" s="132">
        <f>IF(AND(Q188="Pass", W188="Pass"), "Pass", "Fail")</f>
        <v/>
      </c>
      <c r="Y188" s="15">
        <f>IF($X188="Pass",$H188,
IF(H188="L","I",
IF(H188="U","L",
IF(H188="O","U",
"I"))))</f>
        <v/>
      </c>
    </row>
    <row r="189">
      <c r="A189" s="147">
        <f>ROW()-2</f>
        <v/>
      </c>
      <c r="B189" s="127" t="n">
        <v>900405</v>
      </c>
      <c r="C189" s="128" t="inlineStr">
        <is>
          <t>MUTHU SAMY V</t>
        </is>
      </c>
      <c r="D189" s="127" t="inlineStr">
        <is>
          <t>PRODUCTION</t>
        </is>
      </c>
      <c r="E189" s="129" t="inlineStr">
        <is>
          <t>TYRE CURING</t>
        </is>
      </c>
      <c r="F189" s="130" t="n">
        <v>41000</v>
      </c>
      <c r="G189" s="131">
        <f>NOW()-F189</f>
        <v/>
      </c>
      <c r="H189" s="104" t="inlineStr">
        <is>
          <t>O</t>
        </is>
      </c>
      <c r="I189" s="104" t="inlineStr">
        <is>
          <t>O</t>
        </is>
      </c>
      <c r="J189" s="104" t="n">
        <v>9</v>
      </c>
      <c r="K189" s="104" t="n">
        <v>9</v>
      </c>
      <c r="L189" s="104" t="n">
        <v>10</v>
      </c>
      <c r="M189" s="104" t="n">
        <v>8</v>
      </c>
      <c r="N189" s="104" t="n"/>
      <c r="O189" s="104">
        <f>SUM(J189:N189)</f>
        <v/>
      </c>
      <c r="P189" s="12">
        <f>O189/IF(H189="L",20,IF(H189="U",30,IF(H189="O",40,IF(H189="I",20,""))))</f>
        <v/>
      </c>
      <c r="Q189" s="132">
        <f>IF(AND(H189="L", P189&gt;=50%), "Pass",
IF(AND(H189="U", P189&gt;=60%), "Pass",
IF(AND(H189="O", P189&gt;=75%), "Pass", "Fail")))</f>
        <v/>
      </c>
      <c r="R189" s="104" t="n"/>
      <c r="S189" s="104" t="n">
        <v>16</v>
      </c>
      <c r="T189" s="104" t="n">
        <v>11</v>
      </c>
      <c r="U189" s="104">
        <f>SUM(S189:T189)</f>
        <v/>
      </c>
      <c r="V189" s="12">
        <f>U189/IF(H189="L",35,IF(H189="U",35,IF(H189="O",35,IF(H189="I",35,""))))</f>
        <v/>
      </c>
      <c r="W189" s="132">
        <f>IF(AND(H189="L", V189&gt;=50%), "Pass",
IF(AND(H189="U", V189&gt;=60%), "Pass",
IF(AND(H189="O", V189&gt;=75%), "Pass", "Fail")))</f>
        <v/>
      </c>
      <c r="X189" s="132">
        <f>IF(AND(Q189="Pass", W189="Pass"), "Pass", "Fail")</f>
        <v/>
      </c>
      <c r="Y189" s="15">
        <f>IF($X189="Pass",$H189,
IF(H189="L","I",
IF(H189="U","L",
IF(H189="O","U",
"I"))))</f>
        <v/>
      </c>
    </row>
    <row r="190">
      <c r="A190" s="147">
        <f>ROW()-2</f>
        <v/>
      </c>
      <c r="B190" s="127" t="n">
        <v>900406</v>
      </c>
      <c r="C190" s="128" t="inlineStr">
        <is>
          <t>MUTHAIAH C</t>
        </is>
      </c>
      <c r="D190" s="127" t="inlineStr">
        <is>
          <t>PRODUCTION</t>
        </is>
      </c>
      <c r="E190" s="129" t="inlineStr">
        <is>
          <t>TYRE CURING</t>
        </is>
      </c>
      <c r="F190" s="130" t="n">
        <v>41000</v>
      </c>
      <c r="G190" s="131">
        <f>NOW()-F190</f>
        <v/>
      </c>
      <c r="H190" s="104" t="inlineStr">
        <is>
          <t>O</t>
        </is>
      </c>
      <c r="I190" s="104" t="inlineStr">
        <is>
          <t>O</t>
        </is>
      </c>
      <c r="J190" s="104" t="n">
        <v>9</v>
      </c>
      <c r="K190" s="104" t="n">
        <v>6</v>
      </c>
      <c r="L190" s="104" t="n">
        <v>8</v>
      </c>
      <c r="M190" s="104" t="n">
        <v>7</v>
      </c>
      <c r="N190" s="104" t="n"/>
      <c r="O190" s="104">
        <f>SUM(J190:N190)</f>
        <v/>
      </c>
      <c r="P190" s="12">
        <f>O190/IF(H190="L",20,IF(H190="U",30,IF(H190="O",40,IF(H190="I",20,""))))</f>
        <v/>
      </c>
      <c r="Q190" s="132">
        <f>IF(AND(H190="L", P190&gt;=50%), "Pass",
IF(AND(H190="U", P190&gt;=60%), "Pass",
IF(AND(H190="O", P190&gt;=75%), "Pass", "Fail")))</f>
        <v/>
      </c>
      <c r="R190" s="104" t="n"/>
      <c r="S190" s="104" t="n">
        <v>12</v>
      </c>
      <c r="T190" s="104" t="n">
        <v>9</v>
      </c>
      <c r="U190" s="104">
        <f>SUM(S190:T190)</f>
        <v/>
      </c>
      <c r="V190" s="12">
        <f>U190/IF(H190="L",35,IF(H190="U",35,IF(H190="O",35,IF(H190="I",35,""))))</f>
        <v/>
      </c>
      <c r="W190" s="132">
        <f>IF(AND(H190="L", V190&gt;=50%), "Pass",
IF(AND(H190="U", V190&gt;=60%), "Pass",
IF(AND(H190="O", V190&gt;=75%), "Pass", "Fail")))</f>
        <v/>
      </c>
      <c r="X190" s="132">
        <f>IF(AND(Q190="Pass", W190="Pass"), "Pass", "Fail")</f>
        <v/>
      </c>
      <c r="Y190" s="15">
        <f>IF($X190="Pass",$H190,
IF(H190="L","I",
IF(H190="U","L",
IF(H190="O","U",
"I"))))</f>
        <v/>
      </c>
    </row>
    <row r="191">
      <c r="A191" s="147">
        <f>ROW()-2</f>
        <v/>
      </c>
      <c r="B191" s="127" t="n">
        <v>900407</v>
      </c>
      <c r="C191" s="128" t="inlineStr">
        <is>
          <t>KANNAN M</t>
        </is>
      </c>
      <c r="D191" s="127" t="inlineStr">
        <is>
          <t>PRODUCTION</t>
        </is>
      </c>
      <c r="E191" s="129" t="inlineStr">
        <is>
          <t>TYRE CURING</t>
        </is>
      </c>
      <c r="F191" s="130" t="n">
        <v>41000</v>
      </c>
      <c r="G191" s="131">
        <f>NOW()-F191</f>
        <v/>
      </c>
      <c r="H191" s="104" t="inlineStr">
        <is>
          <t>O</t>
        </is>
      </c>
      <c r="I191" s="104" t="inlineStr">
        <is>
          <t>O</t>
        </is>
      </c>
      <c r="J191" s="104" t="n">
        <v>10</v>
      </c>
      <c r="K191" s="104" t="n">
        <v>9</v>
      </c>
      <c r="L191" s="104" t="n">
        <v>8</v>
      </c>
      <c r="M191" s="104" t="n">
        <v>7</v>
      </c>
      <c r="N191" s="104" t="n"/>
      <c r="O191" s="104">
        <f>SUM(J191:N191)</f>
        <v/>
      </c>
      <c r="P191" s="12">
        <f>O191/IF(H191="L",20,IF(H191="U",30,IF(H191="O",40,IF(H191="I",20,""))))</f>
        <v/>
      </c>
      <c r="Q191" s="132">
        <f>IF(AND(H191="L", P191&gt;=50%), "Pass",
IF(AND(H191="U", P191&gt;=60%), "Pass",
IF(AND(H191="O", P191&gt;=75%), "Pass", "Fail")))</f>
        <v/>
      </c>
      <c r="R191" s="104" t="n"/>
      <c r="S191" s="104" t="n">
        <v>18</v>
      </c>
      <c r="T191" s="104" t="n">
        <v>13</v>
      </c>
      <c r="U191" s="104">
        <f>SUM(S191:T191)</f>
        <v/>
      </c>
      <c r="V191" s="12">
        <f>U191/IF(H191="L",35,IF(H191="U",35,IF(H191="O",35,IF(H191="I",35,""))))</f>
        <v/>
      </c>
      <c r="W191" s="132">
        <f>IF(AND(H191="L", V191&gt;=50%), "Pass",
IF(AND(H191="U", V191&gt;=60%), "Pass",
IF(AND(H191="O", V191&gt;=75%), "Pass", "Fail")))</f>
        <v/>
      </c>
      <c r="X191" s="132">
        <f>IF(AND(Q191="Pass", W191="Pass"), "Pass", "Fail")</f>
        <v/>
      </c>
      <c r="Y191" s="15">
        <f>IF($X191="Pass",$H191,
IF(H191="L","I",
IF(H191="U","L",
IF(H191="O","U",
"I"))))</f>
        <v/>
      </c>
    </row>
    <row r="192">
      <c r="A192" s="147">
        <f>ROW()-2</f>
        <v/>
      </c>
      <c r="B192" s="127" t="n">
        <v>900408</v>
      </c>
      <c r="C192" s="128" t="inlineStr">
        <is>
          <t>NAVANEETHA KRISHNAN G</t>
        </is>
      </c>
      <c r="D192" s="127" t="inlineStr">
        <is>
          <t>PRODUCTION</t>
        </is>
      </c>
      <c r="E192" s="129" t="inlineStr">
        <is>
          <t>TYRE BUILDING-P3</t>
        </is>
      </c>
      <c r="F192" s="130" t="n">
        <v>41000</v>
      </c>
      <c r="G192" s="131">
        <f>NOW()-F192</f>
        <v/>
      </c>
      <c r="H192" s="104" t="inlineStr">
        <is>
          <t>O</t>
        </is>
      </c>
      <c r="I192" s="104" t="inlineStr">
        <is>
          <t>U</t>
        </is>
      </c>
      <c r="J192" s="104" t="n">
        <v>9</v>
      </c>
      <c r="K192" s="104" t="n">
        <v>10</v>
      </c>
      <c r="L192" s="104" t="n">
        <v>8</v>
      </c>
      <c r="M192" s="104" t="n">
        <v>8</v>
      </c>
      <c r="N192" s="104" t="n"/>
      <c r="O192" s="104">
        <f>SUM(J192:N192)</f>
        <v/>
      </c>
      <c r="P192" s="12">
        <f>O192/IF(H192="L",20,IF(H192="U",30,IF(H192="O",40,IF(H192="I",20,""))))</f>
        <v/>
      </c>
      <c r="Q192" s="132">
        <f>IF(AND(H192="L", P192&gt;=50%), "Pass",
IF(AND(H192="U", P192&gt;=60%), "Pass",
IF(AND(H192="O", P192&gt;=75%), "Pass", "Fail")))</f>
        <v/>
      </c>
      <c r="R192" s="104" t="n"/>
      <c r="S192" s="43" t="n">
        <v>19</v>
      </c>
      <c r="T192" s="43" t="n">
        <v>15</v>
      </c>
      <c r="U192" s="104">
        <f>SUM(S192:T192)</f>
        <v/>
      </c>
      <c r="V192" s="12">
        <f>U192/IF(H192="L",35,IF(H192="U",35,IF(H192="O",35,IF(H192="I",35,""))))</f>
        <v/>
      </c>
      <c r="W192" s="132">
        <f>IF(AND(H192="L", V192&gt;=50%), "Pass",
IF(AND(H192="U", V192&gt;=60%), "Pass",
IF(AND(H192="O", V192&gt;=75%), "Pass", "Fail")))</f>
        <v/>
      </c>
      <c r="X192" s="132">
        <f>IF(AND(Q192="Pass", W192="Pass"), "Pass", "Fail")</f>
        <v/>
      </c>
      <c r="Y192" s="15">
        <f>IF($X192="Pass",$H192,
IF(H192="L","I",
IF(H192="U","L",
IF(H192="O","U",
"I"))))</f>
        <v/>
      </c>
    </row>
    <row r="193">
      <c r="A193" s="147">
        <f>ROW()-2</f>
        <v/>
      </c>
      <c r="B193" s="127" t="n">
        <v>900409</v>
      </c>
      <c r="C193" s="128" t="inlineStr">
        <is>
          <t>JEYA RAJ A</t>
        </is>
      </c>
      <c r="D193" s="127" t="inlineStr">
        <is>
          <t>PRODUCTION</t>
        </is>
      </c>
      <c r="E193" s="129" t="inlineStr">
        <is>
          <t>TYRE CURING</t>
        </is>
      </c>
      <c r="F193" s="130" t="n">
        <v>41000</v>
      </c>
      <c r="G193" s="131">
        <f>NOW()-F193</f>
        <v/>
      </c>
      <c r="H193" s="104" t="inlineStr">
        <is>
          <t>O</t>
        </is>
      </c>
      <c r="I193" s="104" t="inlineStr">
        <is>
          <t>O</t>
        </is>
      </c>
      <c r="J193" s="104" t="n">
        <v>10</v>
      </c>
      <c r="K193" s="104" t="n">
        <v>8</v>
      </c>
      <c r="L193" s="104" t="n">
        <v>9</v>
      </c>
      <c r="M193" s="104" t="n">
        <v>8</v>
      </c>
      <c r="N193" s="104" t="n"/>
      <c r="O193" s="104">
        <f>SUM(J193:N193)</f>
        <v/>
      </c>
      <c r="P193" s="12">
        <f>O193/IF(H193="L",20,IF(H193="U",30,IF(H193="O",40,IF(H193="I",20,""))))</f>
        <v/>
      </c>
      <c r="Q193" s="132">
        <f>IF(AND(H193="L", P193&gt;=50%), "Pass",
IF(AND(H193="U", P193&gt;=60%), "Pass",
IF(AND(H193="O", P193&gt;=75%), "Pass", "Fail")))</f>
        <v/>
      </c>
      <c r="R193" s="104" t="n"/>
      <c r="S193" s="104" t="n">
        <v>11</v>
      </c>
      <c r="T193" s="104" t="n">
        <v>9</v>
      </c>
      <c r="U193" s="104">
        <f>SUM(S193:T193)</f>
        <v/>
      </c>
      <c r="V193" s="12">
        <f>U193/IF(H193="L",35,IF(H193="U",35,IF(H193="O",35,IF(H193="I",35,""))))</f>
        <v/>
      </c>
      <c r="W193" s="132">
        <f>IF(AND(H193="L", V193&gt;=50%), "Pass",
IF(AND(H193="U", V193&gt;=60%), "Pass",
IF(AND(H193="O", V193&gt;=75%), "Pass", "Fail")))</f>
        <v/>
      </c>
      <c r="X193" s="132">
        <f>IF(AND(Q193="Pass", W193="Pass"), "Pass", "Fail")</f>
        <v/>
      </c>
      <c r="Y193" s="15">
        <f>IF($X193="Pass",$H193,
IF(H193="L","I",
IF(H193="U","L",
IF(H193="O","U",
"I"))))</f>
        <v/>
      </c>
    </row>
    <row r="194">
      <c r="A194" s="147">
        <f>ROW()-2</f>
        <v/>
      </c>
      <c r="B194" s="127" t="n">
        <v>900411</v>
      </c>
      <c r="C194" s="128" t="inlineStr">
        <is>
          <t>ESAKKI PANDIAN S</t>
        </is>
      </c>
      <c r="D194" s="127" t="inlineStr">
        <is>
          <t>PRODUCTION</t>
        </is>
      </c>
      <c r="E194" s="129" t="inlineStr">
        <is>
          <t>TYRE CURING</t>
        </is>
      </c>
      <c r="F194" s="130" t="n">
        <v>41000</v>
      </c>
      <c r="G194" s="131">
        <f>NOW()-F194</f>
        <v/>
      </c>
      <c r="H194" s="104" t="inlineStr">
        <is>
          <t>O</t>
        </is>
      </c>
      <c r="I194" s="104" t="inlineStr">
        <is>
          <t>O</t>
        </is>
      </c>
      <c r="J194" s="104" t="n">
        <v>9</v>
      </c>
      <c r="K194" s="104" t="n">
        <v>9</v>
      </c>
      <c r="L194" s="104" t="n">
        <v>9</v>
      </c>
      <c r="M194" s="104" t="n">
        <v>10</v>
      </c>
      <c r="N194" s="104" t="n"/>
      <c r="O194" s="104">
        <f>SUM(J194:N194)</f>
        <v/>
      </c>
      <c r="P194" s="12">
        <f>O194/IF(H194="L",20,IF(H194="U",30,IF(H194="O",40,IF(H194="I",20,""))))</f>
        <v/>
      </c>
      <c r="Q194" s="132">
        <f>IF(AND(H194="L", P194&gt;=50%), "Pass",
IF(AND(H194="U", P194&gt;=60%), "Pass",
IF(AND(H194="O", P194&gt;=75%), "Pass", "Fail")))</f>
        <v/>
      </c>
      <c r="R194" s="104" t="n"/>
      <c r="S194" s="104" t="n">
        <v>16</v>
      </c>
      <c r="T194" s="104" t="n">
        <v>12</v>
      </c>
      <c r="U194" s="104">
        <f>SUM(S194:T194)</f>
        <v/>
      </c>
      <c r="V194" s="12">
        <f>U194/IF(H194="L",35,IF(H194="U",35,IF(H194="O",35,IF(H194="I",35,""))))</f>
        <v/>
      </c>
      <c r="W194" s="132">
        <f>IF(AND(H194="L", V194&gt;=50%), "Pass",
IF(AND(H194="U", V194&gt;=60%), "Pass",
IF(AND(H194="O", V194&gt;=75%), "Pass", "Fail")))</f>
        <v/>
      </c>
      <c r="X194" s="132">
        <f>IF(AND(Q194="Pass", W194="Pass"), "Pass", "Fail")</f>
        <v/>
      </c>
      <c r="Y194" s="15">
        <f>IF($X194="Pass",$H194,
IF(H194="L","I",
IF(H194="U","L",
IF(H194="O","U",
"I"))))</f>
        <v/>
      </c>
    </row>
    <row r="195">
      <c r="A195" s="147">
        <f>ROW()-2</f>
        <v/>
      </c>
      <c r="B195" s="127" t="n">
        <v>900412</v>
      </c>
      <c r="C195" s="128" t="inlineStr">
        <is>
          <t>MARI MUTHU K</t>
        </is>
      </c>
      <c r="D195" s="127" t="inlineStr">
        <is>
          <t>PRODUCTION</t>
        </is>
      </c>
      <c r="E195" s="129" t="inlineStr">
        <is>
          <t>TYRE CURING</t>
        </is>
      </c>
      <c r="F195" s="130" t="n">
        <v>41000</v>
      </c>
      <c r="G195" s="131">
        <f>NOW()-F195</f>
        <v/>
      </c>
      <c r="H195" s="104" t="inlineStr">
        <is>
          <t>O</t>
        </is>
      </c>
      <c r="I195" s="104" t="inlineStr">
        <is>
          <t>O</t>
        </is>
      </c>
      <c r="J195" s="104" t="n">
        <v>9</v>
      </c>
      <c r="K195" s="104" t="n">
        <v>9</v>
      </c>
      <c r="L195" s="104" t="n">
        <v>8</v>
      </c>
      <c r="M195" s="104" t="n">
        <v>8</v>
      </c>
      <c r="N195" s="104" t="n"/>
      <c r="O195" s="104">
        <f>SUM(J195:N195)</f>
        <v/>
      </c>
      <c r="P195" s="12">
        <f>O195/IF(H195="L",20,IF(H195="U",30,IF(H195="O",40,IF(H195="I",20,""))))</f>
        <v/>
      </c>
      <c r="Q195" s="132">
        <f>IF(AND(H195="L", P195&gt;=50%), "Pass",
 IF(AND(H195="U", P195&gt;=60%), "Pass",
 IF(AND(H195="O", P195&gt;=75%), "Pass", "Fail")))</f>
        <v/>
      </c>
      <c r="R195" s="104" t="n"/>
      <c r="S195" s="104" t="n">
        <v>17</v>
      </c>
      <c r="T195" s="104" t="n">
        <v>13</v>
      </c>
      <c r="U195" s="104">
        <f>SUM(S195:T195)</f>
        <v/>
      </c>
      <c r="V195" s="12">
        <f>U195/IF(H195="L",35,IF(H195="U",35,IF(H195="O",35,IF(H195="I",35,""))))</f>
        <v/>
      </c>
      <c r="W195" s="132">
        <f>IF(AND(H195="L", V195&gt;=50%), "Pass",
 IF(AND(H195="U", V195&gt;=60%), "Pass",
 IF(AND(H195="O", V195&gt;=75%), "Pass", "Fail")))</f>
        <v/>
      </c>
      <c r="X195" s="132">
        <f>IF(AND(Q195="Pass", W195="Pass"), "Pass", "Fail")</f>
        <v/>
      </c>
      <c r="Y195" s="15">
        <f>IF($X195="Pass",$H195,
IF(H195="L","I",
IF(H195="U","L",
IF(H195="O","U",
"I"))))</f>
        <v/>
      </c>
    </row>
    <row r="196">
      <c r="A196" s="147">
        <f>ROW()-2</f>
        <v/>
      </c>
      <c r="B196" s="127" t="n">
        <v>900413</v>
      </c>
      <c r="C196" s="128" t="inlineStr">
        <is>
          <t>VIJAYA KUMAR S</t>
        </is>
      </c>
      <c r="D196" s="127" t="inlineStr">
        <is>
          <t>PRODUCTION</t>
        </is>
      </c>
      <c r="E196" s="129" t="inlineStr">
        <is>
          <t>TYRE CURING</t>
        </is>
      </c>
      <c r="F196" s="130" t="n">
        <v>41000</v>
      </c>
      <c r="G196" s="131">
        <f>NOW()-F196</f>
        <v/>
      </c>
      <c r="H196" s="104" t="inlineStr">
        <is>
          <t>O</t>
        </is>
      </c>
      <c r="I196" s="104" t="inlineStr">
        <is>
          <t>U</t>
        </is>
      </c>
      <c r="J196" s="104" t="n">
        <v>8</v>
      </c>
      <c r="K196" s="104" t="n">
        <v>9</v>
      </c>
      <c r="L196" s="104" t="n">
        <v>8</v>
      </c>
      <c r="M196" s="104" t="n">
        <v>7</v>
      </c>
      <c r="N196" s="104" t="n"/>
      <c r="O196" s="104">
        <f>SUM(J196:N196)</f>
        <v/>
      </c>
      <c r="P196" s="12">
        <f>O196/IF(H196="L",20,IF(H196="U",30,IF(H196="O",40,IF(H196="I",20,""))))</f>
        <v/>
      </c>
      <c r="Q196" s="132">
        <f>IF(AND(H196="L", P196&gt;=50%), "Pass",
IF(AND(H196="U", P196&gt;=60%), "Pass",
IF(AND(H196="O", P196&gt;=75%), "Pass", "Fail")))</f>
        <v/>
      </c>
      <c r="R196" s="104" t="n"/>
      <c r="S196" s="104" t="n">
        <v>18</v>
      </c>
      <c r="T196" s="104" t="n">
        <v>12</v>
      </c>
      <c r="U196" s="104">
        <f>SUM(S196:T196)</f>
        <v/>
      </c>
      <c r="V196" s="12">
        <f>U196/IF(H196="L",35,IF(H196="U",35,IF(H196="O",35,IF(H196="I",35,""))))</f>
        <v/>
      </c>
      <c r="W196" s="132">
        <f>IF(AND(H196="L", V196&gt;=50%), "Pass",
IF(AND(H196="U", V196&gt;=60%), "Pass",
IF(AND(H196="O", V196&gt;=75%), "Pass", "Fail")))</f>
        <v/>
      </c>
      <c r="X196" s="132">
        <f>IF(AND(Q196="Pass", W196="Pass"), "Pass", "Fail")</f>
        <v/>
      </c>
      <c r="Y196" s="15">
        <f>IF($X196="Pass",$H196,
IF(H196="L","I",
IF(H196="U","L",
IF(H196="O","U",
"I"))))</f>
        <v/>
      </c>
    </row>
    <row r="197">
      <c r="A197" s="147">
        <f>ROW()-2</f>
        <v/>
      </c>
      <c r="B197" s="127" t="n">
        <v>900414</v>
      </c>
      <c r="C197" s="128" t="inlineStr">
        <is>
          <t>SARAT PARDN</t>
        </is>
      </c>
      <c r="D197" s="127" t="inlineStr">
        <is>
          <t>PRODUCTION</t>
        </is>
      </c>
      <c r="E197" s="129" t="inlineStr">
        <is>
          <t>TYRE CURING</t>
        </is>
      </c>
      <c r="F197" s="130" t="n">
        <v>41000</v>
      </c>
      <c r="G197" s="131">
        <f>NOW()-F197</f>
        <v/>
      </c>
      <c r="H197" s="104" t="inlineStr">
        <is>
          <t>O</t>
        </is>
      </c>
      <c r="I197" s="104" t="inlineStr">
        <is>
          <t>O</t>
        </is>
      </c>
      <c r="J197" s="104" t="n">
        <v>8</v>
      </c>
      <c r="K197" s="104" t="n">
        <v>9</v>
      </c>
      <c r="L197" s="104" t="n">
        <v>8</v>
      </c>
      <c r="M197" s="104" t="n">
        <v>8</v>
      </c>
      <c r="N197" s="104" t="n"/>
      <c r="O197" s="104">
        <f>SUM(J197:N197)</f>
        <v/>
      </c>
      <c r="P197" s="12">
        <f>O197/IF(H197="L",20,IF(H197="U",30,IF(H197="O",40,IF(H197="I",20,""))))</f>
        <v/>
      </c>
      <c r="Q197" s="132">
        <f>IF(AND(H197="L", P197&gt;=50%), "Pass",
IF(AND(H197="U", P197&gt;=60%), "Pass",
IF(AND(H197="O", P197&gt;=75%), "Pass", "Fail")))</f>
        <v/>
      </c>
      <c r="R197" s="104" t="n"/>
      <c r="S197" s="104" t="n">
        <v>12</v>
      </c>
      <c r="T197" s="104" t="n">
        <v>9</v>
      </c>
      <c r="U197" s="104">
        <f>SUM(S197:T197)</f>
        <v/>
      </c>
      <c r="V197" s="12">
        <f>U197/IF(H197="L",35,IF(H197="U",35,IF(H197="O",35,IF(H197="I",35,""))))</f>
        <v/>
      </c>
      <c r="W197" s="132">
        <f>IF(AND(H197="L", V197&gt;=50%), "Pass",
IF(AND(H197="U", V197&gt;=60%), "Pass",
IF(AND(H197="O", V197&gt;=75%), "Pass", "Fail")))</f>
        <v/>
      </c>
      <c r="X197" s="132">
        <f>IF(AND(Q197="Pass", W197="Pass"), "Pass", "Fail")</f>
        <v/>
      </c>
      <c r="Y197" s="15">
        <f>IF($X197="Pass",$H197,
IF(H197="L","I",
IF(H197="U","L",
IF(H197="O","U",
"I"))))</f>
        <v/>
      </c>
    </row>
    <row r="198">
      <c r="A198" s="147">
        <f>ROW()-2</f>
        <v/>
      </c>
      <c r="B198" s="127" t="n">
        <v>900415</v>
      </c>
      <c r="C198" s="128" t="inlineStr">
        <is>
          <t>JAYA RAMAN T</t>
        </is>
      </c>
      <c r="D198" s="127" t="inlineStr">
        <is>
          <t>PRODUCTION</t>
        </is>
      </c>
      <c r="E198" s="129" t="inlineStr">
        <is>
          <t>TYRE CURING</t>
        </is>
      </c>
      <c r="F198" s="130" t="n">
        <v>41000</v>
      </c>
      <c r="G198" s="131">
        <f>NOW()-F198</f>
        <v/>
      </c>
      <c r="H198" s="104" t="inlineStr">
        <is>
          <t>O</t>
        </is>
      </c>
      <c r="I198" s="104" t="inlineStr">
        <is>
          <t>O</t>
        </is>
      </c>
      <c r="J198" s="104" t="n">
        <v>8</v>
      </c>
      <c r="K198" s="104" t="n">
        <v>6</v>
      </c>
      <c r="L198" s="104" t="n">
        <v>7</v>
      </c>
      <c r="M198" s="104" t="n">
        <v>4</v>
      </c>
      <c r="N198" s="104" t="n"/>
      <c r="O198" s="104">
        <f>SUM(J198:N198)</f>
        <v/>
      </c>
      <c r="P198" s="12">
        <f>O198/IF(H198="L",20,IF(H198="U",30,IF(H198="O",40,IF(H198="I",20,""))))</f>
        <v/>
      </c>
      <c r="Q198" s="132">
        <f>IF(AND(H198="L", P198&gt;=50%), "Pass",
IF(AND(H198="U", P198&gt;=60%), "Pass",
IF(AND(H198="O", P198&gt;=75%), "Pass", "Fail")))</f>
        <v/>
      </c>
      <c r="R198" s="104" t="n"/>
      <c r="S198" s="104" t="n">
        <v>11</v>
      </c>
      <c r="T198" s="104" t="n">
        <v>7</v>
      </c>
      <c r="U198" s="104">
        <f>SUM(S198:T198)</f>
        <v/>
      </c>
      <c r="V198" s="12">
        <f>U198/IF(H198="L",35,IF(H198="U",35,IF(H198="O",35,IF(H198="I",35,""))))</f>
        <v/>
      </c>
      <c r="W198" s="132">
        <f>IF(AND(H198="L", V198&gt;=50%), "Pass",
IF(AND(H198="U", V198&gt;=60%), "Pass",
IF(AND(H198="O", V198&gt;=75%), "Pass", "Fail")))</f>
        <v/>
      </c>
      <c r="X198" s="132">
        <f>IF(AND(Q198="Pass", W198="Pass"), "Pass", "Fail")</f>
        <v/>
      </c>
      <c r="Y198" s="15">
        <f>IF($X198="Pass",$H198,
IF(H198="L","I",
IF(H198="U","L",
IF(H198="O","U",
"I"))))</f>
        <v/>
      </c>
    </row>
    <row r="199">
      <c r="A199" s="147">
        <f>ROW()-2</f>
        <v/>
      </c>
      <c r="B199" s="127" t="n">
        <v>900416</v>
      </c>
      <c r="C199" s="128" t="inlineStr">
        <is>
          <t>SHANMUGA SUNDARAM B</t>
        </is>
      </c>
      <c r="D199" s="127" t="inlineStr">
        <is>
          <t>PRODUCTION</t>
        </is>
      </c>
      <c r="E199" s="129" t="inlineStr">
        <is>
          <t>TYRE CURING</t>
        </is>
      </c>
      <c r="F199" s="130" t="n">
        <v>41000</v>
      </c>
      <c r="G199" s="131">
        <f>NOW()-F199</f>
        <v/>
      </c>
      <c r="H199" s="104" t="inlineStr">
        <is>
          <t>O</t>
        </is>
      </c>
      <c r="I199" s="104" t="inlineStr">
        <is>
          <t>U</t>
        </is>
      </c>
      <c r="J199" s="104" t="n">
        <v>9</v>
      </c>
      <c r="K199" s="104" t="n">
        <v>9</v>
      </c>
      <c r="L199" s="104" t="n">
        <v>8</v>
      </c>
      <c r="M199" s="104" t="n">
        <v>9</v>
      </c>
      <c r="N199" s="104" t="n"/>
      <c r="O199" s="104">
        <f>SUM(J199:N199)</f>
        <v/>
      </c>
      <c r="P199" s="12">
        <f>O199/IF(H199="L",20,IF(H199="U",30,IF(H199="O",40,IF(H199="I",20,""))))</f>
        <v/>
      </c>
      <c r="Q199" s="132">
        <f>IF(AND(H199="L", P199&gt;=50%), "Pass",
IF(AND(H199="U", P199&gt;=60%), "Pass",
IF(AND(H199="O", P199&gt;=75%), "Pass", "Fail")))</f>
        <v/>
      </c>
      <c r="R199" s="104" t="n"/>
      <c r="S199" s="104" t="n">
        <v>11</v>
      </c>
      <c r="T199" s="104" t="n">
        <v>6</v>
      </c>
      <c r="U199" s="104">
        <f>SUM(S199:T199)</f>
        <v/>
      </c>
      <c r="V199" s="12">
        <f>U199/IF(H199="L",35,IF(H199="U",35,IF(H199="O",35,IF(H199="I",35,""))))</f>
        <v/>
      </c>
      <c r="W199" s="132">
        <f>IF(AND(H199="L", V199&gt;=50%), "Pass",
IF(AND(H199="U", V199&gt;=60%), "Pass",
IF(AND(H199="O", V199&gt;=75%), "Pass", "Fail")))</f>
        <v/>
      </c>
      <c r="X199" s="132">
        <f>IF(AND(Q199="Pass", W199="Pass"), "Pass", "Fail")</f>
        <v/>
      </c>
      <c r="Y199" s="15">
        <f>IF($X199="Pass",$H199,
IF(H199="L","I",
IF(H199="U","L",
IF(H199="O","U",
"I"))))</f>
        <v/>
      </c>
    </row>
    <row r="200">
      <c r="A200" s="147">
        <f>ROW()-2</f>
        <v/>
      </c>
      <c r="B200" s="127" t="n">
        <v>900417</v>
      </c>
      <c r="C200" s="128" t="inlineStr">
        <is>
          <t>ANTONY RAJ D</t>
        </is>
      </c>
      <c r="D200" s="127" t="inlineStr">
        <is>
          <t>PRODUCTION</t>
        </is>
      </c>
      <c r="E200" s="129" t="inlineStr">
        <is>
          <t>TYRE BUILDING-P2</t>
        </is>
      </c>
      <c r="F200" s="130" t="n">
        <v>41000</v>
      </c>
      <c r="G200" s="131">
        <f>NOW()-F200</f>
        <v/>
      </c>
      <c r="H200" s="104" t="inlineStr">
        <is>
          <t>O</t>
        </is>
      </c>
      <c r="I200" s="104" t="inlineStr">
        <is>
          <t>U</t>
        </is>
      </c>
      <c r="J200" s="104" t="n">
        <v>9</v>
      </c>
      <c r="K200" s="104" t="n">
        <v>7</v>
      </c>
      <c r="L200" s="104" t="n">
        <v>8</v>
      </c>
      <c r="M200" s="104" t="n">
        <v>7</v>
      </c>
      <c r="N200" s="104" t="n"/>
      <c r="O200" s="104">
        <f>SUM(J200:N200)</f>
        <v/>
      </c>
      <c r="P200" s="12">
        <f>O200/IF(H200="L",20,IF(H200="U",30,IF(H200="O",40,IF(H200="I",20,""))))</f>
        <v/>
      </c>
      <c r="Q200" s="132">
        <f>IF(AND(H200="L", P200&gt;=50%), "Pass",
IF(AND(H200="U", P200&gt;=60%), "Pass",
IF(AND(H200="O", P200&gt;=75%), "Pass", "Fail")))</f>
        <v/>
      </c>
      <c r="R200" s="104" t="n"/>
      <c r="S200" s="104" t="n">
        <v>13</v>
      </c>
      <c r="T200" s="104" t="n">
        <v>10</v>
      </c>
      <c r="U200" s="104">
        <f>SUM(S200:T200)</f>
        <v/>
      </c>
      <c r="V200" s="12">
        <f>U200/IF(H200="L",35,IF(H200="U",35,IF(H200="O",35,IF(H200="I",35,""))))</f>
        <v/>
      </c>
      <c r="W200" s="132">
        <f>IF(AND(H200="L", V200&gt;=50%), "Pass",
IF(AND(H200="U", V200&gt;=60%), "Pass",
IF(AND(H200="O", V200&gt;=75%), "Pass", "Fail")))</f>
        <v/>
      </c>
      <c r="X200" s="132">
        <f>IF(AND(Q200="Pass", W200="Pass"), "Pass", "Fail")</f>
        <v/>
      </c>
      <c r="Y200" s="15">
        <f>IF($X200="Pass",$H200,
IF(H200="L","I",
IF(H200="U","L",
IF(H200="O","U",
"I"))))</f>
        <v/>
      </c>
      <c r="Z200" s="82">
        <f>V200-75%</f>
        <v/>
      </c>
    </row>
    <row r="201">
      <c r="A201" s="147">
        <f>ROW()-2</f>
        <v/>
      </c>
      <c r="B201" s="127" t="n">
        <v>900419</v>
      </c>
      <c r="C201" s="128" t="inlineStr">
        <is>
          <t>RAMAR M</t>
        </is>
      </c>
      <c r="D201" s="127" t="inlineStr">
        <is>
          <t>PRODUCTION</t>
        </is>
      </c>
      <c r="E201" s="129" t="inlineStr">
        <is>
          <t>EXTRUDER</t>
        </is>
      </c>
      <c r="F201" s="130" t="n">
        <v>41000</v>
      </c>
      <c r="G201" s="131">
        <f>NOW()-F201</f>
        <v/>
      </c>
      <c r="H201" s="104" t="inlineStr">
        <is>
          <t>O</t>
        </is>
      </c>
      <c r="I201" s="104" t="inlineStr">
        <is>
          <t>U</t>
        </is>
      </c>
      <c r="J201" s="104" t="inlineStr">
        <is>
          <t xml:space="preserve"> </t>
        </is>
      </c>
      <c r="K201" s="104" t="n">
        <v>8</v>
      </c>
      <c r="L201" s="104" t="n">
        <v>9</v>
      </c>
      <c r="M201" s="104" t="n">
        <v>10</v>
      </c>
      <c r="N201" s="104" t="n"/>
      <c r="O201" s="104">
        <f>SUM(J201:N201)</f>
        <v/>
      </c>
      <c r="P201" s="12">
        <f>O201/IF(H201="L",20,IF(H201="U",30,IF(H201="O",40,IF(H201="I",20,""))))</f>
        <v/>
      </c>
      <c r="Q201" s="132">
        <f>IF(AND(H201="L", P201&gt;=50%), "Pass",
IF(AND(H201="U", P201&gt;=60%), "Pass",
IF(AND(H201="O", P201&gt;=75%), "Pass", "Fail")))</f>
        <v/>
      </c>
      <c r="R201" s="104" t="n"/>
      <c r="S201" s="104" t="n">
        <v>14</v>
      </c>
      <c r="T201" s="104" t="n">
        <v>13</v>
      </c>
      <c r="U201" s="104">
        <f>SUM(S201:T201)</f>
        <v/>
      </c>
      <c r="V201" s="12">
        <f>U201/IF(H201="L",35,IF(H201="U",35,IF(H201="O",35,IF(H201="I",35,""))))</f>
        <v/>
      </c>
      <c r="W201" s="132">
        <f>IF(AND(H201="L", V201&gt;=50%), "Pass",
IF(AND(H201="U", V201&gt;=60%), "Pass",
IF(AND(H201="O", V201&gt;=75%), "Pass", "Fail")))</f>
        <v/>
      </c>
      <c r="X201" s="132">
        <f>IF(AND(Q201="Pass", W201="Pass"), "Pass", "Fail")</f>
        <v/>
      </c>
      <c r="Y201" s="15">
        <f>IF($X201="Pass",$H201,
IF(H201="L","I",
IF(H201="U","L",
IF(H201="O","U",
"I"))))</f>
        <v/>
      </c>
    </row>
    <row r="202">
      <c r="A202" s="147">
        <f>ROW()-2</f>
        <v/>
      </c>
      <c r="B202" s="133" t="n">
        <v>900428</v>
      </c>
      <c r="C202" s="148" t="inlineStr">
        <is>
          <t>MUTHUSAMY V</t>
        </is>
      </c>
      <c r="D202" s="127" t="inlineStr">
        <is>
          <t>PRODUCTION</t>
        </is>
      </c>
      <c r="E202" s="135" t="inlineStr">
        <is>
          <t>MIXING</t>
        </is>
      </c>
      <c r="F202" s="136" t="n">
        <v>41000</v>
      </c>
      <c r="G202" s="131">
        <f>NOW()-F202</f>
        <v/>
      </c>
      <c r="H202" s="104" t="inlineStr">
        <is>
          <t>O</t>
        </is>
      </c>
      <c r="I202" s="104" t="inlineStr">
        <is>
          <t>U</t>
        </is>
      </c>
      <c r="J202" s="104" t="inlineStr">
        <is>
          <t>NIL</t>
        </is>
      </c>
      <c r="K202" s="104" t="n"/>
      <c r="L202" s="104" t="n"/>
      <c r="M202" s="104" t="n"/>
      <c r="N202" s="104" t="n"/>
      <c r="O202" s="104" t="n"/>
      <c r="P202" s="12">
        <f>O202/IF(H202="L",20,IF(H202="U",30,IF(H202="O",40,IF(H202="I",20,""))))</f>
        <v/>
      </c>
      <c r="Q202" s="132">
        <f>IF(AND(H202="L", P202&gt;=50%), "Pass",
IF(AND(H202="U", P202&gt;=60%), "Pass",
IF(AND(H202="O", P202&gt;=75%), "Pass", "Fail")))</f>
        <v/>
      </c>
      <c r="R202" s="104" t="n"/>
      <c r="S202" s="104" t="n">
        <v>15</v>
      </c>
      <c r="T202" s="104" t="n">
        <v>11</v>
      </c>
      <c r="U202" s="104">
        <f>SUM(S202:T202)</f>
        <v/>
      </c>
      <c r="V202" s="12">
        <f>U202/IF(H202="L",35,IF(H202="U",35,IF(H202="O",35,IF(H202="I",35,""))))</f>
        <v/>
      </c>
      <c r="W202" s="132">
        <f>IF(AND(H202="L", V202&gt;=50%), "Pass",
IF(AND(H202="U", V202&gt;=60%), "Pass",
IF(AND(H202="O", V202&gt;=75%), "Pass", "Fail")))</f>
        <v/>
      </c>
      <c r="X202" s="132">
        <f>IF(AND(Q202="Pass", W202="Pass"), "Pass", "Fail")</f>
        <v/>
      </c>
      <c r="Y202" s="15">
        <f>IF($X202="Pass",$H202,
IF(H202="L","I",
IF(H202="U","L",
IF(H202="O","U",
"I"))))</f>
        <v/>
      </c>
      <c r="Z202" s="82" t="n"/>
    </row>
    <row r="203">
      <c r="A203" s="147">
        <f>ROW()-2</f>
        <v/>
      </c>
      <c r="B203" s="127" t="n">
        <v>900439</v>
      </c>
      <c r="C203" s="128" t="inlineStr">
        <is>
          <t>RAVI KUMAR M</t>
        </is>
      </c>
      <c r="D203" s="127" t="inlineStr">
        <is>
          <t>PRODUCTION</t>
        </is>
      </c>
      <c r="E203" s="129" t="inlineStr">
        <is>
          <t>BIAS MARANGONI&amp;BESTRY</t>
        </is>
      </c>
      <c r="F203" s="130" t="n">
        <v>41000</v>
      </c>
      <c r="G203" s="131">
        <f>NOW()-F203</f>
        <v/>
      </c>
      <c r="H203" s="104" t="inlineStr">
        <is>
          <t>O</t>
        </is>
      </c>
      <c r="I203" s="104" t="inlineStr">
        <is>
          <t>O</t>
        </is>
      </c>
      <c r="J203" s="104" t="n">
        <v>7</v>
      </c>
      <c r="K203" s="104" t="n">
        <v>9</v>
      </c>
      <c r="L203" s="104" t="n">
        <v>8</v>
      </c>
      <c r="M203" s="104" t="n">
        <v>8</v>
      </c>
      <c r="N203" s="104" t="n"/>
      <c r="O203" s="104">
        <f>SUM(J203:N203)</f>
        <v/>
      </c>
      <c r="P203" s="12">
        <f>O203/IF(H203="L",20,IF(H203="U",30,IF(H203="O",40,IF(H203="I",20,""))))</f>
        <v/>
      </c>
      <c r="Q203" s="132">
        <f>IF(AND(H203="L", P203&gt;=50%), "Pass",
IF(AND(H203="U", P203&gt;=60%), "Pass",
IF(AND(H203="O", P203&gt;=75%), "Pass", "Fail")))</f>
        <v/>
      </c>
      <c r="R203" s="104" t="n"/>
      <c r="S203" s="104" t="n">
        <v>16</v>
      </c>
      <c r="T203" s="104" t="n">
        <v>12</v>
      </c>
      <c r="U203" s="104">
        <f>SUM(S203:T203)</f>
        <v/>
      </c>
      <c r="V203" s="12">
        <f>U203/IF(H203="L",35,IF(H203="U",35,IF(H203="O",35,IF(H203="I",35,""))))</f>
        <v/>
      </c>
      <c r="W203" s="132">
        <f>IF(AND(H203="L", V203&gt;=50%), "Pass",
IF(AND(H203="U", V203&gt;=60%), "Pass",
IF(AND(H203="O", V203&gt;=75%), "Pass", "Fail")))</f>
        <v/>
      </c>
      <c r="X203" s="132">
        <f>IF(AND(Q203="Pass", W203="Pass"), "Pass", "Fail")</f>
        <v/>
      </c>
      <c r="Y203" s="15">
        <f>IF($X203="Pass",$H203,
IF(H203="L","I",
IF(H203="U","L",
IF(H203="O","U",
"I"))))</f>
        <v/>
      </c>
    </row>
    <row r="204">
      <c r="A204" s="147">
        <f>ROW()-2</f>
        <v/>
      </c>
      <c r="B204" s="127" t="n">
        <v>900442</v>
      </c>
      <c r="C204" s="128" t="inlineStr">
        <is>
          <t>MUTHUMALAI K</t>
        </is>
      </c>
      <c r="D204" s="127" t="inlineStr">
        <is>
          <t>PRODUCTION</t>
        </is>
      </c>
      <c r="E204" s="129" t="inlineStr">
        <is>
          <t>TYRE BUILDING-P2</t>
        </is>
      </c>
      <c r="F204" s="130" t="n">
        <v>41000</v>
      </c>
      <c r="G204" s="131">
        <f>NOW()-F204</f>
        <v/>
      </c>
      <c r="H204" s="104" t="inlineStr">
        <is>
          <t>O</t>
        </is>
      </c>
      <c r="I204" s="104" t="inlineStr">
        <is>
          <t>O</t>
        </is>
      </c>
      <c r="J204" s="104" t="n">
        <v>10</v>
      </c>
      <c r="K204" s="104" t="n">
        <v>10</v>
      </c>
      <c r="L204" s="104" t="n">
        <v>8</v>
      </c>
      <c r="M204" s="104" t="n">
        <v>7</v>
      </c>
      <c r="N204" s="104" t="n"/>
      <c r="O204" s="104">
        <f>SUM(J204:N204)</f>
        <v/>
      </c>
      <c r="P204" s="12">
        <f>O204/IF(H204="L",20,IF(H204="U",30,IF(H204="O",40,IF(H204="I",20,""))))</f>
        <v/>
      </c>
      <c r="Q204" s="132">
        <f>IF(AND(H204="L", P204&gt;=50%), "Pass",
IF(AND(H204="U", P204&gt;=60%), "Pass",
IF(AND(H204="O", P204&gt;=75%), "Pass", "Fail")))</f>
        <v/>
      </c>
      <c r="R204" s="104" t="n"/>
      <c r="S204" s="104" t="n">
        <v>14</v>
      </c>
      <c r="T204" s="104" t="n">
        <v>11</v>
      </c>
      <c r="U204" s="104">
        <f>SUM(S204:T204)</f>
        <v/>
      </c>
      <c r="V204" s="12">
        <f>U204/IF(H204="L",35,IF(H204="U",35,IF(H204="O",35,IF(H204="I",35,""))))</f>
        <v/>
      </c>
      <c r="W204" s="132">
        <f>IF(AND(H204="L", V204&gt;=50%), "Pass",
IF(AND(H204="U", V204&gt;=60%), "Pass",
IF(AND(H204="O", V204&gt;=75%), "Pass", "Fail")))</f>
        <v/>
      </c>
      <c r="X204" s="132">
        <f>IF(AND(Q204="Pass", W204="Pass"), "Pass", "Fail")</f>
        <v/>
      </c>
      <c r="Y204" s="15">
        <f>IF($X204="Pass",$H204,
IF(H204="L","I",
IF(H204="U","L",
IF(H204="O","U",
"I"))))</f>
        <v/>
      </c>
    </row>
    <row r="205">
      <c r="A205" s="147">
        <f>ROW()-2</f>
        <v/>
      </c>
      <c r="B205" s="127" t="n">
        <v>900448</v>
      </c>
      <c r="C205" s="128" t="inlineStr">
        <is>
          <t>MANIKANDAN D</t>
        </is>
      </c>
      <c r="D205" s="127" t="inlineStr">
        <is>
          <t>PRODUCTION</t>
        </is>
      </c>
      <c r="E205" s="129" t="inlineStr">
        <is>
          <t>TYRE CURING</t>
        </is>
      </c>
      <c r="F205" s="130" t="n">
        <v>41000</v>
      </c>
      <c r="G205" s="131">
        <f>NOW()-F205</f>
        <v/>
      </c>
      <c r="H205" s="104" t="inlineStr">
        <is>
          <t>O</t>
        </is>
      </c>
      <c r="I205" s="104" t="inlineStr">
        <is>
          <t>O</t>
        </is>
      </c>
      <c r="J205" s="104" t="n">
        <v>9</v>
      </c>
      <c r="K205" s="104" t="n">
        <v>9</v>
      </c>
      <c r="L205" s="104" t="n">
        <v>8</v>
      </c>
      <c r="M205" s="104" t="n">
        <v>9</v>
      </c>
      <c r="N205" s="104" t="n"/>
      <c r="O205" s="104">
        <f>SUM(J205:N205)</f>
        <v/>
      </c>
      <c r="P205" s="12">
        <f>O205/IF(H205="L",20,IF(H205="U",30,IF(H205="O",40,IF(H205="I",20,""))))</f>
        <v/>
      </c>
      <c r="Q205" s="132">
        <f>IF(AND(H205="L", P205&gt;=50%), "Pass",
IF(AND(H205="U", P205&gt;=60%), "Pass",
IF(AND(H205="O", P205&gt;=75%), "Pass", "Fail")))</f>
        <v/>
      </c>
      <c r="R205" s="104" t="n"/>
      <c r="S205" s="104" t="n">
        <v>14</v>
      </c>
      <c r="T205" s="104" t="n">
        <v>13</v>
      </c>
      <c r="U205" s="104">
        <f>SUM(S205:T205)</f>
        <v/>
      </c>
      <c r="V205" s="12">
        <f>U205/IF(H205="L",35,IF(H205="U",35,IF(H205="O",35,IF(H205="I",35,""))))</f>
        <v/>
      </c>
      <c r="W205" s="132">
        <f>IF(AND(H205="L", V205&gt;=50%), "Pass",
IF(AND(H205="U", V205&gt;=60%), "Pass",
IF(AND(H205="O", V205&gt;=75%), "Pass", "Fail")))</f>
        <v/>
      </c>
      <c r="X205" s="132">
        <f>IF(AND(Q205="Pass", W205="Pass"), "Pass", "Fail")</f>
        <v/>
      </c>
      <c r="Y205" s="15">
        <f>IF($X205="Pass",$H205,
IF(H205="L","I",
IF(H205="U","L",
IF(H205="O","U",
"I"))))</f>
        <v/>
      </c>
    </row>
    <row r="206">
      <c r="A206" s="147">
        <f>ROW()-2</f>
        <v/>
      </c>
      <c r="B206" s="133" t="n">
        <v>900450</v>
      </c>
      <c r="C206" s="148" t="inlineStr">
        <is>
          <t>BALASUBRAMANIAN P</t>
        </is>
      </c>
      <c r="D206" s="127" t="inlineStr">
        <is>
          <t>PRODUCTION</t>
        </is>
      </c>
      <c r="E206" s="135" t="inlineStr">
        <is>
          <t>MIXING</t>
        </is>
      </c>
      <c r="F206" s="136" t="n">
        <v>41000</v>
      </c>
      <c r="G206" s="131">
        <f>NOW()-F206</f>
        <v/>
      </c>
      <c r="H206" s="147" t="inlineStr">
        <is>
          <t>O</t>
        </is>
      </c>
      <c r="I206" s="104" t="inlineStr">
        <is>
          <t>U</t>
        </is>
      </c>
      <c r="J206" s="104" t="inlineStr">
        <is>
          <t>NIL</t>
        </is>
      </c>
      <c r="K206" s="104" t="n"/>
      <c r="L206" s="104" t="n"/>
      <c r="M206" s="104" t="n"/>
      <c r="N206" s="104" t="n"/>
      <c r="O206" s="104" t="n"/>
      <c r="P206" s="12">
        <f>O206/IF(H206="L",20,IF(H206="U",30,IF(H206="O",40,IF(H206="I",20,""))))</f>
        <v/>
      </c>
      <c r="Q206" s="132">
        <f>IF(AND(H206="L", P206&gt;=50%), "Pass",
IF(AND(H206="U", P206&gt;=60%), "Pass",
IF(AND(H206="O", P206&gt;=75%), "Pass", "Fail")))</f>
        <v/>
      </c>
      <c r="R206" s="104" t="n"/>
      <c r="S206" s="104" t="n">
        <v>13</v>
      </c>
      <c r="T206" s="104" t="n">
        <v>11</v>
      </c>
      <c r="U206" s="104">
        <f>SUM(S206:T206)</f>
        <v/>
      </c>
      <c r="V206" s="12">
        <f>U206/IF(H206="L",35,IF(H206="U",35,IF(H206="O",35,IF(H206="I",35,""))))</f>
        <v/>
      </c>
      <c r="W206" s="132">
        <f>IF(AND(H206="L", V206&gt;=50%), "Pass",
IF(AND(H206="U", V206&gt;=60%), "Pass",
IF(AND(H206="O", V206&gt;=75%), "Pass", "Fail")))</f>
        <v/>
      </c>
      <c r="X206" s="132">
        <f>IF(AND(Q206="Pass", W206="Pass"), "Pass", "Fail")</f>
        <v/>
      </c>
      <c r="Y206" s="15">
        <f>IF($X206="Pass",$H206,
IF(H206="L","I",
IF(H206="U","L",
IF(H206="O","U",
"I"))))</f>
        <v/>
      </c>
    </row>
    <row r="207">
      <c r="A207" s="147">
        <f>ROW()-2</f>
        <v/>
      </c>
      <c r="B207" s="133" t="n">
        <v>900451</v>
      </c>
      <c r="C207" s="148" t="inlineStr">
        <is>
          <t>AZHWAR N</t>
        </is>
      </c>
      <c r="D207" s="127" t="inlineStr">
        <is>
          <t>PRODUCTION</t>
        </is>
      </c>
      <c r="E207" s="135" t="inlineStr">
        <is>
          <t>MIXING</t>
        </is>
      </c>
      <c r="F207" s="136" t="n">
        <v>41000</v>
      </c>
      <c r="G207" s="131">
        <f>NOW()-F207</f>
        <v/>
      </c>
      <c r="H207" s="104" t="inlineStr">
        <is>
          <t>O</t>
        </is>
      </c>
      <c r="I207" s="104" t="inlineStr">
        <is>
          <t>U</t>
        </is>
      </c>
      <c r="J207" s="104" t="inlineStr">
        <is>
          <t>NIL</t>
        </is>
      </c>
      <c r="K207" s="104" t="n"/>
      <c r="L207" s="104" t="n"/>
      <c r="M207" s="104" t="n"/>
      <c r="N207" s="104" t="n"/>
      <c r="O207" s="104" t="n"/>
      <c r="P207" s="12">
        <f>O207/IF(H207="L",20,IF(H207="U",30,IF(H207="O",40,IF(H207="I",20,""))))</f>
        <v/>
      </c>
      <c r="Q207" s="132">
        <f>IF(AND(H207="L", P207&gt;=50%), "Pass",
IF(AND(H207="U", P207&gt;=60%), "Pass",
IF(AND(H207="O", P207&gt;=75%), "Pass", "Fail")))</f>
        <v/>
      </c>
      <c r="R207" s="104" t="n"/>
      <c r="S207" s="104" t="n">
        <v>14</v>
      </c>
      <c r="T207" s="104" t="n">
        <v>11</v>
      </c>
      <c r="U207" s="104">
        <f>SUM(S207:T207)</f>
        <v/>
      </c>
      <c r="V207" s="12">
        <f>U207/IF(H207="L",35,IF(H207="U",35,IF(H207="O",35,IF(H207="I",35,""))))</f>
        <v/>
      </c>
      <c r="W207" s="132">
        <f>IF(AND(H207="L", V207&gt;=50%), "Pass",
IF(AND(H207="U", V207&gt;=60%), "Pass",
IF(AND(H207="O", V207&gt;=75%), "Pass", "Fail")))</f>
        <v/>
      </c>
      <c r="X207" s="132">
        <f>IF(AND(Q207="Pass", W207="Pass"), "Pass", "Fail")</f>
        <v/>
      </c>
      <c r="Y207" s="15">
        <f>IF($X207="Pass",$H207,
IF(H207="L","I",
IF(H207="U","L",
IF(H207="O","U",
"I"))))</f>
        <v/>
      </c>
    </row>
    <row r="208">
      <c r="A208" s="147">
        <f>ROW()-2</f>
        <v/>
      </c>
      <c r="B208" s="127" t="n">
        <v>900452</v>
      </c>
      <c r="C208" s="128" t="inlineStr">
        <is>
          <t>VINOD KUSHWAHA</t>
        </is>
      </c>
      <c r="D208" s="127" t="inlineStr">
        <is>
          <t>PRODUCTION</t>
        </is>
      </c>
      <c r="E208" s="129" t="inlineStr">
        <is>
          <t>TYRE BUILDING-P3</t>
        </is>
      </c>
      <c r="F208" s="130" t="n">
        <v>41000</v>
      </c>
      <c r="G208" s="131">
        <f>NOW()-F208</f>
        <v/>
      </c>
      <c r="H208" s="104" t="inlineStr">
        <is>
          <t>O</t>
        </is>
      </c>
      <c r="I208" s="104" t="inlineStr">
        <is>
          <t>O</t>
        </is>
      </c>
      <c r="J208" s="104" t="n">
        <v>10</v>
      </c>
      <c r="K208" s="104" t="n">
        <v>8</v>
      </c>
      <c r="L208" s="104" t="n">
        <v>8</v>
      </c>
      <c r="M208" s="104" t="n">
        <v>9</v>
      </c>
      <c r="N208" s="104" t="n"/>
      <c r="O208" s="104">
        <f>SUM(J208:N208)</f>
        <v/>
      </c>
      <c r="P208" s="12">
        <f>O208/IF(H208="L",20,IF(H208="U",30,IF(H208="O",40,IF(H208="I",20,""))))</f>
        <v/>
      </c>
      <c r="Q208" s="132">
        <f>IF(AND(H208="L", P208&gt;=50%), "Pass",
IF(AND(H208="U", P208&gt;=60%), "Pass",
IF(AND(H208="O", P208&gt;=75%), "Pass", "Fail")))</f>
        <v/>
      </c>
      <c r="R208" s="104" t="n"/>
      <c r="S208" s="43" t="n">
        <v>19</v>
      </c>
      <c r="T208" s="43" t="n">
        <v>15</v>
      </c>
      <c r="U208" s="104">
        <f>SUM(S208:T208)</f>
        <v/>
      </c>
      <c r="V208" s="12">
        <f>U208/IF(H208="L",35,IF(H208="U",35,IF(H208="O",35,IF(H208="I",35,""))))</f>
        <v/>
      </c>
      <c r="W208" s="132">
        <f>IF(AND(H208="L", V208&gt;=50%), "Pass",
IF(AND(H208="U", V208&gt;=60%), "Pass",
IF(AND(H208="O", V208&gt;=75%), "Pass", "Fail")))</f>
        <v/>
      </c>
      <c r="X208" s="132">
        <f>IF(AND(Q208="Pass", W208="Pass"), "Pass", "Fail")</f>
        <v/>
      </c>
      <c r="Y208" s="15">
        <f>IF($X208="Pass",$H208,
IF(H208="L","I",
IF(H208="U","L",
IF(H208="O","U",
"I"))))</f>
        <v/>
      </c>
    </row>
    <row r="209">
      <c r="A209" s="147">
        <f>ROW()-2</f>
        <v/>
      </c>
      <c r="B209" s="127" t="n">
        <v>900453</v>
      </c>
      <c r="C209" s="128" t="inlineStr">
        <is>
          <t>SURENDRA KUMAR VERMA</t>
        </is>
      </c>
      <c r="D209" s="127" t="inlineStr">
        <is>
          <t>PRODUCTION</t>
        </is>
      </c>
      <c r="E209" s="129" t="inlineStr">
        <is>
          <t>TYRE BUILDING-P2</t>
        </is>
      </c>
      <c r="F209" s="130" t="n">
        <v>41000</v>
      </c>
      <c r="G209" s="131">
        <f>NOW()-F209</f>
        <v/>
      </c>
      <c r="H209" s="104" t="inlineStr">
        <is>
          <t>O</t>
        </is>
      </c>
      <c r="I209" s="104" t="inlineStr">
        <is>
          <t>O</t>
        </is>
      </c>
      <c r="J209" s="104" t="n">
        <v>7</v>
      </c>
      <c r="K209" s="104" t="n">
        <v>9</v>
      </c>
      <c r="L209" s="104" t="n">
        <v>8</v>
      </c>
      <c r="M209" s="104" t="n">
        <v>7</v>
      </c>
      <c r="N209" s="104" t="n"/>
      <c r="O209" s="104">
        <f>SUM(J209:N209)</f>
        <v/>
      </c>
      <c r="P209" s="12">
        <f>O209/IF(H209="L",20,IF(H209="U",30,IF(H209="O",40,IF(H209="I",20,""))))</f>
        <v/>
      </c>
      <c r="Q209" s="132">
        <f>IF(AND(H209="L", P209&gt;=50%), "Pass",
IF(AND(H209="U", P209&gt;=60%), "Pass",
IF(AND(H209="O", P209&gt;=75%), "Pass", "Fail")))</f>
        <v/>
      </c>
      <c r="R209" s="104" t="n"/>
      <c r="S209" s="104" t="n">
        <v>13</v>
      </c>
      <c r="T209" s="104" t="n">
        <v>10</v>
      </c>
      <c r="U209" s="104">
        <f>SUM(S209:T209)</f>
        <v/>
      </c>
      <c r="V209" s="12">
        <f>U209/IF(H209="L",35,IF(H209="U",35,IF(H209="O",35,IF(H209="I",35,""))))</f>
        <v/>
      </c>
      <c r="W209" s="132">
        <f>IF(AND(H209="L", V209&gt;=50%), "Pass",
IF(AND(H209="U", V209&gt;=60%), "Pass",
IF(AND(H209="O", V209&gt;=75%), "Pass", "Fail")))</f>
        <v/>
      </c>
      <c r="X209" s="132">
        <f>IF(AND(Q209="Pass", W209="Pass"), "Pass", "Fail")</f>
        <v/>
      </c>
      <c r="Y209" s="15">
        <f>IF($X209="Pass",$H209,
IF(H209="L","I",
IF(H209="U","L",
IF(H209="O","U",
"I"))))</f>
        <v/>
      </c>
    </row>
    <row r="210">
      <c r="A210" s="147">
        <f>ROW()-2</f>
        <v/>
      </c>
      <c r="B210" s="127" t="n">
        <v>900454</v>
      </c>
      <c r="C210" s="128" t="inlineStr">
        <is>
          <t>RAMESH MOURIYA</t>
        </is>
      </c>
      <c r="D210" s="127" t="inlineStr">
        <is>
          <t>PRODUCTION</t>
        </is>
      </c>
      <c r="E210" s="129" t="inlineStr">
        <is>
          <t>TYRE BUILDING-P3</t>
        </is>
      </c>
      <c r="F210" s="130" t="n">
        <v>41000</v>
      </c>
      <c r="G210" s="131">
        <f>NOW()-F210</f>
        <v/>
      </c>
      <c r="H210" s="104" t="inlineStr">
        <is>
          <t>O</t>
        </is>
      </c>
      <c r="I210" s="104" t="inlineStr">
        <is>
          <t>O</t>
        </is>
      </c>
      <c r="J210" s="104" t="n">
        <v>9</v>
      </c>
      <c r="K210" s="104" t="n">
        <v>8</v>
      </c>
      <c r="L210" s="104" t="n">
        <v>6</v>
      </c>
      <c r="M210" s="104" t="n">
        <v>9</v>
      </c>
      <c r="N210" s="104" t="n"/>
      <c r="O210" s="104">
        <f>SUM(J210:N210)</f>
        <v/>
      </c>
      <c r="P210" s="12">
        <f>O210/IF(H210="L",20,IF(H210="U",30,IF(H210="O",40,IF(H210="I",20,""))))</f>
        <v/>
      </c>
      <c r="Q210" s="132">
        <f>IF(AND(H210="L", P210&gt;=50%), "Pass",
IF(AND(H210="U", P210&gt;=60%), "Pass",
IF(AND(H210="O", P210&gt;=75%), "Pass", "Fail")))</f>
        <v/>
      </c>
      <c r="R210" s="104" t="n"/>
      <c r="S210" s="104" t="n">
        <v>18</v>
      </c>
      <c r="T210" s="104" t="n">
        <v>14</v>
      </c>
      <c r="U210" s="104">
        <f>SUM(S210:T210)</f>
        <v/>
      </c>
      <c r="V210" s="12">
        <f>U210/IF(H210="L",35,IF(H210="U",35,IF(H210="O",35,IF(H210="I",35,""))))</f>
        <v/>
      </c>
      <c r="W210" s="132">
        <f>IF(AND(H210="L", V210&gt;=50%), "Pass",
IF(AND(H210="U", V210&gt;=60%), "Pass",
IF(AND(H210="O", V210&gt;=75%), "Pass", "Fail")))</f>
        <v/>
      </c>
      <c r="X210" s="132">
        <f>IF(AND(Q210="Pass", W210="Pass"), "Pass", "Fail")</f>
        <v/>
      </c>
      <c r="Y210" s="15">
        <f>IF($X210="Pass",$H210,
IF(H210="L","I",
IF(H210="U","L",
IF(H210="O","U",
"I"))))</f>
        <v/>
      </c>
    </row>
    <row r="211">
      <c r="A211" s="147">
        <f>ROW()-2</f>
        <v/>
      </c>
      <c r="B211" s="133" t="n">
        <v>900455</v>
      </c>
      <c r="C211" s="148" t="inlineStr">
        <is>
          <t>SHYAM BIHARI</t>
        </is>
      </c>
      <c r="D211" s="127" t="inlineStr">
        <is>
          <t>PRODUCTION</t>
        </is>
      </c>
      <c r="E211" s="135" t="inlineStr">
        <is>
          <t>MIXING</t>
        </is>
      </c>
      <c r="F211" s="136" t="n">
        <v>41000</v>
      </c>
      <c r="G211" s="131">
        <f>NOW()-F211</f>
        <v/>
      </c>
      <c r="H211" s="104" t="inlineStr">
        <is>
          <t>O</t>
        </is>
      </c>
      <c r="I211" s="104" t="inlineStr">
        <is>
          <t>U</t>
        </is>
      </c>
      <c r="J211" s="104" t="inlineStr">
        <is>
          <t>NIL</t>
        </is>
      </c>
      <c r="K211" s="104" t="n"/>
      <c r="L211" s="104" t="n"/>
      <c r="M211" s="104" t="n"/>
      <c r="N211" s="104" t="n"/>
      <c r="O211" s="104" t="n"/>
      <c r="P211" s="12">
        <f>O211/IF(H211="L",20,IF(H211="U",30,IF(H211="O",40,IF(H211="I",20,""))))</f>
        <v/>
      </c>
      <c r="Q211" s="132">
        <f>IF(AND(H211="L", P211&gt;=50%), "Pass",
IF(AND(H211="U", P211&gt;=60%), "Pass",
IF(AND(H211="O", P211&gt;=75%), "Pass", "Fail")))</f>
        <v/>
      </c>
      <c r="R211" s="104" t="n"/>
      <c r="S211" s="104" t="n">
        <v>14</v>
      </c>
      <c r="T211" s="104" t="n">
        <v>12</v>
      </c>
      <c r="U211" s="104">
        <f>SUM(S211:T211)</f>
        <v/>
      </c>
      <c r="V211" s="12">
        <f>U211/IF(H211="L",35,IF(H211="U",35,IF(H211="O",35,IF(H211="I",35,""))))</f>
        <v/>
      </c>
      <c r="W211" s="132">
        <f>IF(AND(H211="L", V211&gt;=50%), "Pass",
IF(AND(H211="U", V211&gt;=60%), "Pass",
IF(AND(H211="O", V211&gt;=75%), "Pass", "Fail")))</f>
        <v/>
      </c>
      <c r="X211" s="132">
        <f>IF(AND(Q211="Pass", W211="Pass"), "Pass", "Fail")</f>
        <v/>
      </c>
      <c r="Y211" s="15">
        <f>IF($X211="Pass",$H211,
IF(H211="L","I",
IF(H211="U","L",
IF(H211="O","U",
"I"))))</f>
        <v/>
      </c>
    </row>
    <row r="212">
      <c r="A212" s="147">
        <f>ROW()-2</f>
        <v/>
      </c>
      <c r="B212" s="127" t="n">
        <v>900457</v>
      </c>
      <c r="C212" s="128" t="inlineStr">
        <is>
          <t>PRABHU S</t>
        </is>
      </c>
      <c r="D212" s="127" t="inlineStr">
        <is>
          <t>PRODUCTION</t>
        </is>
      </c>
      <c r="E212" s="129" t="inlineStr">
        <is>
          <t>BAND BUILDING-P2</t>
        </is>
      </c>
      <c r="F212" s="130" t="n">
        <v>41000</v>
      </c>
      <c r="G212" s="131">
        <f>NOW()-F212</f>
        <v/>
      </c>
      <c r="H212" s="104" t="inlineStr">
        <is>
          <t>O</t>
        </is>
      </c>
      <c r="I212" s="104" t="inlineStr">
        <is>
          <t>U</t>
        </is>
      </c>
      <c r="J212" s="104" t="n">
        <v>7</v>
      </c>
      <c r="K212" s="104" t="n">
        <v>5</v>
      </c>
      <c r="L212" s="104" t="n">
        <v>6</v>
      </c>
      <c r="M212" s="104" t="n">
        <v>4</v>
      </c>
      <c r="N212" s="104" t="n"/>
      <c r="O212" s="104">
        <f>SUM(J212:N212)</f>
        <v/>
      </c>
      <c r="P212" s="12">
        <f>O212/IF(H212="L",20,IF(H212="U",30,IF(H212="O",40,IF(H212="I",20,""))))</f>
        <v/>
      </c>
      <c r="Q212" s="132">
        <f>IF(AND(H212="L", P212&gt;=50%), "Pass",
IF(AND(H212="U", P212&gt;=60%), "Pass",
IF(AND(H212="O", P212&gt;=75%), "Pass", "Fail")))</f>
        <v/>
      </c>
      <c r="R212" s="104" t="n"/>
      <c r="S212" s="104" t="n">
        <v>16</v>
      </c>
      <c r="T212" s="104" t="n">
        <v>10</v>
      </c>
      <c r="U212" s="104">
        <f>SUM(S212:T212)</f>
        <v/>
      </c>
      <c r="V212" s="12">
        <f>U212/IF(H212="L",35,IF(H212="U",35,IF(H212="O",35,IF(H212="I",35,""))))</f>
        <v/>
      </c>
      <c r="W212" s="132">
        <f>IF(AND(H212="L", V212&gt;=50%), "Pass",
IF(AND(H212="U", V212&gt;=60%), "Pass",
IF(AND(H212="O", V212&gt;=75%), "Pass", "Fail")))</f>
        <v/>
      </c>
      <c r="X212" s="132">
        <f>IF(AND(Q212="Pass", W212="Pass"), "Pass", "Fail")</f>
        <v/>
      </c>
      <c r="Y212" s="15">
        <f>IF($X212="Pass",$H212,
IF(H212="L","I",
IF(H212="U","L",
IF(H212="O","U",
"I"))))</f>
        <v/>
      </c>
    </row>
    <row r="213">
      <c r="A213" s="147">
        <f>ROW()-2</f>
        <v/>
      </c>
      <c r="B213" s="127" t="n">
        <v>900458</v>
      </c>
      <c r="C213" s="128" t="inlineStr">
        <is>
          <t>THANGA PALAVESAM L</t>
        </is>
      </c>
      <c r="D213" s="127" t="inlineStr">
        <is>
          <t>PRODUCTION</t>
        </is>
      </c>
      <c r="E213" s="129" t="inlineStr">
        <is>
          <t>BEAD WINDING</t>
        </is>
      </c>
      <c r="F213" s="130" t="n">
        <v>41000</v>
      </c>
      <c r="G213" s="131">
        <f>NOW()-F213</f>
        <v/>
      </c>
      <c r="H213" s="104" t="inlineStr">
        <is>
          <t>O</t>
        </is>
      </c>
      <c r="I213" s="104" t="inlineStr">
        <is>
          <t>U</t>
        </is>
      </c>
      <c r="J213" s="104" t="n">
        <v>8</v>
      </c>
      <c r="K213" s="104" t="n">
        <v>8</v>
      </c>
      <c r="L213" s="104" t="n">
        <v>6</v>
      </c>
      <c r="M213" s="104" t="n">
        <v>8</v>
      </c>
      <c r="N213" s="104" t="n"/>
      <c r="O213" s="104">
        <f>SUM(J213:N213)</f>
        <v/>
      </c>
      <c r="P213" s="12">
        <f>O213/IF(H213="L",20,IF(H213="U",30,IF(H213="O",40,IF(H213="I",20,""))))</f>
        <v/>
      </c>
      <c r="Q213" s="132">
        <f>IF(AND(H213="L", P213&gt;=50%), "Pass",
IF(AND(H213="U", P213&gt;=60%), "Pass",
IF(AND(H213="O", P213&gt;=75%), "Pass", "Fail")))</f>
        <v/>
      </c>
      <c r="R213" s="104" t="n"/>
      <c r="S213" s="104" t="n">
        <v>12</v>
      </c>
      <c r="T213" s="104" t="n">
        <v>8</v>
      </c>
      <c r="U213" s="104">
        <f>SUM(S213:T213)</f>
        <v/>
      </c>
      <c r="V213" s="12">
        <f>U213/IF(H213="L",35,IF(H213="U",35,IF(H213="O",35,IF(H213="I",35,""))))</f>
        <v/>
      </c>
      <c r="W213" s="132">
        <f>IF(AND(H213="L", V213&gt;=50%), "Pass",
IF(AND(H213="U", V213&gt;=60%), "Pass",
IF(AND(H213="O", V213&gt;=75%), "Pass", "Fail")))</f>
        <v/>
      </c>
      <c r="X213" s="132">
        <f>IF(AND(Q213="Pass", W213="Pass"), "Pass", "Fail")</f>
        <v/>
      </c>
      <c r="Y213" s="15">
        <f>IF($X213="Pass",$H213,
IF(H213="L","I",
IF(H213="U","L",
IF(H213="O","U",
"I"))))</f>
        <v/>
      </c>
    </row>
    <row r="214">
      <c r="A214" s="147">
        <f>ROW()-2</f>
        <v/>
      </c>
      <c r="B214" s="127" t="n">
        <v>900461</v>
      </c>
      <c r="C214" s="128" t="inlineStr">
        <is>
          <t>SEETHARAMAN S</t>
        </is>
      </c>
      <c r="D214" s="127" t="inlineStr">
        <is>
          <t>PRODUCTION</t>
        </is>
      </c>
      <c r="E214" s="129" t="inlineStr">
        <is>
          <t>TYRE BUILDING-P1</t>
        </is>
      </c>
      <c r="F214" s="130" t="n">
        <v>41000</v>
      </c>
      <c r="G214" s="131">
        <f>NOW()-F214</f>
        <v/>
      </c>
      <c r="H214" s="104" t="inlineStr">
        <is>
          <t>O</t>
        </is>
      </c>
      <c r="I214" s="104" t="inlineStr">
        <is>
          <t>O</t>
        </is>
      </c>
      <c r="J214" s="104" t="n">
        <v>9</v>
      </c>
      <c r="K214" s="104" t="n">
        <v>6</v>
      </c>
      <c r="L214" s="104" t="n">
        <v>8</v>
      </c>
      <c r="M214" s="104" t="n">
        <v>7</v>
      </c>
      <c r="N214" s="104" t="n"/>
      <c r="O214" s="104">
        <f>SUM(J214:N214)</f>
        <v/>
      </c>
      <c r="P214" s="12">
        <f>O214/IF(H214="L",20,IF(H214="U",30,IF(H214="O",40,IF(H214="I",20,""))))</f>
        <v/>
      </c>
      <c r="Q214" s="132">
        <f>IF(AND(H214="L", P214&gt;=50%), "Pass",
IF(AND(H214="U", P214&gt;=60%), "Pass",
IF(AND(H214="O", P214&gt;=75%), "Pass", "Fail")))</f>
        <v/>
      </c>
      <c r="R214" s="104" t="n"/>
      <c r="S214" s="104" t="n">
        <v>13</v>
      </c>
      <c r="T214" s="104" t="n">
        <v>15</v>
      </c>
      <c r="U214" s="104">
        <f>SUM(S214:T214)</f>
        <v/>
      </c>
      <c r="V214" s="12">
        <f>U214/IF(H214="L",35,IF(H214="U",35,IF(H214="O",35,IF(H214="I",35,""))))</f>
        <v/>
      </c>
      <c r="W214" s="132">
        <f>IF(AND(H214="L", V214&gt;=50%), "Pass",
IF(AND(H214="U", V214&gt;=60%), "Pass",
IF(AND(H214="O", V214&gt;=75%), "Pass", "Fail")))</f>
        <v/>
      </c>
      <c r="X214" s="132">
        <f>IF(AND(Q214="Pass", W214="Pass"), "Pass", "Fail")</f>
        <v/>
      </c>
      <c r="Y214" s="15">
        <f>IF($X214="Pass",$H214,
IF(H214="L","I",
IF(H214="U","L",
IF(H214="O","U",
"I"))))</f>
        <v/>
      </c>
    </row>
    <row r="215">
      <c r="A215" s="147">
        <f>ROW()-2</f>
        <v/>
      </c>
      <c r="B215" s="127" t="n">
        <v>900462</v>
      </c>
      <c r="C215" s="128" t="inlineStr">
        <is>
          <t>NEELA MANIVANNAN V</t>
        </is>
      </c>
      <c r="D215" s="127" t="inlineStr">
        <is>
          <t>PRODUCTION</t>
        </is>
      </c>
      <c r="E215" s="129" t="inlineStr">
        <is>
          <t>TYRE CURING</t>
        </is>
      </c>
      <c r="F215" s="130" t="n">
        <v>41000</v>
      </c>
      <c r="G215" s="131">
        <f>NOW()-F215</f>
        <v/>
      </c>
      <c r="H215" s="104" t="inlineStr">
        <is>
          <t>O</t>
        </is>
      </c>
      <c r="I215" s="104" t="inlineStr">
        <is>
          <t>O</t>
        </is>
      </c>
      <c r="J215" s="104" t="n">
        <v>9</v>
      </c>
      <c r="K215" s="104" t="n">
        <v>9</v>
      </c>
      <c r="L215" s="104" t="n">
        <v>9</v>
      </c>
      <c r="M215" s="104" t="n">
        <v>8</v>
      </c>
      <c r="N215" s="104" t="n"/>
      <c r="O215" s="104">
        <f>SUM(J215:N215)</f>
        <v/>
      </c>
      <c r="P215" s="12">
        <f>O215/IF(H215="L",20,IF(H215="U",30,IF(H215="O",40,IF(H215="I",20,""))))</f>
        <v/>
      </c>
      <c r="Q215" s="132">
        <f>IF(AND(H215="L", P215&gt;=50%), "Pass",
IF(AND(H215="U", P215&gt;=60%), "Pass",
IF(AND(H215="O", P215&gt;=75%), "Pass", "Fail")))</f>
        <v/>
      </c>
      <c r="R215" s="104" t="n"/>
      <c r="S215" s="104" t="n">
        <v>13</v>
      </c>
      <c r="T215" s="104" t="n">
        <v>10</v>
      </c>
      <c r="U215" s="104">
        <f>SUM(S215:T215)</f>
        <v/>
      </c>
      <c r="V215" s="12">
        <f>U215/IF(H215="L",35,IF(H215="U",35,IF(H215="O",35,IF(H215="I",35,""))))</f>
        <v/>
      </c>
      <c r="W215" s="132">
        <f>IF(AND(H215="L", V215&gt;=50%), "Pass",
IF(AND(H215="U", V215&gt;=60%), "Pass",
IF(AND(H215="O", V215&gt;=75%), "Pass", "Fail")))</f>
        <v/>
      </c>
      <c r="X215" s="132">
        <f>IF(AND(Q215="Pass", W215="Pass"), "Pass", "Fail")</f>
        <v/>
      </c>
      <c r="Y215" s="15">
        <f>IF($X215="Pass",$H215,
IF(H215="L","I",
IF(H215="U","L",
IF(H215="O","U",
"I"))))</f>
        <v/>
      </c>
    </row>
    <row r="216">
      <c r="A216" s="147">
        <f>ROW()-2</f>
        <v/>
      </c>
      <c r="B216" s="127" t="n">
        <v>900464</v>
      </c>
      <c r="C216" s="128" t="inlineStr">
        <is>
          <t>PITCHAIAH M</t>
        </is>
      </c>
      <c r="D216" s="127" t="inlineStr">
        <is>
          <t>PRODUCTION</t>
        </is>
      </c>
      <c r="E216" s="129" t="inlineStr">
        <is>
          <t>TYRE BUILDING-P1</t>
        </is>
      </c>
      <c r="F216" s="130" t="n">
        <v>41000</v>
      </c>
      <c r="G216" s="131">
        <f>NOW()-F216</f>
        <v/>
      </c>
      <c r="H216" s="104" t="inlineStr">
        <is>
          <t>O</t>
        </is>
      </c>
      <c r="I216" s="104" t="inlineStr">
        <is>
          <t>O</t>
        </is>
      </c>
      <c r="J216" s="104" t="n">
        <v>10</v>
      </c>
      <c r="K216" s="104" t="n">
        <v>9</v>
      </c>
      <c r="L216" s="104" t="n">
        <v>8</v>
      </c>
      <c r="M216" s="104" t="n">
        <v>9</v>
      </c>
      <c r="N216" s="104" t="n"/>
      <c r="O216" s="104">
        <f>SUM(J216:N216)</f>
        <v/>
      </c>
      <c r="P216" s="12">
        <f>O216/IF(H216="L",20,IF(H216="U",30,IF(H216="O",40,IF(H216="I",20,""))))</f>
        <v/>
      </c>
      <c r="Q216" s="132">
        <f>IF(AND(H216="L", P216&gt;=50%), "Pass",
IF(AND(H216="U", P216&gt;=60%), "Pass",
IF(AND(H216="O", P216&gt;=75%), "Pass", "Fail")))</f>
        <v/>
      </c>
      <c r="R216" s="104" t="n"/>
      <c r="S216" s="104" t="n">
        <v>13</v>
      </c>
      <c r="T216" s="104" t="n">
        <v>15</v>
      </c>
      <c r="U216" s="104">
        <f>SUM(S216:T216)</f>
        <v/>
      </c>
      <c r="V216" s="12">
        <f>U216/IF(H216="L",35,IF(H216="U",35,IF(H216="O",35,IF(H216="I",35,""))))</f>
        <v/>
      </c>
      <c r="W216" s="132">
        <f>IF(AND(H216="L", V216&gt;=50%), "Pass",
IF(AND(H216="U", V216&gt;=60%), "Pass",
IF(AND(H216="O", V216&gt;=75%), "Pass", "Fail")))</f>
        <v/>
      </c>
      <c r="X216" s="132">
        <f>IF(AND(Q216="Pass", W216="Pass"), "Pass", "Fail")</f>
        <v/>
      </c>
      <c r="Y216" s="15">
        <f>IF($X216="Pass",$H216,
IF(H216="L","I",
IF(H216="U","L",
IF(H216="O","U",
"I"))))</f>
        <v/>
      </c>
    </row>
    <row r="217">
      <c r="A217" s="147">
        <f>ROW()-2</f>
        <v/>
      </c>
      <c r="B217" s="127" t="inlineStr">
        <is>
          <t>PK0697</t>
        </is>
      </c>
      <c r="C217" s="128" t="inlineStr">
        <is>
          <t>KARUPPASAMY C</t>
        </is>
      </c>
      <c r="D217" s="127" t="inlineStr">
        <is>
          <t>PRODUCTION</t>
        </is>
      </c>
      <c r="E217" s="129" t="inlineStr">
        <is>
          <t>BAND BUILDING-P2</t>
        </is>
      </c>
      <c r="F217" s="130" t="n">
        <v>41020</v>
      </c>
      <c r="G217" s="131">
        <f>NOW()-F217</f>
        <v/>
      </c>
      <c r="H217" s="104" t="inlineStr">
        <is>
          <t>O</t>
        </is>
      </c>
      <c r="I217" s="104" t="inlineStr">
        <is>
          <t>U</t>
        </is>
      </c>
      <c r="J217" s="104" t="n">
        <v>9</v>
      </c>
      <c r="K217" s="104" t="n">
        <v>9</v>
      </c>
      <c r="L217" s="104" t="n">
        <v>8</v>
      </c>
      <c r="M217" s="104" t="n">
        <v>8</v>
      </c>
      <c r="N217" s="104" t="n"/>
      <c r="O217" s="104">
        <f>SUM(J217:N217)</f>
        <v/>
      </c>
      <c r="P217" s="12">
        <f>O217/IF(H217="L",20,IF(H217="U",30,IF(H217="O",40,IF(H217="I",20,""))))</f>
        <v/>
      </c>
      <c r="Q217" s="132">
        <f>IF(AND(H217="L", P217&gt;=50%), "Pass",
IF(AND(H217="U", P217&gt;=60%), "Pass",
IF(AND(H217="O", P217&gt;=75%), "Pass", "Fail")))</f>
        <v/>
      </c>
      <c r="R217" s="104" t="n"/>
      <c r="S217" s="104" t="n">
        <v>15</v>
      </c>
      <c r="T217" s="104" t="n">
        <v>12</v>
      </c>
      <c r="U217" s="104">
        <f>SUM(S217:T217)</f>
        <v/>
      </c>
      <c r="V217" s="12">
        <f>U217/IF(H217="L",35,IF(H217="U",35,IF(H217="O",35,IF(H217="I",35,""))))</f>
        <v/>
      </c>
      <c r="W217" s="132">
        <f>IF(AND(H217="L", V217&gt;=50%), "Pass",
IF(AND(H217="U", V217&gt;=60%), "Pass",
IF(AND(H217="O", V217&gt;=75%), "Pass", "Fail")))</f>
        <v/>
      </c>
      <c r="X217" s="132">
        <f>IF(AND(Q217="Pass", W217="Pass"), "Pass", "Fail")</f>
        <v/>
      </c>
      <c r="Y217" s="15">
        <f>IF($X217="Pass",$H217,
IF(H217="L","I",
IF(H217="U","L",
IF(H217="O","U",
"I"))))</f>
        <v/>
      </c>
      <c r="Z217" s="82" t="n"/>
    </row>
    <row r="218">
      <c r="A218" s="147">
        <f>ROW()-2</f>
        <v/>
      </c>
      <c r="B218" s="127" t="inlineStr">
        <is>
          <t>SK1646</t>
        </is>
      </c>
      <c r="C218" s="128" t="inlineStr">
        <is>
          <t>RAMAN S</t>
        </is>
      </c>
      <c r="D218" s="127" t="inlineStr">
        <is>
          <t>PRODUCTION</t>
        </is>
      </c>
      <c r="E218" s="129" t="inlineStr">
        <is>
          <t>TYRE CURING</t>
        </is>
      </c>
      <c r="F218" s="130" t="n">
        <v>41045</v>
      </c>
      <c r="G218" s="131">
        <f>NOW()-F218</f>
        <v/>
      </c>
      <c r="H218" s="104" t="inlineStr">
        <is>
          <t>O</t>
        </is>
      </c>
      <c r="I218" s="104" t="inlineStr">
        <is>
          <t>U</t>
        </is>
      </c>
      <c r="J218" s="104" t="n">
        <v>9</v>
      </c>
      <c r="K218" s="104" t="n">
        <v>9</v>
      </c>
      <c r="L218" s="104" t="n">
        <v>10</v>
      </c>
      <c r="M218" s="104" t="n">
        <v>7</v>
      </c>
      <c r="N218" s="104" t="n"/>
      <c r="O218" s="104">
        <f>SUM(J218:N218)</f>
        <v/>
      </c>
      <c r="P218" s="12">
        <f>O218/IF(H218="L",20,IF(H218="U",30,IF(H218="O",40,IF(H218="I",20,""))))</f>
        <v/>
      </c>
      <c r="Q218" s="132">
        <f>IF(AND(H218="L", P218&gt;=50%), "Pass",
IF(AND(H218="U", P218&gt;=60%), "Pass",
IF(AND(H218="O", P218&gt;=75%), "Pass", "Fail")))</f>
        <v/>
      </c>
      <c r="R218" s="104" t="n"/>
      <c r="S218" s="104" t="n">
        <v>5</v>
      </c>
      <c r="T218" s="104" t="n">
        <v>3</v>
      </c>
      <c r="U218" s="104">
        <f>SUM(S218:T218)</f>
        <v/>
      </c>
      <c r="V218" s="12">
        <f>U218/IF(H218="L",35,IF(H218="U",35,IF(H218="O",35,IF(H218="I",35,""))))</f>
        <v/>
      </c>
      <c r="W218" s="132">
        <f>IF(AND(H218="L", V218&gt;=50%), "Pass",
IF(AND(H218="U", V218&gt;=60%), "Pass",
IF(AND(H218="O", V218&gt;=75%), "Pass", "Fail")))</f>
        <v/>
      </c>
      <c r="X218" s="132">
        <f>IF(AND(Q218="Pass", W218="Pass"), "Pass", "Fail")</f>
        <v/>
      </c>
      <c r="Y218" s="15">
        <f>IF($X218="Pass",$H218,
IF(H218="L","I",
IF(H218="U","L",
IF(H218="O","U",
"I"))))</f>
        <v/>
      </c>
    </row>
    <row r="219">
      <c r="A219" s="147">
        <f>ROW()-2</f>
        <v/>
      </c>
      <c r="B219" s="133" t="n">
        <v>900750</v>
      </c>
      <c r="C219" s="148" t="inlineStr">
        <is>
          <t>DHANJAY KUMAR SINGH</t>
        </is>
      </c>
      <c r="D219" s="127" t="inlineStr">
        <is>
          <t>PRODUCTION</t>
        </is>
      </c>
      <c r="E219" s="135" t="inlineStr">
        <is>
          <t>MIXING</t>
        </is>
      </c>
      <c r="F219" s="136" t="n">
        <v>41049</v>
      </c>
      <c r="G219" s="131">
        <f>NOW()-F219</f>
        <v/>
      </c>
      <c r="H219" s="104" t="inlineStr">
        <is>
          <t>O</t>
        </is>
      </c>
      <c r="I219" s="104" t="inlineStr">
        <is>
          <t>U</t>
        </is>
      </c>
      <c r="J219" s="104" t="inlineStr">
        <is>
          <t>NIL</t>
        </is>
      </c>
      <c r="K219" s="104" t="n"/>
      <c r="L219" s="104" t="n"/>
      <c r="M219" s="104" t="n"/>
      <c r="N219" s="104" t="n"/>
      <c r="O219" s="104" t="n"/>
      <c r="P219" s="12">
        <f>O219/IF(H219="L",20,IF(H219="U",30,IF(H219="O",40,IF(H219="I",20,""))))</f>
        <v/>
      </c>
      <c r="Q219" s="132">
        <f>IF(AND(H219="L", P219&gt;=50%), "Pass",
IF(AND(H219="U", P219&gt;=60%), "Pass",
IF(AND(H219="O", P219&gt;=75%), "Pass", "Fail")))</f>
        <v/>
      </c>
      <c r="R219" s="104" t="n"/>
      <c r="S219" s="104" t="n">
        <v>16</v>
      </c>
      <c r="T219" s="104" t="n">
        <v>12</v>
      </c>
      <c r="U219" s="104">
        <f>SUM(S219:T219)</f>
        <v/>
      </c>
      <c r="V219" s="12">
        <f>U219/IF(H219="L",35,IF(H219="U",35,IF(H219="O",35,IF(H219="I",35,""))))</f>
        <v/>
      </c>
      <c r="W219" s="132">
        <f>IF(AND(H219="L", V219&gt;=50%), "Pass",
IF(AND(H219="U", V219&gt;=60%), "Pass",
IF(AND(H219="O", V219&gt;=75%), "Pass", "Fail")))</f>
        <v/>
      </c>
      <c r="X219" s="132">
        <f>IF(AND(Q219="Pass", W219="Pass"), "Pass", "Fail")</f>
        <v/>
      </c>
      <c r="Y219" s="15">
        <f>IF($X219="Pass",$H219,
IF(H219="L","I",
IF(H219="U","L",
IF(H219="O","U",
"I"))))</f>
        <v/>
      </c>
    </row>
    <row r="220">
      <c r="A220" s="147">
        <f>ROW()-2</f>
        <v/>
      </c>
      <c r="B220" s="133" t="n">
        <v>900751</v>
      </c>
      <c r="C220" s="148" t="inlineStr">
        <is>
          <t>UDAY KUMAR SINGH</t>
        </is>
      </c>
      <c r="D220" s="127" t="inlineStr">
        <is>
          <t>PRODUCTION</t>
        </is>
      </c>
      <c r="E220" s="135" t="inlineStr">
        <is>
          <t>MIXING</t>
        </is>
      </c>
      <c r="F220" s="136" t="n">
        <v>41049</v>
      </c>
      <c r="G220" s="131">
        <f>NOW()-F220</f>
        <v/>
      </c>
      <c r="H220" s="104" t="inlineStr">
        <is>
          <t>O</t>
        </is>
      </c>
      <c r="I220" s="104" t="inlineStr">
        <is>
          <t>O</t>
        </is>
      </c>
      <c r="J220" s="104" t="inlineStr">
        <is>
          <t>NIL</t>
        </is>
      </c>
      <c r="K220" s="104" t="n"/>
      <c r="L220" s="104" t="n"/>
      <c r="M220" s="104" t="n"/>
      <c r="N220" s="104" t="n"/>
      <c r="O220" s="104" t="n"/>
      <c r="P220" s="12">
        <f>O220/IF(H220="L",20,IF(H220="U",30,IF(H220="O",40,IF(H220="I",20,""))))</f>
        <v/>
      </c>
      <c r="Q220" s="132">
        <f>IF(AND(H220="L", P220&gt;=50%), "Pass",
IF(AND(H220="U", P220&gt;=60%), "Pass",
IF(AND(H220="O", P220&gt;=75%), "Pass", "Fail")))</f>
        <v/>
      </c>
      <c r="R220" s="104" t="n"/>
      <c r="S220" s="104" t="n">
        <v>13</v>
      </c>
      <c r="T220" s="104" t="n">
        <v>12</v>
      </c>
      <c r="U220" s="104">
        <f>SUM(S220:T220)</f>
        <v/>
      </c>
      <c r="V220" s="12">
        <f>U220/IF(H220="L",35,IF(H220="U",35,IF(H220="O",35,IF(H220="I",35,""))))</f>
        <v/>
      </c>
      <c r="W220" s="132">
        <f>IF(AND(H220="L", V220&gt;=50%), "Pass",
IF(AND(H220="U", V220&gt;=60%), "Pass",
IF(AND(H220="O", V220&gt;=75%), "Pass", "Fail")))</f>
        <v/>
      </c>
      <c r="X220" s="132">
        <f>IF(AND(Q220="Pass", W220="Pass"), "Pass", "Fail")</f>
        <v/>
      </c>
      <c r="Y220" s="15">
        <f>IF($X220="Pass",$H220,
IF(H220="L","I",
IF(H220="U","L",
IF(H220="O","U",
"I"))))</f>
        <v/>
      </c>
    </row>
    <row r="221">
      <c r="A221" s="147">
        <f>ROW()-2</f>
        <v/>
      </c>
      <c r="B221" s="127" t="inlineStr">
        <is>
          <t>SK0362</t>
        </is>
      </c>
      <c r="C221" s="128" t="inlineStr">
        <is>
          <t>MARIAPPAN S</t>
        </is>
      </c>
      <c r="D221" s="127" t="inlineStr">
        <is>
          <t>PRODUCTION</t>
        </is>
      </c>
      <c r="E221" s="129" t="inlineStr">
        <is>
          <t>BAND BUILDING-P3</t>
        </is>
      </c>
      <c r="F221" s="130" t="n">
        <v>41072</v>
      </c>
      <c r="G221" s="131">
        <f>NOW()-F221</f>
        <v/>
      </c>
      <c r="H221" s="104" t="inlineStr">
        <is>
          <t>O</t>
        </is>
      </c>
      <c r="I221" s="104" t="inlineStr">
        <is>
          <t>U</t>
        </is>
      </c>
      <c r="J221" s="104" t="n">
        <v>10</v>
      </c>
      <c r="K221" s="104" t="n">
        <v>8</v>
      </c>
      <c r="L221" s="104" t="n">
        <v>8</v>
      </c>
      <c r="M221" s="104" t="n">
        <v>8</v>
      </c>
      <c r="N221" s="104" t="n"/>
      <c r="O221" s="104">
        <f>SUM(J221:N221)</f>
        <v/>
      </c>
      <c r="P221" s="12">
        <f>O221/IF(H221="L",20,IF(H221="U",30,IF(H221="O",40,IF(H221="I",20,""))))</f>
        <v/>
      </c>
      <c r="Q221" s="132">
        <f>IF(AND(H221="L", P221&gt;=50%), "Pass",
IF(AND(H221="U", P221&gt;=60%), "Pass",
IF(AND(H221="O", P221&gt;=75%), "Pass", "Fail")))</f>
        <v/>
      </c>
      <c r="R221" s="104" t="n"/>
      <c r="S221" s="104" t="n">
        <v>15</v>
      </c>
      <c r="T221" s="104" t="n">
        <v>12</v>
      </c>
      <c r="U221" s="104">
        <f>SUM(S221:T221)</f>
        <v/>
      </c>
      <c r="V221" s="12">
        <f>U221/IF(H221="L",35,IF(H221="U",35,IF(H221="O",35,IF(H221="I",35,""))))</f>
        <v/>
      </c>
      <c r="W221" s="132">
        <f>IF(AND(H221="L", V221&gt;=50%), "Pass",
IF(AND(H221="U", V221&gt;=60%), "Pass",
IF(AND(H221="O", V221&gt;=75%), "Pass", "Fail")))</f>
        <v/>
      </c>
      <c r="X221" s="132">
        <f>IF(AND(Q221="Pass", W221="Pass"), "Pass", "Fail")</f>
        <v/>
      </c>
      <c r="Y221" s="15">
        <f>IF($X221="Pass",$H221,
IF(H221="L","I",
IF(H221="U","L",
IF(H221="O","U",
"I"))))</f>
        <v/>
      </c>
    </row>
    <row r="222">
      <c r="A222" s="147">
        <f>ROW()-2</f>
        <v/>
      </c>
      <c r="B222" s="127" t="inlineStr">
        <is>
          <t>SK1647</t>
        </is>
      </c>
      <c r="C222" s="128" t="inlineStr">
        <is>
          <t>ARUMUGA DURAI S</t>
        </is>
      </c>
      <c r="D222" s="127" t="inlineStr">
        <is>
          <t>PRODUCTION</t>
        </is>
      </c>
      <c r="E222" s="129" t="inlineStr">
        <is>
          <t>BAND BUILDING-P2</t>
        </is>
      </c>
      <c r="F222" s="130" t="n">
        <v>41072</v>
      </c>
      <c r="G222" s="131">
        <f>NOW()-F222</f>
        <v/>
      </c>
      <c r="H222" s="104" t="inlineStr">
        <is>
          <t>O</t>
        </is>
      </c>
      <c r="I222" s="104" t="inlineStr">
        <is>
          <t>O</t>
        </is>
      </c>
      <c r="J222" s="104" t="n">
        <v>8</v>
      </c>
      <c r="K222" s="104" t="n">
        <v>4</v>
      </c>
      <c r="L222" s="104" t="n">
        <v>3</v>
      </c>
      <c r="M222" s="104" t="n">
        <v>2</v>
      </c>
      <c r="N222" s="104" t="n"/>
      <c r="O222" s="104">
        <f>SUM(J222:N222)</f>
        <v/>
      </c>
      <c r="P222" s="12">
        <f>O222/IF(H222="L",20,IF(H222="U",30,IF(H222="O",40,IF(H222="I",20,""))))</f>
        <v/>
      </c>
      <c r="Q222" s="132">
        <f>IF(AND(H222="L", P222&gt;=50%), "Pass",
IF(AND(H222="U", P222&gt;=60%), "Pass",
IF(AND(H222="O", P222&gt;=75%), "Pass", "Fail")))</f>
        <v/>
      </c>
      <c r="R222" s="104" t="n"/>
      <c r="S222" s="104" t="n">
        <v>16</v>
      </c>
      <c r="T222" s="104" t="n">
        <v>12</v>
      </c>
      <c r="U222" s="104">
        <f>SUM(S222:T222)</f>
        <v/>
      </c>
      <c r="V222" s="12">
        <f>U222/IF(H222="L",35,IF(H222="U",35,IF(H222="O",35,IF(H222="I",35,""))))</f>
        <v/>
      </c>
      <c r="W222" s="132">
        <f>IF(AND(H222="L", V222&gt;=50%), "Pass",
IF(AND(H222="U", V222&gt;=60%), "Pass",
IF(AND(H222="O", V222&gt;=75%), "Pass", "Fail")))</f>
        <v/>
      </c>
      <c r="X222" s="132">
        <f>IF(AND(Q222="Pass", W222="Pass"), "Pass", "Fail")</f>
        <v/>
      </c>
      <c r="Y222" s="15">
        <f>IF($X222="Pass",$H222,
IF(H222="L","I",
IF(H222="U","L",
IF(H222="O","U",
"I"))))</f>
        <v/>
      </c>
    </row>
    <row r="223">
      <c r="A223" s="147">
        <f>ROW()-2</f>
        <v/>
      </c>
      <c r="B223" s="133" t="n">
        <v>900752</v>
      </c>
      <c r="C223" s="148" t="inlineStr">
        <is>
          <t>YOGENDRA RAY</t>
        </is>
      </c>
      <c r="D223" s="127" t="inlineStr">
        <is>
          <t>PRODUCTION</t>
        </is>
      </c>
      <c r="E223" s="135" t="inlineStr">
        <is>
          <t>MIXING</t>
        </is>
      </c>
      <c r="F223" s="136" t="n">
        <v>41076</v>
      </c>
      <c r="G223" s="131">
        <f>NOW()-F223</f>
        <v/>
      </c>
      <c r="H223" s="104" t="inlineStr">
        <is>
          <t>O</t>
        </is>
      </c>
      <c r="I223" s="104" t="inlineStr">
        <is>
          <t>U</t>
        </is>
      </c>
      <c r="J223" s="104" t="inlineStr">
        <is>
          <t>NIL</t>
        </is>
      </c>
      <c r="K223" s="104" t="n"/>
      <c r="L223" s="104" t="n"/>
      <c r="M223" s="104" t="n"/>
      <c r="N223" s="104" t="n"/>
      <c r="O223" s="104" t="n"/>
      <c r="P223" s="12">
        <f>O223/IF(H223="L",20,IF(H223="U",30,IF(H223="O",40,IF(H223="I",20,""))))</f>
        <v/>
      </c>
      <c r="Q223" s="132">
        <f>IF(AND(H223="L", P223&gt;=50%), "Pass",
IF(AND(H223="U", P223&gt;=60%), "Pass",
IF(AND(H223="O", P223&gt;=75%), "Pass", "Fail")))</f>
        <v/>
      </c>
      <c r="R223" s="104" t="n"/>
      <c r="S223" s="104" t="n">
        <v>12</v>
      </c>
      <c r="T223" s="104" t="n">
        <v>12</v>
      </c>
      <c r="U223" s="104">
        <f>SUM(S223:T223)</f>
        <v/>
      </c>
      <c r="V223" s="12">
        <f>U223/IF(H223="L",35,IF(H223="U",35,IF(H223="O",35,IF(H223="I",35,""))))</f>
        <v/>
      </c>
      <c r="W223" s="132">
        <f>IF(AND(H223="L", V223&gt;=50%), "Pass",
IF(AND(H223="U", V223&gt;=60%), "Pass",
IF(AND(H223="O", V223&gt;=75%), "Pass", "Fail")))</f>
        <v/>
      </c>
      <c r="X223" s="132">
        <f>IF(AND(Q223="Pass", W223="Pass"), "Pass", "Fail")</f>
        <v/>
      </c>
      <c r="Y223" s="15">
        <f>IF($X223="Pass",$H223,
IF(H223="L","I",
IF(H223="U","L",
IF(H223="O","U",
"I"))))</f>
        <v/>
      </c>
    </row>
    <row r="224">
      <c r="A224" s="147">
        <f>ROW()-2</f>
        <v/>
      </c>
      <c r="B224" s="133" t="n">
        <v>900753</v>
      </c>
      <c r="C224" s="148" t="inlineStr">
        <is>
          <t>RAM BABU SAH</t>
        </is>
      </c>
      <c r="D224" s="127" t="inlineStr">
        <is>
          <t>PRODUCTION</t>
        </is>
      </c>
      <c r="E224" s="135" t="inlineStr">
        <is>
          <t>MIXING</t>
        </is>
      </c>
      <c r="F224" s="136" t="n">
        <v>41076</v>
      </c>
      <c r="G224" s="131">
        <f>NOW()-F224</f>
        <v/>
      </c>
      <c r="H224" s="104" t="inlineStr">
        <is>
          <t>O</t>
        </is>
      </c>
      <c r="I224" s="104" t="inlineStr">
        <is>
          <t>U</t>
        </is>
      </c>
      <c r="J224" s="104" t="inlineStr">
        <is>
          <t>NIL</t>
        </is>
      </c>
      <c r="K224" s="104" t="n"/>
      <c r="L224" s="104" t="n"/>
      <c r="M224" s="104" t="n"/>
      <c r="N224" s="104" t="n"/>
      <c r="O224" s="104" t="n"/>
      <c r="P224" s="12">
        <f>O224/IF(H224="L",20,IF(H224="U",30,IF(H224="O",40,IF(H224="I",20,""))))</f>
        <v/>
      </c>
      <c r="Q224" s="132">
        <f>IF(AND(H224="L", P224&gt;=50%), "Pass",
IF(AND(H224="U", P224&gt;=60%), "Pass",
IF(AND(H224="O", P224&gt;=75%), "Pass", "Fail")))</f>
        <v/>
      </c>
      <c r="R224" s="104" t="n"/>
      <c r="S224" s="104" t="n">
        <v>14</v>
      </c>
      <c r="T224" s="104" t="n">
        <v>11</v>
      </c>
      <c r="U224" s="104">
        <f>SUM(S224:T224)</f>
        <v/>
      </c>
      <c r="V224" s="12">
        <f>U224/IF(H224="L",35,IF(H224="U",35,IF(H224="O",35,IF(H224="I",35,""))))</f>
        <v/>
      </c>
      <c r="W224" s="132">
        <f>IF(AND(H224="L", V224&gt;=50%), "Pass",
IF(AND(H224="U", V224&gt;=60%), "Pass",
IF(AND(H224="O", V224&gt;=75%), "Pass", "Fail")))</f>
        <v/>
      </c>
      <c r="X224" s="132">
        <f>IF(AND(Q224="Pass", W224="Pass"), "Pass", "Fail")</f>
        <v/>
      </c>
      <c r="Y224" s="15">
        <f>IF($X224="Pass",$H224,
IF(H224="L","I",
IF(H224="U","L",
IF(H224="O","U",
"I"))))</f>
        <v/>
      </c>
    </row>
    <row r="225">
      <c r="A225" s="147">
        <f>ROW()-2</f>
        <v/>
      </c>
      <c r="B225" s="127" t="inlineStr">
        <is>
          <t>PK0662</t>
        </is>
      </c>
      <c r="C225" s="128" t="inlineStr">
        <is>
          <t>SELVAMAYANDI B</t>
        </is>
      </c>
      <c r="D225" s="127" t="inlineStr">
        <is>
          <t>PRODUCTION</t>
        </is>
      </c>
      <c r="E225" s="129" t="inlineStr">
        <is>
          <t>TYRE CURING</t>
        </is>
      </c>
      <c r="F225" s="130" t="n">
        <v>41195</v>
      </c>
      <c r="G225" s="131">
        <f>NOW()-F225</f>
        <v/>
      </c>
      <c r="H225" s="104" t="inlineStr">
        <is>
          <t>O</t>
        </is>
      </c>
      <c r="I225" s="104" t="inlineStr">
        <is>
          <t>U</t>
        </is>
      </c>
      <c r="J225" s="104" t="n">
        <v>8</v>
      </c>
      <c r="K225" s="104" t="n">
        <v>9</v>
      </c>
      <c r="L225" s="104" t="n">
        <v>8</v>
      </c>
      <c r="M225" s="104" t="n">
        <v>8</v>
      </c>
      <c r="N225" s="104" t="n"/>
      <c r="O225" s="104">
        <f>SUM(J225:N225)</f>
        <v/>
      </c>
      <c r="P225" s="12">
        <f>O225/IF(H225="L",20,IF(H225="U",30,IF(H225="O",40,IF(H225="I",20,""))))</f>
        <v/>
      </c>
      <c r="Q225" s="132">
        <f>IF(AND(H225="L", P225&gt;=50%), "Pass",
IF(AND(H225="U", P225&gt;=60%), "Pass",
IF(AND(H225="O", P225&gt;=75%), "Pass", "Fail")))</f>
        <v/>
      </c>
      <c r="R225" s="104" t="n"/>
      <c r="S225" s="104" t="n">
        <v>14</v>
      </c>
      <c r="T225" s="104" t="n">
        <v>13</v>
      </c>
      <c r="U225" s="104">
        <f>SUM(S225:T225)</f>
        <v/>
      </c>
      <c r="V225" s="12">
        <f>U225/IF(H225="L",35,IF(H225="U",35,IF(H225="O",35,IF(H225="I",35,""))))</f>
        <v/>
      </c>
      <c r="W225" s="132">
        <f>IF(AND(H225="L", V225&gt;=50%), "Pass",
IF(AND(H225="U", V225&gt;=60%), "Pass",
IF(AND(H225="O", V225&gt;=75%), "Pass", "Fail")))</f>
        <v/>
      </c>
      <c r="X225" s="132">
        <f>IF(AND(Q225="Pass", W225="Pass"), "Pass", "Fail")</f>
        <v/>
      </c>
      <c r="Y225" s="15">
        <f>IF($X225="Pass",$H225,
IF(H225="L","I",
IF(H225="U","L",
IF(H225="O","U",
"I"))))</f>
        <v/>
      </c>
    </row>
    <row r="226">
      <c r="A226" s="147">
        <f>ROW()-2</f>
        <v/>
      </c>
      <c r="B226" s="127" t="inlineStr">
        <is>
          <t>SK2311</t>
        </is>
      </c>
      <c r="C226" s="128" t="inlineStr">
        <is>
          <t>SEYADALI P</t>
        </is>
      </c>
      <c r="D226" s="127" t="inlineStr">
        <is>
          <t>PRODUCTION</t>
        </is>
      </c>
      <c r="E226" s="129" t="inlineStr">
        <is>
          <t>BIAS MARANGONI&amp;BESTRY</t>
        </is>
      </c>
      <c r="F226" s="130" t="n">
        <v>41198</v>
      </c>
      <c r="G226" s="131">
        <f>NOW()-F226</f>
        <v/>
      </c>
      <c r="H226" s="104" t="inlineStr">
        <is>
          <t>O</t>
        </is>
      </c>
      <c r="I226" s="104" t="inlineStr">
        <is>
          <t>U</t>
        </is>
      </c>
      <c r="J226" s="104" t="n">
        <v>7</v>
      </c>
      <c r="K226" s="104" t="n">
        <v>8</v>
      </c>
      <c r="L226" s="104" t="n">
        <v>8</v>
      </c>
      <c r="M226" s="104" t="n">
        <v>9</v>
      </c>
      <c r="N226" s="104" t="n"/>
      <c r="O226" s="104">
        <f>SUM(J226:N226)</f>
        <v/>
      </c>
      <c r="P226" s="12">
        <f>O226/IF(H226="L",20,IF(H226="U",30,IF(H226="O",40,IF(H226="I",20,""))))</f>
        <v/>
      </c>
      <c r="Q226" s="132">
        <f>IF(AND(H226="L", P226&gt;=50%), "Pass",
IF(AND(H226="U", P226&gt;=60%), "Pass",
IF(AND(H226="O", P226&gt;=75%), "Pass", "Fail")))</f>
        <v/>
      </c>
      <c r="R226" s="104" t="n"/>
      <c r="S226" s="104" t="n">
        <v>16</v>
      </c>
      <c r="T226" s="104" t="n">
        <v>12</v>
      </c>
      <c r="U226" s="104">
        <f>SUM(S226:T226)</f>
        <v/>
      </c>
      <c r="V226" s="12">
        <f>U226/IF(H226="L",35,IF(H226="U",35,IF(H226="O",35,IF(H226="I",35,""))))</f>
        <v/>
      </c>
      <c r="W226" s="132">
        <f>IF(AND(H226="L", V226&gt;=50%), "Pass",
IF(AND(H226="U", V226&gt;=60%), "Pass",
IF(AND(H226="O", V226&gt;=75%), "Pass", "Fail")))</f>
        <v/>
      </c>
      <c r="X226" s="132">
        <f>IF(AND(Q226="Pass", W226="Pass"), "Pass", "Fail")</f>
        <v/>
      </c>
      <c r="Y226" s="15">
        <f>IF($X226="Pass",$H226,
IF(H226="L","I",
IF(H226="U","L",
IF(H226="O","U",
"I"))))</f>
        <v/>
      </c>
    </row>
    <row r="227">
      <c r="A227" s="147">
        <f>ROW()-2</f>
        <v/>
      </c>
      <c r="B227" s="127" t="inlineStr">
        <is>
          <t>MG0178</t>
        </is>
      </c>
      <c r="C227" s="128" t="inlineStr">
        <is>
          <t>MAHESH K</t>
        </is>
      </c>
      <c r="D227" s="127" t="inlineStr">
        <is>
          <t>PRODUCTION</t>
        </is>
      </c>
      <c r="E227" s="129" t="inlineStr">
        <is>
          <t>RADIAL MARANGONI</t>
        </is>
      </c>
      <c r="F227" s="130" t="n">
        <v>41207</v>
      </c>
      <c r="G227" s="131">
        <f>NOW()-F227</f>
        <v/>
      </c>
      <c r="H227" s="104" t="inlineStr">
        <is>
          <t>O</t>
        </is>
      </c>
      <c r="I227" s="104" t="inlineStr">
        <is>
          <t>U</t>
        </is>
      </c>
      <c r="J227" s="104" t="n">
        <v>5</v>
      </c>
      <c r="K227" s="104" t="n">
        <v>8</v>
      </c>
      <c r="L227" s="104" t="n">
        <v>8</v>
      </c>
      <c r="M227" s="104" t="n">
        <v>9</v>
      </c>
      <c r="N227" s="104" t="n"/>
      <c r="O227" s="104">
        <f>SUM(J227:N227)</f>
        <v/>
      </c>
      <c r="P227" s="12">
        <f>O227/IF(H227="L",20,IF(H227="U",30,IF(H227="O",40,IF(H227="I",20,""))))</f>
        <v/>
      </c>
      <c r="Q227" s="132">
        <f>IF(AND(H227="L", P227&gt;=50%), "Pass",
IF(AND(H227="U", P227&gt;=60%), "Pass",
IF(AND(H227="O", P227&gt;=75%), "Pass", "Fail")))</f>
        <v/>
      </c>
      <c r="R227" s="104" t="n"/>
      <c r="S227" s="104" t="n">
        <v>14</v>
      </c>
      <c r="T227" s="104" t="n">
        <v>9</v>
      </c>
      <c r="U227" s="104">
        <f>SUM(S227:T227)</f>
        <v/>
      </c>
      <c r="V227" s="12">
        <f>U227/IF(H227="L",35,IF(H227="U",35,IF(H227="O",35,IF(H227="I",35,""))))</f>
        <v/>
      </c>
      <c r="W227" s="132">
        <f>IF(AND(H227="L", V227&gt;=50%), "Pass",
IF(AND(H227="U", V227&gt;=60%), "Pass",
IF(AND(H227="O", V227&gt;=75%), "Pass", "Fail")))</f>
        <v/>
      </c>
      <c r="X227" s="132">
        <f>IF(AND(Q227="Pass", W227="Pass"), "Pass", "Fail")</f>
        <v/>
      </c>
      <c r="Y227" s="15">
        <f>IF($X227="Pass",$H227,
IF(H227="L","I",
IF(H227="U","L",
IF(H227="O","U",
"I"))))</f>
        <v/>
      </c>
    </row>
    <row r="228">
      <c r="A228" s="147">
        <f>ROW()-2</f>
        <v/>
      </c>
      <c r="B228" s="127" t="inlineStr">
        <is>
          <t>MG0188</t>
        </is>
      </c>
      <c r="C228" s="128" t="inlineStr">
        <is>
          <t>THIRUMALAI NAMBI N</t>
        </is>
      </c>
      <c r="D228" s="127" t="inlineStr">
        <is>
          <t>PRODUCTION</t>
        </is>
      </c>
      <c r="E228" s="129" t="inlineStr">
        <is>
          <t>TYRE CURING</t>
        </is>
      </c>
      <c r="F228" s="130" t="n">
        <v>41224</v>
      </c>
      <c r="G228" s="131">
        <f>NOW()-F228</f>
        <v/>
      </c>
      <c r="H228" s="104" t="inlineStr">
        <is>
          <t>O</t>
        </is>
      </c>
      <c r="I228" s="104" t="inlineStr">
        <is>
          <t>O</t>
        </is>
      </c>
      <c r="J228" s="104" t="n">
        <v>8</v>
      </c>
      <c r="K228" s="104" t="n">
        <v>9</v>
      </c>
      <c r="L228" s="104" t="n">
        <v>7</v>
      </c>
      <c r="M228" s="104" t="n">
        <v>6</v>
      </c>
      <c r="N228" s="104" t="n"/>
      <c r="O228" s="104">
        <f>SUM(J228:N228)</f>
        <v/>
      </c>
      <c r="P228" s="12">
        <f>O228/IF(H228="L",20,IF(H228="U",30,IF(H228="O",40,IF(H228="I",20,""))))</f>
        <v/>
      </c>
      <c r="Q228" s="132">
        <f>IF(AND(H228="L", P228&gt;=50%), "Pass",
IF(AND(H228="U", P228&gt;=60%), "Pass",
IF(AND(H228="O", P228&gt;=75%), "Pass", "Fail")))</f>
        <v/>
      </c>
      <c r="R228" s="104" t="n"/>
      <c r="S228" s="104" t="n">
        <v>16</v>
      </c>
      <c r="T228" s="104" t="n">
        <v>13</v>
      </c>
      <c r="U228" s="104">
        <f>SUM(S228:T228)</f>
        <v/>
      </c>
      <c r="V228" s="12">
        <f>U228/IF(H228="L",35,IF(H228="U",35,IF(H228="O",35,IF(H228="I",35,""))))</f>
        <v/>
      </c>
      <c r="W228" s="132">
        <f>IF(AND(H228="L", V228&gt;=50%), "Pass",
IF(AND(H228="U", V228&gt;=60%), "Pass",
IF(AND(H228="O", V228&gt;=75%), "Pass", "Fail")))</f>
        <v/>
      </c>
      <c r="X228" s="132">
        <f>IF(AND(Q228="Pass", W228="Pass"), "Pass", "Fail")</f>
        <v/>
      </c>
      <c r="Y228" s="15">
        <f>IF($X228="Pass",$H228,
IF(H228="L","I",
IF(H228="U","L",
IF(H228="O","U",
"I"))))</f>
        <v/>
      </c>
    </row>
    <row r="229">
      <c r="A229" s="147">
        <f>ROW()-2</f>
        <v/>
      </c>
      <c r="B229" s="127" t="inlineStr">
        <is>
          <t>KK0488</t>
        </is>
      </c>
      <c r="C229" s="128" t="inlineStr">
        <is>
          <t>MURUGAN S</t>
        </is>
      </c>
      <c r="D229" s="127" t="inlineStr">
        <is>
          <t>PRODUCTION</t>
        </is>
      </c>
      <c r="E229" s="129" t="inlineStr">
        <is>
          <t>TYRE BUILDING-P1</t>
        </is>
      </c>
      <c r="F229" s="130" t="n">
        <v>41296</v>
      </c>
      <c r="G229" s="131">
        <f>NOW()-F229</f>
        <v/>
      </c>
      <c r="H229" s="104" t="inlineStr">
        <is>
          <t>O</t>
        </is>
      </c>
      <c r="I229" s="104" t="inlineStr">
        <is>
          <t>O</t>
        </is>
      </c>
      <c r="J229" s="104" t="n">
        <v>8</v>
      </c>
      <c r="K229" s="104" t="n">
        <v>9</v>
      </c>
      <c r="L229" s="104" t="n">
        <v>7</v>
      </c>
      <c r="M229" s="104" t="n">
        <v>9</v>
      </c>
      <c r="N229" s="104" t="n"/>
      <c r="O229" s="104">
        <f>SUM(J229:N229)</f>
        <v/>
      </c>
      <c r="P229" s="12">
        <f>O229/IF(H229="L",20,IF(H229="U",30,IF(H229="O",40,IF(H229="I",20,""))))</f>
        <v/>
      </c>
      <c r="Q229" s="132">
        <f>IF(AND(H229="L", P229&gt;=50%), "Pass",
IF(AND(H229="U", P229&gt;=60%), "Pass",
IF(AND(H229="O", P229&gt;=75%), "Pass", "Fail")))</f>
        <v/>
      </c>
      <c r="R229" s="104" t="n"/>
      <c r="S229" s="104" t="n">
        <v>17</v>
      </c>
      <c r="T229" s="104" t="n">
        <v>15</v>
      </c>
      <c r="U229" s="104">
        <f>SUM(S229:T229)</f>
        <v/>
      </c>
      <c r="V229" s="12">
        <f>U229/IF(H229="L",35,IF(H229="U",35,IF(H229="O",35,IF(H229="I",35,""))))</f>
        <v/>
      </c>
      <c r="W229" s="132">
        <f>IF(AND(H229="L", V229&gt;=50%), "Pass",
IF(AND(H229="U", V229&gt;=60%), "Pass",
IF(AND(H229="O", V229&gt;=75%), "Pass", "Fail")))</f>
        <v/>
      </c>
      <c r="X229" s="132">
        <f>IF(AND(Q229="Pass", W229="Pass"), "Pass", "Fail")</f>
        <v/>
      </c>
      <c r="Y229" s="15">
        <f>IF($X229="Pass",$H229,
IF(H229="L","I",
IF(H229="U","L",
IF(H229="O","U",
"I"))))</f>
        <v/>
      </c>
    </row>
    <row r="230">
      <c r="A230" s="147">
        <f>ROW()-2</f>
        <v/>
      </c>
      <c r="B230" s="127" t="inlineStr">
        <is>
          <t>SK0586</t>
        </is>
      </c>
      <c r="C230" s="128" t="inlineStr">
        <is>
          <t>SUNIL KUMAR</t>
        </is>
      </c>
      <c r="D230" s="127" t="inlineStr">
        <is>
          <t>PRODUCTION</t>
        </is>
      </c>
      <c r="E230" s="129" t="inlineStr">
        <is>
          <t>BAND BUILDING-P3</t>
        </is>
      </c>
      <c r="F230" s="130" t="n">
        <v>41313</v>
      </c>
      <c r="G230" s="131">
        <f>NOW()-F230</f>
        <v/>
      </c>
      <c r="H230" s="104" t="inlineStr">
        <is>
          <t>O</t>
        </is>
      </c>
      <c r="I230" s="104" t="inlineStr">
        <is>
          <t>U</t>
        </is>
      </c>
      <c r="J230" s="104" t="n">
        <v>10</v>
      </c>
      <c r="K230" s="104" t="n">
        <v>8</v>
      </c>
      <c r="L230" s="104" t="n">
        <v>8</v>
      </c>
      <c r="M230" s="104" t="n">
        <v>7</v>
      </c>
      <c r="N230" s="104" t="n"/>
      <c r="O230" s="104">
        <f>SUM(J230:N230)</f>
        <v/>
      </c>
      <c r="P230" s="12">
        <f>O230/IF(H230="L",20,IF(H230="U",30,IF(H230="O",40,IF(H230="I",20,""))))</f>
        <v/>
      </c>
      <c r="Q230" s="132">
        <f>IF(AND(H230="L", P230&gt;=50%), "Pass",
IF(AND(H230="U", P230&gt;=60%), "Pass",
IF(AND(H230="O", P230&gt;=75%), "Pass", "Fail")))</f>
        <v/>
      </c>
      <c r="R230" s="104" t="n"/>
      <c r="S230" s="104" t="n">
        <v>13</v>
      </c>
      <c r="T230" s="104" t="n">
        <v>12</v>
      </c>
      <c r="U230" s="104">
        <f>SUM(S230:T230)</f>
        <v/>
      </c>
      <c r="V230" s="12">
        <f>U230/IF(H230="L",35,IF(H230="U",35,IF(H230="O",35,IF(H230="I",35,""))))</f>
        <v/>
      </c>
      <c r="W230" s="132">
        <f>IF(AND(H230="L", V230&gt;=50%), "Pass",
IF(AND(H230="U", V230&gt;=60%), "Pass",
IF(AND(H230="O", V230&gt;=75%), "Pass", "Fail")))</f>
        <v/>
      </c>
      <c r="X230" s="132">
        <f>IF(AND(Q230="Pass", W230="Pass"), "Pass", "Fail")</f>
        <v/>
      </c>
      <c r="Y230" s="15">
        <f>IF($X230="Pass",$H230,
IF(H230="L","I",
IF(H230="U","L",
IF(H230="O","U",
"I"))))</f>
        <v/>
      </c>
    </row>
    <row r="231">
      <c r="A231" s="147">
        <f>ROW()-2</f>
        <v/>
      </c>
      <c r="B231" s="133" t="inlineStr">
        <is>
          <t>PK0811</t>
        </is>
      </c>
      <c r="C231" s="148" t="inlineStr">
        <is>
          <t>PERUMAL P</t>
        </is>
      </c>
      <c r="D231" s="127" t="inlineStr">
        <is>
          <t>PRODUCTION</t>
        </is>
      </c>
      <c r="E231" s="135" t="inlineStr">
        <is>
          <t>MIXING</t>
        </is>
      </c>
      <c r="F231" s="136" t="n">
        <v>41326</v>
      </c>
      <c r="G231" s="131">
        <f>NOW()-F231</f>
        <v/>
      </c>
      <c r="H231" s="104" t="inlineStr">
        <is>
          <t>O</t>
        </is>
      </c>
      <c r="I231" s="104" t="inlineStr">
        <is>
          <t>U</t>
        </is>
      </c>
      <c r="J231" s="104" t="inlineStr">
        <is>
          <t>NIL</t>
        </is>
      </c>
      <c r="K231" s="104" t="n"/>
      <c r="L231" s="104" t="n"/>
      <c r="M231" s="104" t="n"/>
      <c r="N231" s="104" t="n"/>
      <c r="O231" s="104" t="n"/>
      <c r="P231" s="12">
        <f>O231/IF(H231="L",20,IF(H231="U",30,IF(H231="O",40,IF(H231="I",20,""))))</f>
        <v/>
      </c>
      <c r="Q231" s="132">
        <f>IF(AND(H231="L", P231&gt;=50%), "Pass",
IF(AND(H231="U", P231&gt;=60%), "Pass",
IF(AND(H231="O", P231&gt;=75%), "Pass", "Fail")))</f>
        <v/>
      </c>
      <c r="R231" s="104" t="n"/>
      <c r="S231" s="104" t="n">
        <v>13</v>
      </c>
      <c r="T231" s="104" t="n">
        <v>11</v>
      </c>
      <c r="U231" s="104">
        <f>SUM(S231:T231)</f>
        <v/>
      </c>
      <c r="V231" s="12">
        <f>U231/IF(H231="L",35,IF(H231="U",35,IF(H231="O",35,IF(H231="I",35,""))))</f>
        <v/>
      </c>
      <c r="W231" s="132">
        <f>IF(AND(H231="L", V231&gt;=50%), "Pass",
IF(AND(H231="U", V231&gt;=60%), "Pass",
IF(AND(H231="O", V231&gt;=75%), "Pass", "Fail")))</f>
        <v/>
      </c>
      <c r="X231" s="132">
        <f>IF(AND(Q231="Pass", W231="Pass"), "Pass", "Fail")</f>
        <v/>
      </c>
      <c r="Y231" s="15">
        <f>IF($X231="Pass",$H231,
IF(H231="L","I",
IF(H231="U","L",
IF(H231="O","U",
"I"))))</f>
        <v/>
      </c>
    </row>
    <row r="232">
      <c r="A232" s="147">
        <f>ROW()-2</f>
        <v/>
      </c>
      <c r="B232" s="127" t="inlineStr">
        <is>
          <t>MG0243</t>
        </is>
      </c>
      <c r="C232" s="128" t="inlineStr">
        <is>
          <t>PETCHI P</t>
        </is>
      </c>
      <c r="D232" s="127" t="inlineStr">
        <is>
          <t>PRODUCTION</t>
        </is>
      </c>
      <c r="E232" s="129" t="inlineStr">
        <is>
          <t>TYRE CURING</t>
        </is>
      </c>
      <c r="F232" s="130" t="n">
        <v>41334</v>
      </c>
      <c r="G232" s="131">
        <f>NOW()-F232</f>
        <v/>
      </c>
      <c r="H232" s="104" t="inlineStr">
        <is>
          <t>O</t>
        </is>
      </c>
      <c r="I232" s="104" t="inlineStr">
        <is>
          <t>O</t>
        </is>
      </c>
      <c r="J232" s="104" t="n">
        <v>9</v>
      </c>
      <c r="K232" s="104" t="n">
        <v>9</v>
      </c>
      <c r="L232" s="104" t="n">
        <v>10</v>
      </c>
      <c r="M232" s="104" t="n">
        <v>8</v>
      </c>
      <c r="N232" s="104" t="n"/>
      <c r="O232" s="104">
        <f>SUM(J232:N232)</f>
        <v/>
      </c>
      <c r="P232" s="12">
        <f>O232/IF(H232="L",20,IF(H232="U",30,IF(H232="O",40,IF(H232="I",20,""))))</f>
        <v/>
      </c>
      <c r="Q232" s="132">
        <f>IF(AND(H232="L", P232&gt;=50%), "Pass",
IF(AND(H232="U", P232&gt;=60%), "Pass",
IF(AND(H232="O", P232&gt;=75%), "Pass", "Fail")))</f>
        <v/>
      </c>
      <c r="R232" s="104" t="n"/>
      <c r="S232" s="104" t="n">
        <v>15</v>
      </c>
      <c r="T232" s="104" t="n">
        <v>12</v>
      </c>
      <c r="U232" s="104">
        <f>SUM(S232:T232)</f>
        <v/>
      </c>
      <c r="V232" s="12">
        <f>U232/IF(H232="L",35,IF(H232="U",35,IF(H232="O",35,IF(H232="I",35,""))))</f>
        <v/>
      </c>
      <c r="W232" s="132">
        <f>IF(AND(H232="L", V232&gt;=50%), "Pass",
IF(AND(H232="U", V232&gt;=60%), "Pass",
IF(AND(H232="O", V232&gt;=75%), "Pass", "Fail")))</f>
        <v/>
      </c>
      <c r="X232" s="132">
        <f>IF(AND(Q232="Pass", W232="Pass"), "Pass", "Fail")</f>
        <v/>
      </c>
      <c r="Y232" s="15">
        <f>IF($X232="Pass",$H232,
IF(H232="L","I",
IF(H232="U","L",
IF(H232="O","U",
"I"))))</f>
        <v/>
      </c>
    </row>
    <row r="233">
      <c r="A233" s="147">
        <f>ROW()-2</f>
        <v/>
      </c>
      <c r="B233" s="127" t="inlineStr">
        <is>
          <t>AK0308</t>
        </is>
      </c>
      <c r="C233" s="128" t="inlineStr">
        <is>
          <t>ESAKKIMUTHU S</t>
        </is>
      </c>
      <c r="D233" s="127" t="inlineStr">
        <is>
          <t>PRODUCTION</t>
        </is>
      </c>
      <c r="E233" s="129" t="inlineStr">
        <is>
          <t>EXTRUDER</t>
        </is>
      </c>
      <c r="F233" s="130" t="n">
        <v>41340</v>
      </c>
      <c r="G233" s="131">
        <f>NOW()-F233</f>
        <v/>
      </c>
      <c r="H233" s="104" t="inlineStr">
        <is>
          <t>O</t>
        </is>
      </c>
      <c r="I233" s="104" t="inlineStr">
        <is>
          <t>U</t>
        </is>
      </c>
      <c r="J233" s="104" t="n">
        <v>9</v>
      </c>
      <c r="K233" s="104" t="n">
        <v>5</v>
      </c>
      <c r="L233" s="104" t="n">
        <v>9</v>
      </c>
      <c r="M233" s="104" t="n">
        <v>5</v>
      </c>
      <c r="N233" s="104" t="n"/>
      <c r="O233" s="104">
        <f>SUM(J233:N233)</f>
        <v/>
      </c>
      <c r="P233" s="12">
        <f>O233/IF(H233="L",20,IF(H233="U",30,IF(H233="O",40,IF(H233="I",20,""))))</f>
        <v/>
      </c>
      <c r="Q233" s="132">
        <f>IF(AND(H233="L", P233&gt;=50%), "Pass",
IF(AND(H233="U", P233&gt;=60%), "Pass",
IF(AND(H233="O", P233&gt;=75%), "Pass", "Fail")))</f>
        <v/>
      </c>
      <c r="R233" s="104" t="n"/>
      <c r="S233" s="104" t="n">
        <v>16</v>
      </c>
      <c r="T233" s="104" t="n">
        <v>10</v>
      </c>
      <c r="U233" s="104">
        <f>SUM(S233:T233)</f>
        <v/>
      </c>
      <c r="V233" s="12">
        <f>U233/IF(H233="L",35,IF(H233="U",35,IF(H233="O",35,IF(H233="I",35,""))))</f>
        <v/>
      </c>
      <c r="W233" s="132">
        <f>IF(AND(H233="L", V233&gt;=50%), "Pass",
IF(AND(H233="U", V233&gt;=60%), "Pass",
IF(AND(H233="O", V233&gt;=75%), "Pass", "Fail")))</f>
        <v/>
      </c>
      <c r="X233" s="132">
        <f>IF(AND(Q233="Pass", W233="Pass"), "Pass", "Fail")</f>
        <v/>
      </c>
      <c r="Y233" s="15">
        <f>IF($X233="Pass",$H233,
IF(H233="L","I",
IF(H233="U","L",
IF(H233="O","U",
"I"))))</f>
        <v/>
      </c>
    </row>
    <row r="234">
      <c r="A234" s="147">
        <f>ROW()-2</f>
        <v/>
      </c>
      <c r="B234" s="133" t="inlineStr">
        <is>
          <t>PK0799</t>
        </is>
      </c>
      <c r="C234" s="148" t="inlineStr">
        <is>
          <t>KARTHICK CHANDRAN S</t>
        </is>
      </c>
      <c r="D234" s="127" t="inlineStr">
        <is>
          <t>PRODUCTION</t>
        </is>
      </c>
      <c r="E234" s="135" t="inlineStr">
        <is>
          <t>MIXING</t>
        </is>
      </c>
      <c r="F234" s="136" t="n">
        <v>41353</v>
      </c>
      <c r="G234" s="131">
        <f>NOW()-F234</f>
        <v/>
      </c>
      <c r="H234" s="104" t="inlineStr">
        <is>
          <t>O</t>
        </is>
      </c>
      <c r="I234" s="104" t="inlineStr">
        <is>
          <t>U</t>
        </is>
      </c>
      <c r="J234" s="104" t="inlineStr">
        <is>
          <t>NIL</t>
        </is>
      </c>
      <c r="K234" s="104" t="n"/>
      <c r="L234" s="104" t="n"/>
      <c r="M234" s="104" t="n"/>
      <c r="N234" s="104" t="n"/>
      <c r="O234" s="104" t="n"/>
      <c r="P234" s="12">
        <f>O234/IF(H234="L",20,IF(H234="U",30,IF(H234="O",40,IF(H234="I",20,""))))</f>
        <v/>
      </c>
      <c r="Q234" s="132">
        <f>IF(AND(H234="L", P234&gt;=50%), "Pass",
IF(AND(H234="U", P234&gt;=60%), "Pass",
IF(AND(H234="O", P234&gt;=75%), "Pass", "Fail")))</f>
        <v/>
      </c>
      <c r="R234" s="104" t="n"/>
      <c r="S234" s="104" t="n">
        <v>13</v>
      </c>
      <c r="T234" s="104" t="n">
        <v>11</v>
      </c>
      <c r="U234" s="104">
        <f>SUM(S234:T234)</f>
        <v/>
      </c>
      <c r="V234" s="12">
        <f>U234/IF(H234="L",35,IF(H234="U",35,IF(H234="O",35,IF(H234="I",35,""))))</f>
        <v/>
      </c>
      <c r="W234" s="132">
        <f>IF(AND(H234="L", V234&gt;=50%), "Pass",
IF(AND(H234="U", V234&gt;=60%), "Pass",
IF(AND(H234="O", V234&gt;=75%), "Pass", "Fail")))</f>
        <v/>
      </c>
      <c r="X234" s="132">
        <f>IF(AND(Q234="Pass", W234="Pass"), "Pass", "Fail")</f>
        <v/>
      </c>
      <c r="Y234" s="15">
        <f>IF($X234="Pass",$H234,
IF(H234="L","I",
IF(H234="U","L",
IF(H234="O","U",
"I"))))</f>
        <v/>
      </c>
    </row>
    <row r="235">
      <c r="A235" s="147">
        <f>ROW()-2</f>
        <v/>
      </c>
      <c r="B235" s="127" t="n">
        <v>900523</v>
      </c>
      <c r="C235" s="128" t="inlineStr">
        <is>
          <t>VENNISH E</t>
        </is>
      </c>
      <c r="D235" s="127" t="inlineStr">
        <is>
          <t>PRODUCTION</t>
        </is>
      </c>
      <c r="E235" s="129" t="inlineStr">
        <is>
          <t>3 ROLL-P2</t>
        </is>
      </c>
      <c r="F235" s="130" t="n">
        <v>41365</v>
      </c>
      <c r="G235" s="131">
        <f>NOW()-F235</f>
        <v/>
      </c>
      <c r="H235" s="104" t="inlineStr">
        <is>
          <t>O</t>
        </is>
      </c>
      <c r="I235" s="104" t="inlineStr">
        <is>
          <t>U</t>
        </is>
      </c>
      <c r="J235" s="104" t="n">
        <v>7</v>
      </c>
      <c r="K235" s="104" t="n">
        <v>7</v>
      </c>
      <c r="L235" s="104" t="n">
        <v>5</v>
      </c>
      <c r="M235" s="104" t="n">
        <v>9</v>
      </c>
      <c r="N235" s="104" t="n"/>
      <c r="O235" s="104">
        <f>SUM(J235:N235)</f>
        <v/>
      </c>
      <c r="P235" s="12">
        <f>O235/IF(H235="L",20,IF(H235="U",30,IF(H235="O",40,IF(H235="I",20,""))))</f>
        <v/>
      </c>
      <c r="Q235" s="132">
        <f>IF(AND(H235="L", P235&gt;=50%), "Pass",
IF(AND(H235="U", P235&gt;=60%), "Pass",
IF(AND(H235="O", P235&gt;=75%), "Pass", "Fail")))</f>
        <v/>
      </c>
      <c r="R235" s="104" t="n"/>
      <c r="S235" s="104" t="n">
        <v>16</v>
      </c>
      <c r="T235" s="104" t="n">
        <v>8</v>
      </c>
      <c r="U235" s="104">
        <f>SUM(S235:T235)</f>
        <v/>
      </c>
      <c r="V235" s="12">
        <f>U235/IF(H235="L",35,IF(H235="U",35,IF(H235="O",35,IF(H235="I",35,""))))</f>
        <v/>
      </c>
      <c r="W235" s="132">
        <f>IF(AND(H235="L", V235&gt;=50%), "Pass",
IF(AND(H235="U", V235&gt;=60%), "Pass",
IF(AND(H235="O", V235&gt;=75%), "Pass", "Fail")))</f>
        <v/>
      </c>
      <c r="X235" s="132">
        <f>IF(AND(Q235="Pass", W235="Pass"), "Pass", "Fail")</f>
        <v/>
      </c>
      <c r="Y235" s="15">
        <f>IF($X235="Pass",$H235,
IF(H235="L","I",
IF(H235="U","L",
IF(H235="O","U",
"I"))))</f>
        <v/>
      </c>
    </row>
    <row r="236">
      <c r="A236" s="147">
        <f>ROW()-2</f>
        <v/>
      </c>
      <c r="B236" s="127" t="n">
        <v>900524</v>
      </c>
      <c r="C236" s="128" t="inlineStr">
        <is>
          <t>SEKAR C</t>
        </is>
      </c>
      <c r="D236" s="127" t="inlineStr">
        <is>
          <t>PRODUCTION</t>
        </is>
      </c>
      <c r="E236" s="129" t="inlineStr">
        <is>
          <t>4 ROLL</t>
        </is>
      </c>
      <c r="F236" s="130" t="n">
        <v>41365</v>
      </c>
      <c r="G236" s="131">
        <f>NOW()-F236</f>
        <v/>
      </c>
      <c r="H236" s="104" t="inlineStr">
        <is>
          <t>O</t>
        </is>
      </c>
      <c r="I236" s="104" t="inlineStr">
        <is>
          <t>U</t>
        </is>
      </c>
      <c r="J236" s="104" t="n">
        <v>8</v>
      </c>
      <c r="K236" s="104" t="n">
        <v>6</v>
      </c>
      <c r="L236" s="104" t="n">
        <v>6</v>
      </c>
      <c r="M236" s="104" t="n">
        <v>8</v>
      </c>
      <c r="N236" s="104" t="n"/>
      <c r="O236" s="104">
        <f>SUM(J236:N236)</f>
        <v/>
      </c>
      <c r="P236" s="12">
        <f>O236/IF(H236="L",20,IF(H236="U",30,IF(H236="O",40,IF(H236="I",20,""))))</f>
        <v/>
      </c>
      <c r="Q236" s="132">
        <f>IF(AND(H236="L", P236&gt;=50%), "Pass",
IF(AND(H236="U", P236&gt;=60%), "Pass",
IF(AND(H236="O", P236&gt;=75%), "Pass", "Fail")))</f>
        <v/>
      </c>
      <c r="R236" s="104" t="n"/>
      <c r="S236" s="104" t="n">
        <v>13</v>
      </c>
      <c r="T236" s="104" t="n">
        <v>6</v>
      </c>
      <c r="U236" s="104">
        <f>SUM(S236:T236)</f>
        <v/>
      </c>
      <c r="V236" s="12">
        <f>U236/IF(H236="L",35,IF(H236="U",35,IF(H236="O",35,IF(H236="I",35,""))))</f>
        <v/>
      </c>
      <c r="W236" s="132">
        <f>IF(AND(H236="L", V236&gt;=50%), "Pass",
IF(AND(H236="U", V236&gt;=60%), "Pass",
IF(AND(H236="O", V236&gt;=75%), "Pass", "Fail")))</f>
        <v/>
      </c>
      <c r="X236" s="132">
        <f>IF(AND(Q236="Pass", W236="Pass"), "Pass", "Fail")</f>
        <v/>
      </c>
      <c r="Y236" s="15">
        <f>IF($X236="Pass",$H236,
IF(H236="L","I",
IF(H236="U","L",
IF(H236="O","U",
"I"))))</f>
        <v/>
      </c>
    </row>
    <row r="237">
      <c r="A237" s="147">
        <f>ROW()-2</f>
        <v/>
      </c>
      <c r="B237" s="127" t="n">
        <v>900525</v>
      </c>
      <c r="C237" s="128" t="inlineStr">
        <is>
          <t>MANIKANDAN P</t>
        </is>
      </c>
      <c r="D237" s="127" t="inlineStr">
        <is>
          <t>PRODUCTION</t>
        </is>
      </c>
      <c r="E237" s="129" t="inlineStr">
        <is>
          <t>4 ROLL</t>
        </is>
      </c>
      <c r="F237" s="130" t="n">
        <v>41365</v>
      </c>
      <c r="G237" s="131">
        <f>NOW()-F237</f>
        <v/>
      </c>
      <c r="H237" s="104" t="inlineStr">
        <is>
          <t>O</t>
        </is>
      </c>
      <c r="I237" s="104" t="inlineStr">
        <is>
          <t>U</t>
        </is>
      </c>
      <c r="J237" s="104" t="n">
        <v>10</v>
      </c>
      <c r="K237" s="104" t="n">
        <v>7</v>
      </c>
      <c r="L237" s="104" t="n">
        <v>6</v>
      </c>
      <c r="M237" s="104" t="n">
        <v>8</v>
      </c>
      <c r="N237" s="104" t="n"/>
      <c r="O237" s="104">
        <f>SUM(J237:N237)</f>
        <v/>
      </c>
      <c r="P237" s="12">
        <f>O237/IF(H237="L",20,IF(H237="U",30,IF(H237="O",40,IF(H237="I",20,""))))</f>
        <v/>
      </c>
      <c r="Q237" s="132">
        <f>IF(AND(H237="L", P237&gt;=50%), "Pass",
IF(AND(H237="U", P237&gt;=60%), "Pass",
IF(AND(H237="O", P237&gt;=75%), "Pass", "Fail")))</f>
        <v/>
      </c>
      <c r="R237" s="104" t="n"/>
      <c r="S237" s="104" t="n">
        <v>16</v>
      </c>
      <c r="T237" s="104" t="n">
        <v>12</v>
      </c>
      <c r="U237" s="104">
        <f>SUM(S237:T237)</f>
        <v/>
      </c>
      <c r="V237" s="12">
        <f>U237/IF(H237="L",35,IF(H237="U",35,IF(H237="O",35,IF(H237="I",35,""))))</f>
        <v/>
      </c>
      <c r="W237" s="132">
        <f>IF(AND(H237="L", V237&gt;=50%), "Pass",
IF(AND(H237="U", V237&gt;=60%), "Pass",
IF(AND(H237="O", V237&gt;=75%), "Pass", "Fail")))</f>
        <v/>
      </c>
      <c r="X237" s="132">
        <f>IF(AND(Q237="Pass", W237="Pass"), "Pass", "Fail")</f>
        <v/>
      </c>
      <c r="Y237" s="15">
        <f>IF($X237="Pass",$H237,
IF(H237="L","I",
IF(H237="U","L",
IF(H237="O","U",
"I"))))</f>
        <v/>
      </c>
    </row>
    <row r="238">
      <c r="A238" s="147">
        <f>ROW()-2</f>
        <v/>
      </c>
      <c r="B238" s="127" t="n">
        <v>900526</v>
      </c>
      <c r="C238" s="128" t="inlineStr">
        <is>
          <t>RAJKUMAR C</t>
        </is>
      </c>
      <c r="D238" s="127" t="inlineStr">
        <is>
          <t>PRODUCTION</t>
        </is>
      </c>
      <c r="E238" s="129" t="inlineStr">
        <is>
          <t>BAND BUILDING-P2</t>
        </is>
      </c>
      <c r="F238" s="130" t="n">
        <v>41365</v>
      </c>
      <c r="G238" s="131">
        <f>NOW()-F238</f>
        <v/>
      </c>
      <c r="H238" s="104" t="inlineStr">
        <is>
          <t>O</t>
        </is>
      </c>
      <c r="I238" s="104" t="inlineStr">
        <is>
          <t>O</t>
        </is>
      </c>
      <c r="J238" s="104" t="n">
        <v>9</v>
      </c>
      <c r="K238" s="104" t="n">
        <v>9</v>
      </c>
      <c r="L238" s="104" t="n">
        <v>7</v>
      </c>
      <c r="M238" s="104" t="n">
        <v>8</v>
      </c>
      <c r="N238" s="104" t="n"/>
      <c r="O238" s="104">
        <f>SUM(J238:N238)</f>
        <v/>
      </c>
      <c r="P238" s="12">
        <f>O238/IF(H238="L",20,IF(H238="U",30,IF(H238="O",40,IF(H238="I",20,""))))</f>
        <v/>
      </c>
      <c r="Q238" s="132">
        <f>IF(AND(H238="L", P238&gt;=50%), "Pass",
IF(AND(H238="U", P238&gt;=60%), "Pass",
IF(AND(H238="O", P238&gt;=75%), "Pass", "Fail")))</f>
        <v/>
      </c>
      <c r="R238" s="104" t="n"/>
      <c r="S238" s="104" t="n">
        <v>16</v>
      </c>
      <c r="T238" s="104" t="n">
        <v>12</v>
      </c>
      <c r="U238" s="104">
        <f>SUM(S238:T238)</f>
        <v/>
      </c>
      <c r="V238" s="12">
        <f>U238/IF(H238="L",35,IF(H238="U",35,IF(H238="O",35,IF(H238="I",35,""))))</f>
        <v/>
      </c>
      <c r="W238" s="132">
        <f>IF(AND(H238="L", V238&gt;=50%), "Pass",
IF(AND(H238="U", V238&gt;=60%), "Pass",
IF(AND(H238="O", V238&gt;=75%), "Pass", "Fail")))</f>
        <v/>
      </c>
      <c r="X238" s="132">
        <f>IF(AND(Q238="Pass", W238="Pass"), "Pass", "Fail")</f>
        <v/>
      </c>
      <c r="Y238" s="15">
        <f>IF($X238="Pass",$H238,
IF(H238="L","I",
IF(H238="U","L",
IF(H238="O","U",
"I"))))</f>
        <v/>
      </c>
    </row>
    <row r="239">
      <c r="A239" s="147">
        <f>ROW()-2</f>
        <v/>
      </c>
      <c r="B239" s="127" t="n">
        <v>900527</v>
      </c>
      <c r="C239" s="128" t="inlineStr">
        <is>
          <t>SIVAKUMAR P</t>
        </is>
      </c>
      <c r="D239" s="127" t="inlineStr">
        <is>
          <t>PRODUCTION</t>
        </is>
      </c>
      <c r="E239" s="129" t="inlineStr">
        <is>
          <t>BAND BUILDING-P1</t>
        </is>
      </c>
      <c r="F239" s="130" t="n">
        <v>41365</v>
      </c>
      <c r="G239" s="131">
        <f>NOW()-F239</f>
        <v/>
      </c>
      <c r="H239" s="104" t="inlineStr">
        <is>
          <t>O</t>
        </is>
      </c>
      <c r="I239" s="104" t="inlineStr">
        <is>
          <t>U</t>
        </is>
      </c>
      <c r="J239" s="104" t="n">
        <v>10</v>
      </c>
      <c r="K239" s="104" t="n">
        <v>10</v>
      </c>
      <c r="L239" s="104" t="n">
        <v>7</v>
      </c>
      <c r="M239" s="104" t="n">
        <v>6</v>
      </c>
      <c r="N239" s="104" t="n"/>
      <c r="O239" s="104">
        <f>SUM(J239:N239)</f>
        <v/>
      </c>
      <c r="P239" s="12">
        <f>O239/IF(H239="L",20,IF(H239="U",30,IF(H239="O",40,IF(H239="I",20,""))))</f>
        <v/>
      </c>
      <c r="Q239" s="132">
        <f>IF(AND(H239="L", P239&gt;=50%), "Pass",
IF(AND(H239="U", P239&gt;=60%), "Pass",
IF(AND(H239="O", P239&gt;=75%), "Pass", "Fail")))</f>
        <v/>
      </c>
      <c r="R239" s="104" t="n"/>
      <c r="S239" s="104" t="n">
        <v>17</v>
      </c>
      <c r="T239" s="104" t="n">
        <v>14</v>
      </c>
      <c r="U239" s="104">
        <f>SUM(S239:T239)</f>
        <v/>
      </c>
      <c r="V239" s="12">
        <f>U239/IF(H239="L",35,IF(H239="U",35,IF(H239="O",35,IF(H239="I",35,""))))</f>
        <v/>
      </c>
      <c r="W239" s="132">
        <f>IF(AND(H239="L", V239&gt;=50%), "Pass",
IF(AND(H239="U", V239&gt;=60%), "Pass",
IF(AND(H239="O", V239&gt;=75%), "Pass", "Fail")))</f>
        <v/>
      </c>
      <c r="X239" s="132">
        <f>IF(AND(Q239="Pass", W239="Pass"), "Pass", "Fail")</f>
        <v/>
      </c>
      <c r="Y239" s="15">
        <f>IF($X239="Pass",$H239,
IF(H239="L","I",
IF(H239="U","L",
IF(H239="O","U",
"I"))))</f>
        <v/>
      </c>
    </row>
    <row r="240">
      <c r="A240" s="147">
        <f>ROW()-2</f>
        <v/>
      </c>
      <c r="B240" s="127" t="n">
        <v>900528</v>
      </c>
      <c r="C240" s="128" t="inlineStr">
        <is>
          <t>MURUGESAN K</t>
        </is>
      </c>
      <c r="D240" s="127" t="inlineStr">
        <is>
          <t>PRODUCTION</t>
        </is>
      </c>
      <c r="E240" s="129" t="inlineStr">
        <is>
          <t>BAND BUILDING-P1</t>
        </is>
      </c>
      <c r="F240" s="130" t="n">
        <v>41365</v>
      </c>
      <c r="G240" s="131">
        <f>NOW()-F240</f>
        <v/>
      </c>
      <c r="H240" s="104" t="inlineStr">
        <is>
          <t>O</t>
        </is>
      </c>
      <c r="I240" s="104" t="inlineStr">
        <is>
          <t>O</t>
        </is>
      </c>
      <c r="J240" s="104" t="n">
        <v>10</v>
      </c>
      <c r="K240" s="104" t="n">
        <v>7</v>
      </c>
      <c r="L240" s="104" t="n">
        <v>6</v>
      </c>
      <c r="M240" s="104" t="n">
        <v>8</v>
      </c>
      <c r="N240" s="104" t="n"/>
      <c r="O240" s="104">
        <f>SUM(J240:N240)</f>
        <v/>
      </c>
      <c r="P240" s="12">
        <f>O240/IF(H240="L",20,IF(H240="U",30,IF(H240="O",40,IF(H240="I",20,""))))</f>
        <v/>
      </c>
      <c r="Q240" s="132">
        <f>IF(AND(H240="L", P240&gt;=50%), "Pass",
IF(AND(H240="U", P240&gt;=60%), "Pass",
IF(AND(H240="O", P240&gt;=75%), "Pass", "Fail")))</f>
        <v/>
      </c>
      <c r="R240" s="104" t="n"/>
      <c r="S240" s="104" t="n">
        <v>18</v>
      </c>
      <c r="T240" s="104" t="n">
        <v>14</v>
      </c>
      <c r="U240" s="104">
        <f>SUM(S240:T240)</f>
        <v/>
      </c>
      <c r="V240" s="12">
        <f>U240/IF(H240="L",35,IF(H240="U",35,IF(H240="O",35,IF(H240="I",35,""))))</f>
        <v/>
      </c>
      <c r="W240" s="132">
        <f>IF(AND(H240="L", V240&gt;=50%), "Pass",
IF(AND(H240="U", V240&gt;=60%), "Pass",
IF(AND(H240="O", V240&gt;=75%), "Pass", "Fail")))</f>
        <v/>
      </c>
      <c r="X240" s="132">
        <f>IF(AND(Q240="Pass", W240="Pass"), "Pass", "Fail")</f>
        <v/>
      </c>
      <c r="Y240" s="15">
        <f>IF($X240="Pass",$H240,
IF(H240="L","I",
IF(H240="U","L",
IF(H240="O","U",
"I"))))</f>
        <v/>
      </c>
    </row>
    <row r="241">
      <c r="A241" s="147">
        <f>ROW()-2</f>
        <v/>
      </c>
      <c r="B241" s="127" t="n">
        <v>900529</v>
      </c>
      <c r="C241" s="128" t="inlineStr">
        <is>
          <t>THANGA NAINAR S</t>
        </is>
      </c>
      <c r="D241" s="127" t="inlineStr">
        <is>
          <t>PRODUCTION</t>
        </is>
      </c>
      <c r="E241" s="129" t="inlineStr">
        <is>
          <t>BEAD WINDING</t>
        </is>
      </c>
      <c r="F241" s="130" t="n">
        <v>41365</v>
      </c>
      <c r="G241" s="131">
        <f>NOW()-F241</f>
        <v/>
      </c>
      <c r="H241" s="104" t="inlineStr">
        <is>
          <t>O</t>
        </is>
      </c>
      <c r="I241" s="104" t="inlineStr">
        <is>
          <t>U</t>
        </is>
      </c>
      <c r="J241" s="104" t="n">
        <v>9</v>
      </c>
      <c r="K241" s="104" t="n">
        <v>9</v>
      </c>
      <c r="L241" s="104" t="n">
        <v>7</v>
      </c>
      <c r="M241" s="104" t="n">
        <v>6</v>
      </c>
      <c r="N241" s="104" t="n"/>
      <c r="O241" s="104">
        <f>SUM(J241:N241)</f>
        <v/>
      </c>
      <c r="P241" s="12">
        <f>O241/IF(H241="L",20,IF(H241="U",30,IF(H241="O",40,IF(H241="I",20,""))))</f>
        <v/>
      </c>
      <c r="Q241" s="132">
        <f>IF(AND(H241="L", P241&gt;=50%), "Pass",
IF(AND(H241="U", P241&gt;=60%), "Pass",
IF(AND(H241="O", P241&gt;=75%), "Pass", "Fail")))</f>
        <v/>
      </c>
      <c r="R241" s="104" t="n"/>
      <c r="S241" s="104" t="n">
        <v>16</v>
      </c>
      <c r="T241" s="104" t="n">
        <v>12</v>
      </c>
      <c r="U241" s="104">
        <f>SUM(S241:T241)</f>
        <v/>
      </c>
      <c r="V241" s="12">
        <f>U241/IF(H241="L",35,IF(H241="U",35,IF(H241="O",35,IF(H241="I",35,""))))</f>
        <v/>
      </c>
      <c r="W241" s="132">
        <f>IF(AND(H241="L", V241&gt;=50%), "Pass",
IF(AND(H241="U", V241&gt;=60%), "Pass",
IF(AND(H241="O", V241&gt;=75%), "Pass", "Fail")))</f>
        <v/>
      </c>
      <c r="X241" s="132">
        <f>IF(AND(Q241="Pass", W241="Pass"), "Pass", "Fail")</f>
        <v/>
      </c>
      <c r="Y241" s="15">
        <f>IF($X241="Pass",$H241,
IF(H241="L","I",
IF(H241="U","L",
IF(H241="O","U",
"I"))))</f>
        <v/>
      </c>
    </row>
    <row r="242">
      <c r="A242" s="147">
        <f>ROW()-2</f>
        <v/>
      </c>
      <c r="B242" s="127" t="n">
        <v>900530</v>
      </c>
      <c r="C242" s="128" t="inlineStr">
        <is>
          <t>MUTHUPANDI N</t>
        </is>
      </c>
      <c r="D242" s="127" t="inlineStr">
        <is>
          <t>PRODUCTION</t>
        </is>
      </c>
      <c r="E242" s="129" t="inlineStr">
        <is>
          <t>BEAD WINDING</t>
        </is>
      </c>
      <c r="F242" s="130" t="n">
        <v>41365</v>
      </c>
      <c r="G242" s="131">
        <f>NOW()-F242</f>
        <v/>
      </c>
      <c r="H242" s="104" t="inlineStr">
        <is>
          <t>O</t>
        </is>
      </c>
      <c r="I242" s="104" t="inlineStr">
        <is>
          <t>U</t>
        </is>
      </c>
      <c r="J242" s="104" t="n">
        <v>7</v>
      </c>
      <c r="K242" s="104" t="n">
        <v>6</v>
      </c>
      <c r="L242" s="104" t="n">
        <v>7</v>
      </c>
      <c r="M242" s="104" t="n">
        <v>6</v>
      </c>
      <c r="N242" s="104" t="n"/>
      <c r="O242" s="104">
        <f>SUM(J242:N242)</f>
        <v/>
      </c>
      <c r="P242" s="12">
        <f>O242/IF(H242="L",20,IF(H242="U",30,IF(H242="O",40,IF(H242="I",20,""))))</f>
        <v/>
      </c>
      <c r="Q242" s="132">
        <f>IF(AND(H242="L", P242&gt;=50%), "Pass",
IF(AND(H242="U", P242&gt;=60%), "Pass",
IF(AND(H242="O", P242&gt;=75%), "Pass", "Fail")))</f>
        <v/>
      </c>
      <c r="R242" s="104" t="n"/>
      <c r="S242" s="104" t="n">
        <v>15</v>
      </c>
      <c r="T242" s="104" t="n">
        <v>11</v>
      </c>
      <c r="U242" s="104">
        <f>SUM(S242:T242)</f>
        <v/>
      </c>
      <c r="V242" s="12">
        <f>U242/IF(H242="L",35,IF(H242="U",35,IF(H242="O",35,IF(H242="I",35,""))))</f>
        <v/>
      </c>
      <c r="W242" s="132">
        <f>IF(AND(H242="L", V242&gt;=50%), "Pass",
IF(AND(H242="U", V242&gt;=60%), "Pass",
IF(AND(H242="O", V242&gt;=75%), "Pass", "Fail")))</f>
        <v/>
      </c>
      <c r="X242" s="132">
        <f>IF(AND(Q242="Pass", W242="Pass"), "Pass", "Fail")</f>
        <v/>
      </c>
      <c r="Y242" s="15">
        <f>IF($X242="Pass",$H242,
IF(H242="L","I",
IF(H242="U","L",
IF(H242="O","U",
"I"))))</f>
        <v/>
      </c>
      <c r="Z242" s="82">
        <f>V242-75%</f>
        <v/>
      </c>
    </row>
    <row r="243">
      <c r="A243" s="147">
        <f>ROW()-2</f>
        <v/>
      </c>
      <c r="B243" s="127" t="n">
        <v>900531</v>
      </c>
      <c r="C243" s="128" t="inlineStr">
        <is>
          <t>SUDALAIMANI P</t>
        </is>
      </c>
      <c r="D243" s="127" t="inlineStr">
        <is>
          <t>PRODUCTION</t>
        </is>
      </c>
      <c r="E243" s="129" t="inlineStr">
        <is>
          <t>BEAD WINDING</t>
        </is>
      </c>
      <c r="F243" s="130" t="n">
        <v>41365</v>
      </c>
      <c r="G243" s="131">
        <f>NOW()-F243</f>
        <v/>
      </c>
      <c r="H243" s="104" t="inlineStr">
        <is>
          <t>O</t>
        </is>
      </c>
      <c r="I243" s="104" t="inlineStr">
        <is>
          <t>U</t>
        </is>
      </c>
      <c r="J243" s="104" t="n">
        <v>5</v>
      </c>
      <c r="K243" s="104" t="n">
        <v>3</v>
      </c>
      <c r="L243" s="104" t="n">
        <v>4</v>
      </c>
      <c r="M243" s="104" t="n">
        <v>3</v>
      </c>
      <c r="N243" s="104" t="n"/>
      <c r="O243" s="104">
        <f>SUM(J243:N243)</f>
        <v/>
      </c>
      <c r="P243" s="12">
        <f>O243/IF(H243="L",20,IF(H243="U",30,IF(H243="O",40,IF(H243="I",20,""))))</f>
        <v/>
      </c>
      <c r="Q243" s="132">
        <f>IF(AND(H243="L", P243&gt;=50%), "Pass",
IF(AND(H243="U", P243&gt;=60%), "Pass",
IF(AND(H243="O", P243&gt;=75%), "Pass", "Fail")))</f>
        <v/>
      </c>
      <c r="R243" s="104" t="n"/>
      <c r="S243" s="104" t="n">
        <v>15</v>
      </c>
      <c r="T243" s="104" t="n">
        <v>7</v>
      </c>
      <c r="U243" s="104">
        <f>SUM(S243:T243)</f>
        <v/>
      </c>
      <c r="V243" s="12">
        <f>U243/IF(H243="L",35,IF(H243="U",35,IF(H243="O",35,IF(H243="I",35,""))))</f>
        <v/>
      </c>
      <c r="W243" s="132">
        <f>IF(AND(H243="L", V243&gt;=50%), "Pass",
IF(AND(H243="U", V243&gt;=60%), "Pass",
IF(AND(H243="O", V243&gt;=75%), "Pass", "Fail")))</f>
        <v/>
      </c>
      <c r="X243" s="132">
        <f>IF(AND(Q243="Pass", W243="Pass"), "Pass", "Fail")</f>
        <v/>
      </c>
      <c r="Y243" s="15">
        <f>IF($X243="Pass",$H243,
IF(H243="L","I",
IF(H243="U","L",
IF(H243="O","U",
"I"))))</f>
        <v/>
      </c>
    </row>
    <row r="244">
      <c r="A244" s="147">
        <f>ROW()-2</f>
        <v/>
      </c>
      <c r="B244" s="127" t="n">
        <v>900532</v>
      </c>
      <c r="C244" s="128" t="inlineStr">
        <is>
          <t>ESAKKI MUTHU A</t>
        </is>
      </c>
      <c r="D244" s="127" t="inlineStr">
        <is>
          <t>PRODUCTION</t>
        </is>
      </c>
      <c r="E244" s="129" t="inlineStr">
        <is>
          <t>BIAS CUTTING-5</t>
        </is>
      </c>
      <c r="F244" s="130" t="n">
        <v>41365</v>
      </c>
      <c r="G244" s="131">
        <f>NOW()-F244</f>
        <v/>
      </c>
      <c r="H244" s="104" t="inlineStr">
        <is>
          <t>O</t>
        </is>
      </c>
      <c r="I244" s="104" t="inlineStr">
        <is>
          <t>U</t>
        </is>
      </c>
      <c r="J244" s="104" t="n">
        <v>6</v>
      </c>
      <c r="K244" s="104" t="n">
        <v>8</v>
      </c>
      <c r="L244" s="104" t="n">
        <v>3</v>
      </c>
      <c r="M244" s="104" t="n">
        <v>6</v>
      </c>
      <c r="N244" s="104" t="n"/>
      <c r="O244" s="104">
        <f>SUM(J244:N244)</f>
        <v/>
      </c>
      <c r="P244" s="12">
        <f>O244/IF(H244="L",20,IF(H244="U",30,IF(H244="O",40,IF(H244="I",20,""))))</f>
        <v/>
      </c>
      <c r="Q244" s="132">
        <f>IF(AND(H244="L", P244&gt;=50%), "Pass",
IF(AND(H244="U", P244&gt;=60%), "Pass",
IF(AND(H244="O", P244&gt;=75%), "Pass", "Fail")))</f>
        <v/>
      </c>
      <c r="R244" s="104" t="n"/>
      <c r="S244" s="104" t="n">
        <v>15</v>
      </c>
      <c r="T244" s="104" t="n">
        <v>9</v>
      </c>
      <c r="U244" s="104">
        <f>SUM(S244:T244)</f>
        <v/>
      </c>
      <c r="V244" s="12">
        <f>U244/IF(H244="L",35,IF(H244="U",35,IF(H244="O",35,IF(H244="I",35,""))))</f>
        <v/>
      </c>
      <c r="W244" s="132">
        <f>IF(AND(H244="L", V244&gt;=50%), "Pass",
IF(AND(H244="U", V244&gt;=60%), "Pass",
IF(AND(H244="O", V244&gt;=75%), "Pass", "Fail")))</f>
        <v/>
      </c>
      <c r="X244" s="132">
        <f>IF(AND(Q244="Pass", W244="Pass"), "Pass", "Fail")</f>
        <v/>
      </c>
      <c r="Y244" s="15">
        <f>IF($X244="Pass",$H244,
IF(H244="L","I",
IF(H244="U","L",
IF(H244="O","U",
"I"))))</f>
        <v/>
      </c>
    </row>
    <row r="245">
      <c r="A245" s="147">
        <f>ROW()-2</f>
        <v/>
      </c>
      <c r="B245" s="127" t="n">
        <v>900533</v>
      </c>
      <c r="C245" s="128" t="inlineStr">
        <is>
          <t>JOSEPH A</t>
        </is>
      </c>
      <c r="D245" s="127" t="inlineStr">
        <is>
          <t>PRODUCTION</t>
        </is>
      </c>
      <c r="E245" s="129" t="inlineStr">
        <is>
          <t>SLITTING</t>
        </is>
      </c>
      <c r="F245" s="130" t="n">
        <v>41365</v>
      </c>
      <c r="G245" s="131">
        <f>NOW()-F245</f>
        <v/>
      </c>
      <c r="H245" s="104" t="inlineStr">
        <is>
          <t>O</t>
        </is>
      </c>
      <c r="I245" s="104" t="inlineStr">
        <is>
          <t>U</t>
        </is>
      </c>
      <c r="J245" s="104" t="n">
        <v>9</v>
      </c>
      <c r="K245" s="104" t="n">
        <v>8</v>
      </c>
      <c r="L245" s="104" t="n">
        <v>6</v>
      </c>
      <c r="M245" s="104" t="n">
        <v>7</v>
      </c>
      <c r="N245" s="104" t="n"/>
      <c r="O245" s="104">
        <f>SUM(J245:N245)</f>
        <v/>
      </c>
      <c r="P245" s="12">
        <f>O245/IF(H245="L",20,IF(H245="U",30,IF(H245="O",40,IF(H245="I",20,""))))</f>
        <v/>
      </c>
      <c r="Q245" s="132">
        <f>IF(AND(H245="L", P245&gt;=50%), "Pass",
IF(AND(H245="U", P245&gt;=60%), "Pass",
IF(AND(H245="O", P245&gt;=75%), "Pass", "Fail")))</f>
        <v/>
      </c>
      <c r="R245" s="104" t="n"/>
      <c r="S245" s="104" t="n">
        <v>17</v>
      </c>
      <c r="T245" s="104" t="n">
        <v>14</v>
      </c>
      <c r="U245" s="104">
        <f>SUM(S245:T245)</f>
        <v/>
      </c>
      <c r="V245" s="12">
        <f>U245/IF(H245="L",35,IF(H245="U",35,IF(H245="O",35,IF(H245="I",35,""))))</f>
        <v/>
      </c>
      <c r="W245" s="132">
        <f>IF(AND(H245="L", V245&gt;=50%), "Pass",
IF(AND(H245="U", V245&gt;=60%), "Pass",
IF(AND(H245="O", V245&gt;=75%), "Pass", "Fail")))</f>
        <v/>
      </c>
      <c r="X245" s="132">
        <f>IF(AND(Q245="Pass", W245="Pass"), "Pass", "Fail")</f>
        <v/>
      </c>
      <c r="Y245" s="15">
        <f>IF($X245="Pass",$H245,
IF(H245="L","I",
IF(H245="U","L",
IF(H245="O","U",
"I"))))</f>
        <v/>
      </c>
      <c r="Z245" s="82">
        <f>V245-75%</f>
        <v/>
      </c>
    </row>
    <row r="246">
      <c r="A246" s="147">
        <f>ROW()-2</f>
        <v/>
      </c>
      <c r="B246" s="127" t="n">
        <v>900535</v>
      </c>
      <c r="C246" s="128" t="inlineStr">
        <is>
          <t>MUTHU KUMAR E</t>
        </is>
      </c>
      <c r="D246" s="127" t="inlineStr">
        <is>
          <t>PRODUCTION</t>
        </is>
      </c>
      <c r="E246" s="129" t="inlineStr">
        <is>
          <t>BIAS CUTTING-4</t>
        </is>
      </c>
      <c r="F246" s="130" t="n">
        <v>41365</v>
      </c>
      <c r="G246" s="131">
        <f>NOW()-F246</f>
        <v/>
      </c>
      <c r="H246" s="104" t="inlineStr">
        <is>
          <t>O</t>
        </is>
      </c>
      <c r="I246" s="104" t="inlineStr">
        <is>
          <t>O</t>
        </is>
      </c>
      <c r="J246" s="104" t="n">
        <v>8</v>
      </c>
      <c r="K246" s="104" t="n">
        <v>8</v>
      </c>
      <c r="L246" s="104" t="n">
        <v>8</v>
      </c>
      <c r="M246" s="104" t="n">
        <v>9</v>
      </c>
      <c r="N246" s="104" t="n"/>
      <c r="O246" s="104">
        <f>SUM(J246:N246)</f>
        <v/>
      </c>
      <c r="P246" s="12">
        <f>O246/IF(H246="L",20,IF(H246="U",30,IF(H246="O",40,IF(H246="I",20,""))))</f>
        <v/>
      </c>
      <c r="Q246" s="132">
        <f>IF(AND(H246="L", P246&gt;=50%), "Pass",
IF(AND(H246="U", P246&gt;=60%), "Pass",
IF(AND(H246="O", P246&gt;=75%), "Pass", "Fail")))</f>
        <v/>
      </c>
      <c r="R246" s="104" t="n"/>
      <c r="S246" s="104" t="n">
        <v>20</v>
      </c>
      <c r="T246" s="104" t="n">
        <v>15</v>
      </c>
      <c r="U246" s="104">
        <f>SUM(S246:T246)</f>
        <v/>
      </c>
      <c r="V246" s="12">
        <f>U246/IF(H246="L",35,IF(H246="U",35,IF(H246="O",35,IF(H246="I",35,""))))</f>
        <v/>
      </c>
      <c r="W246" s="132">
        <f>IF(AND(H246="L", V246&gt;=50%), "Pass",
IF(AND(H246="U", V246&gt;=60%), "Pass",
IF(AND(H246="O", V246&gt;=75%), "Pass", "Fail")))</f>
        <v/>
      </c>
      <c r="X246" s="132">
        <f>IF(AND(Q246="Pass", W246="Pass"), "Pass", "Fail")</f>
        <v/>
      </c>
      <c r="Y246" s="15">
        <f>IF($X246="Pass",$H246,
IF(H246="L","I",
IF(H246="U","L",
IF(H246="O","U",
"I"))))</f>
        <v/>
      </c>
    </row>
    <row r="247">
      <c r="A247" s="147">
        <f>ROW()-2</f>
        <v/>
      </c>
      <c r="B247" s="127" t="n">
        <v>900536</v>
      </c>
      <c r="C247" s="128" t="inlineStr">
        <is>
          <t>CHINNA DURAI T</t>
        </is>
      </c>
      <c r="D247" s="127" t="inlineStr">
        <is>
          <t>PRODUCTION</t>
        </is>
      </c>
      <c r="E247" s="129" t="inlineStr">
        <is>
          <t>BIAS CUTTING-5</t>
        </is>
      </c>
      <c r="F247" s="130" t="n">
        <v>41365</v>
      </c>
      <c r="G247" s="131">
        <f>NOW()-F247</f>
        <v/>
      </c>
      <c r="H247" s="104" t="inlineStr">
        <is>
          <t>O</t>
        </is>
      </c>
      <c r="I247" s="104" t="inlineStr">
        <is>
          <t>O</t>
        </is>
      </c>
      <c r="J247" s="104" t="n">
        <v>10</v>
      </c>
      <c r="K247" s="104" t="n">
        <v>8</v>
      </c>
      <c r="L247" s="104" t="n">
        <v>8</v>
      </c>
      <c r="M247" s="104" t="n">
        <v>9</v>
      </c>
      <c r="N247" s="104" t="n"/>
      <c r="O247" s="104">
        <f>SUM(J247:N247)</f>
        <v/>
      </c>
      <c r="P247" s="12">
        <f>O247/IF(H247="L",20,IF(H247="U",30,IF(H247="O",40,IF(H247="I",20,""))))</f>
        <v/>
      </c>
      <c r="Q247" s="132">
        <f>IF(AND(H247="L", P247&gt;=50%), "Pass",
IF(AND(H247="U", P247&gt;=60%), "Pass",
IF(AND(H247="O", P247&gt;=75%), "Pass", "Fail")))</f>
        <v/>
      </c>
      <c r="R247" s="104" t="n"/>
      <c r="S247" s="104" t="n">
        <v>18</v>
      </c>
      <c r="T247" s="104" t="n">
        <v>15</v>
      </c>
      <c r="U247" s="104">
        <f>SUM(S247:T247)</f>
        <v/>
      </c>
      <c r="V247" s="12">
        <f>U247/IF(H247="L",35,IF(H247="U",35,IF(H247="O",35,IF(H247="I",35,""))))</f>
        <v/>
      </c>
      <c r="W247" s="132">
        <f>IF(AND(H247="L", V247&gt;=50%), "Pass",
IF(AND(H247="U", V247&gt;=60%), "Pass",
IF(AND(H247="O", V247&gt;=75%), "Pass", "Fail")))</f>
        <v/>
      </c>
      <c r="X247" s="132">
        <f>IF(AND(Q247="Pass", W247="Pass"), "Pass", "Fail")</f>
        <v/>
      </c>
      <c r="Y247" s="15">
        <f>IF($X247="Pass",$H247,
IF(H247="L","I",
IF(H247="U","L",
IF(H247="O","U",
"I"))))</f>
        <v/>
      </c>
    </row>
    <row r="248">
      <c r="A248" s="147">
        <f>ROW()-2</f>
        <v/>
      </c>
      <c r="B248" s="127" t="n">
        <v>900537</v>
      </c>
      <c r="C248" s="128" t="inlineStr">
        <is>
          <t>ESAKKI VEL A</t>
        </is>
      </c>
      <c r="D248" s="127" t="inlineStr">
        <is>
          <t>PRODUCTION</t>
        </is>
      </c>
      <c r="E248" s="129" t="inlineStr">
        <is>
          <t>EXTRUDER</t>
        </is>
      </c>
      <c r="F248" s="130" t="n">
        <v>41365</v>
      </c>
      <c r="G248" s="131">
        <f>NOW()-F248</f>
        <v/>
      </c>
      <c r="H248" s="104" t="inlineStr">
        <is>
          <t>O</t>
        </is>
      </c>
      <c r="I248" s="104" t="inlineStr">
        <is>
          <t>U</t>
        </is>
      </c>
      <c r="J248" s="104" t="n">
        <v>8</v>
      </c>
      <c r="K248" s="104" t="n">
        <v>8</v>
      </c>
      <c r="L248" s="104" t="n">
        <v>9</v>
      </c>
      <c r="M248" s="104" t="n">
        <v>10</v>
      </c>
      <c r="N248" s="104" t="n"/>
      <c r="O248" s="104">
        <f>SUM(J248:N248)</f>
        <v/>
      </c>
      <c r="P248" s="12">
        <f>O248/IF(H248="L",20,IF(H248="U",30,IF(H248="O",40,IF(H248="I",20,""))))</f>
        <v/>
      </c>
      <c r="Q248" s="132">
        <f>IF(AND(H248="L", P248&gt;=50%), "Pass",
IF(AND(H248="U", P248&gt;=60%), "Pass",
IF(AND(H248="O", P248&gt;=75%), "Pass", "Fail")))</f>
        <v/>
      </c>
      <c r="R248" s="104" t="n"/>
      <c r="S248" s="104" t="n">
        <v>15</v>
      </c>
      <c r="T248" s="104" t="n">
        <v>12</v>
      </c>
      <c r="U248" s="104">
        <f>SUM(S248:T248)</f>
        <v/>
      </c>
      <c r="V248" s="12">
        <f>U248/IF(H248="L",35,IF(H248="U",35,IF(H248="O",35,IF(H248="I",35,""))))</f>
        <v/>
      </c>
      <c r="W248" s="132">
        <f>IF(AND(H248="L", V248&gt;=50%), "Pass",
IF(AND(H248="U", V248&gt;=60%), "Pass",
IF(AND(H248="O", V248&gt;=75%), "Pass", "Fail")))</f>
        <v/>
      </c>
      <c r="X248" s="132">
        <f>IF(AND(Q248="Pass", W248="Pass"), "Pass", "Fail")</f>
        <v/>
      </c>
      <c r="Y248" s="15">
        <f>IF($X248="Pass",$H248,
IF(H248="L","I",
IF(H248="U","L",
IF(H248="O","U",
"I"))))</f>
        <v/>
      </c>
    </row>
    <row r="249">
      <c r="A249" s="147">
        <f>ROW()-2</f>
        <v/>
      </c>
      <c r="B249" s="127" t="n">
        <v>900538</v>
      </c>
      <c r="C249" s="128" t="inlineStr">
        <is>
          <t>KOIL PITCHAI P</t>
        </is>
      </c>
      <c r="D249" s="127" t="inlineStr">
        <is>
          <t>PRODUCTION</t>
        </is>
      </c>
      <c r="E249" s="129" t="inlineStr">
        <is>
          <t>3 ROLL-P2</t>
        </is>
      </c>
      <c r="F249" s="130" t="n">
        <v>41365</v>
      </c>
      <c r="G249" s="131">
        <f>NOW()-F249</f>
        <v/>
      </c>
      <c r="H249" s="104" t="inlineStr">
        <is>
          <t>O</t>
        </is>
      </c>
      <c r="I249" s="104" t="inlineStr">
        <is>
          <t>U</t>
        </is>
      </c>
      <c r="J249" s="104" t="n">
        <v>7</v>
      </c>
      <c r="K249" s="104" t="n">
        <v>6</v>
      </c>
      <c r="L249" s="104" t="n">
        <v>5</v>
      </c>
      <c r="M249" s="104" t="n">
        <v>5</v>
      </c>
      <c r="N249" s="104" t="n"/>
      <c r="O249" s="104">
        <f>SUM(J249:N249)</f>
        <v/>
      </c>
      <c r="P249" s="12">
        <f>O249/IF(H249="L",20,IF(H249="U",30,IF(H249="O",40,IF(H249="I",20,""))))</f>
        <v/>
      </c>
      <c r="Q249" s="132">
        <f>IF(AND(H249="L", P249&gt;=50%), "Pass",
IF(AND(H249="U", P249&gt;=60%), "Pass",
IF(AND(H249="O", P249&gt;=75%), "Pass", "Fail")))</f>
        <v/>
      </c>
      <c r="R249" s="104" t="n"/>
      <c r="S249" s="104" t="n">
        <v>14</v>
      </c>
      <c r="T249" s="104" t="n">
        <v>7</v>
      </c>
      <c r="U249" s="104">
        <f>SUM(S249:T249)</f>
        <v/>
      </c>
      <c r="V249" s="12">
        <f>U249/IF(H249="L",35,IF(H249="U",35,IF(H249="O",35,IF(H249="I",35,""))))</f>
        <v/>
      </c>
      <c r="W249" s="132">
        <f>IF(AND(H249="L", V249&gt;=50%), "Pass",
IF(AND(H249="U", V249&gt;=60%), "Pass",
IF(AND(H249="O", V249&gt;=75%), "Pass", "Fail")))</f>
        <v/>
      </c>
      <c r="X249" s="132">
        <f>IF(AND(Q249="Pass", W249="Pass"), "Pass", "Fail")</f>
        <v/>
      </c>
      <c r="Y249" s="15">
        <f>IF($X249="Pass",$H249,
IF(H249="L","I",
IF(H249="U","L",
IF(H249="O","U",
"I"))))</f>
        <v/>
      </c>
      <c r="Z249" s="82" t="n"/>
    </row>
    <row r="250">
      <c r="A250" s="147">
        <f>ROW()-2</f>
        <v/>
      </c>
      <c r="B250" s="127" t="n">
        <v>900539</v>
      </c>
      <c r="C250" s="128" t="inlineStr">
        <is>
          <t>MAHARAJAN M</t>
        </is>
      </c>
      <c r="D250" s="127" t="inlineStr">
        <is>
          <t>PRODUCTION</t>
        </is>
      </c>
      <c r="E250" s="129" t="inlineStr">
        <is>
          <t>EXTRUDER</t>
        </is>
      </c>
      <c r="F250" s="130" t="n">
        <v>41365</v>
      </c>
      <c r="G250" s="131">
        <f>NOW()-F250</f>
        <v/>
      </c>
      <c r="H250" s="104" t="inlineStr">
        <is>
          <t>O</t>
        </is>
      </c>
      <c r="I250" s="104" t="inlineStr">
        <is>
          <t>U</t>
        </is>
      </c>
      <c r="J250" s="104" t="n">
        <v>7</v>
      </c>
      <c r="K250" s="104" t="n">
        <v>8</v>
      </c>
      <c r="L250" s="104" t="n">
        <v>9</v>
      </c>
      <c r="M250" s="104" t="n">
        <v>9</v>
      </c>
      <c r="N250" s="104" t="n"/>
      <c r="O250" s="104">
        <f>SUM(J250:N250)</f>
        <v/>
      </c>
      <c r="P250" s="12">
        <f>O250/IF(H250="L",20,IF(H250="U",30,IF(H250="O",40,IF(H250="I",20,""))))</f>
        <v/>
      </c>
      <c r="Q250" s="132">
        <f>IF(AND(H250="L", P250&gt;=50%), "Pass",
IF(AND(H250="U", P250&gt;=60%), "Pass",
IF(AND(H250="O", P250&gt;=75%), "Pass", "Fail")))</f>
        <v/>
      </c>
      <c r="R250" s="104" t="n"/>
      <c r="S250" s="104" t="n">
        <v>17</v>
      </c>
      <c r="T250" s="104" t="n">
        <v>12</v>
      </c>
      <c r="U250" s="104">
        <f>SUM(S250:T250)</f>
        <v/>
      </c>
      <c r="V250" s="12">
        <f>U250/IF(H250="L",35,IF(H250="U",35,IF(H250="O",35,IF(H250="I",35,""))))</f>
        <v/>
      </c>
      <c r="W250" s="132">
        <f>IF(AND(H250="L", V250&gt;=50%), "Pass",
IF(AND(H250="U", V250&gt;=60%), "Pass",
IF(AND(H250="O", V250&gt;=75%), "Pass", "Fail")))</f>
        <v/>
      </c>
      <c r="X250" s="132">
        <f>IF(AND(Q250="Pass", W250="Pass"), "Pass", "Fail")</f>
        <v/>
      </c>
      <c r="Y250" s="15">
        <f>IF($X250="Pass",$H250,
IF(H250="L","I",
IF(H250="U","L",
IF(H250="O","U",
"I"))))</f>
        <v/>
      </c>
      <c r="Z250" s="82">
        <f>V250-75%</f>
        <v/>
      </c>
    </row>
    <row r="251">
      <c r="A251" s="147">
        <f>ROW()-2</f>
        <v/>
      </c>
      <c r="B251" s="127" t="n">
        <v>900540</v>
      </c>
      <c r="C251" s="128" t="inlineStr">
        <is>
          <t>JAGEDEESWARAN C</t>
        </is>
      </c>
      <c r="D251" s="127" t="inlineStr">
        <is>
          <t>PRODUCTION</t>
        </is>
      </c>
      <c r="E251" s="129" t="inlineStr">
        <is>
          <t>EXTRUDER</t>
        </is>
      </c>
      <c r="F251" s="130" t="n">
        <v>41365</v>
      </c>
      <c r="G251" s="131">
        <f>NOW()-F251</f>
        <v/>
      </c>
      <c r="H251" s="104" t="inlineStr">
        <is>
          <t>O</t>
        </is>
      </c>
      <c r="I251" s="104" t="inlineStr">
        <is>
          <t>O</t>
        </is>
      </c>
      <c r="J251" s="104" t="n">
        <v>9</v>
      </c>
      <c r="K251" s="104" t="n">
        <v>8</v>
      </c>
      <c r="L251" s="104" t="n">
        <v>9</v>
      </c>
      <c r="M251" s="104" t="n">
        <v>9</v>
      </c>
      <c r="N251" s="104" t="n"/>
      <c r="O251" s="104">
        <f>SUM(J251:N251)</f>
        <v/>
      </c>
      <c r="P251" s="12">
        <f>O251/IF(H251="L",20,IF(H251="U",30,IF(H251="O",40,IF(H251="I",20,""))))</f>
        <v/>
      </c>
      <c r="Q251" s="132">
        <f>IF(AND(H251="L", P251&gt;=50%), "Pass",
IF(AND(H251="U", P251&gt;=60%), "Pass",
IF(AND(H251="O", P251&gt;=75%), "Pass", "Fail")))</f>
        <v/>
      </c>
      <c r="R251" s="104" t="n"/>
      <c r="S251" s="104" t="n">
        <v>18</v>
      </c>
      <c r="T251" s="104" t="n">
        <v>13</v>
      </c>
      <c r="U251" s="104">
        <f>SUM(S251:T251)</f>
        <v/>
      </c>
      <c r="V251" s="12">
        <f>U251/IF(H251="L",35,IF(H251="U",35,IF(H251="O",35,IF(H251="I",35,""))))</f>
        <v/>
      </c>
      <c r="W251" s="132">
        <f>IF(AND(H251="L", V251&gt;=50%), "Pass",
IF(AND(H251="U", V251&gt;=60%), "Pass",
IF(AND(H251="O", V251&gt;=75%), "Pass", "Fail")))</f>
        <v/>
      </c>
      <c r="X251" s="132">
        <f>IF(AND(Q251="Pass", W251="Pass"), "Pass", "Fail")</f>
        <v/>
      </c>
      <c r="Y251" s="15">
        <f>IF($X251="Pass",$H251,
IF(H251="L","I",
IF(H251="U","L",
IF(H251="O","U",
"I"))))</f>
        <v/>
      </c>
    </row>
    <row r="252">
      <c r="A252" s="147">
        <f>ROW()-2</f>
        <v/>
      </c>
      <c r="B252" s="127" t="n">
        <v>900558</v>
      </c>
      <c r="C252" s="128" t="inlineStr">
        <is>
          <t>SANKAR E</t>
        </is>
      </c>
      <c r="D252" s="127" t="inlineStr">
        <is>
          <t>PRODUCTION</t>
        </is>
      </c>
      <c r="E252" s="129" t="inlineStr">
        <is>
          <t>YANTHAI</t>
        </is>
      </c>
      <c r="F252" s="130" t="n">
        <v>41365</v>
      </c>
      <c r="G252" s="131">
        <f>NOW()-F252</f>
        <v/>
      </c>
      <c r="H252" s="104" t="inlineStr">
        <is>
          <t>O</t>
        </is>
      </c>
      <c r="I252" s="104" t="inlineStr">
        <is>
          <t>O</t>
        </is>
      </c>
      <c r="J252" s="104" t="n">
        <v>10</v>
      </c>
      <c r="K252" s="104" t="n">
        <v>10</v>
      </c>
      <c r="L252" s="104" t="n">
        <v>10</v>
      </c>
      <c r="M252" s="104" t="n">
        <v>8</v>
      </c>
      <c r="N252" s="104" t="n"/>
      <c r="O252" s="104">
        <f>SUM(J252:N252)</f>
        <v/>
      </c>
      <c r="P252" s="12">
        <f>O252/IF(H252="L",20,IF(H252="U",30,IF(H252="O",40,IF(H252="I",20,""))))</f>
        <v/>
      </c>
      <c r="Q252" s="132">
        <f>IF(AND(H252="L", P252&gt;=50%), "Pass",
IF(AND(H252="U", P252&gt;=60%), "Pass",
IF(AND(H252="O", P252&gt;=75%), "Pass", "Fail")))</f>
        <v/>
      </c>
      <c r="R252" s="104" t="n"/>
      <c r="S252" s="104" t="n">
        <v>18</v>
      </c>
      <c r="T252" s="104" t="n">
        <v>15</v>
      </c>
      <c r="U252" s="104">
        <f>SUM(S252:T252)</f>
        <v/>
      </c>
      <c r="V252" s="12">
        <f>U252/IF(H252="L",35,IF(H252="U",35,IF(H252="O",35,IF(H252="I",35,""))))</f>
        <v/>
      </c>
      <c r="W252" s="132">
        <f>IF(AND(H252="L", V252&gt;=50%), "Pass",
IF(AND(H252="U", V252&gt;=60%), "Pass",
IF(AND(H252="O", V252&gt;=75%), "Pass", "Fail")))</f>
        <v/>
      </c>
      <c r="X252" s="132">
        <f>IF(AND(Q252="Pass", W252="Pass"), "Pass", "Fail")</f>
        <v/>
      </c>
      <c r="Y252" s="15">
        <f>IF($X252="Pass",$H252,
IF(H252="L","I",
IF(H252="U","L",
IF(H252="O","U",
"I"))))</f>
        <v/>
      </c>
    </row>
    <row r="253">
      <c r="A253" s="147">
        <f>ROW()-2</f>
        <v/>
      </c>
      <c r="B253" s="127" t="n">
        <v>900559</v>
      </c>
      <c r="C253" s="128" t="inlineStr">
        <is>
          <t>SELVIN RAJA K</t>
        </is>
      </c>
      <c r="D253" s="127" t="inlineStr">
        <is>
          <t>PRODUCTION</t>
        </is>
      </c>
      <c r="E253" s="129" t="inlineStr">
        <is>
          <t>BIAS MARANGONI&amp;BESTRY</t>
        </is>
      </c>
      <c r="F253" s="130" t="n">
        <v>41365</v>
      </c>
      <c r="G253" s="131">
        <f>NOW()-F253</f>
        <v/>
      </c>
      <c r="H253" s="104" t="inlineStr">
        <is>
          <t>O</t>
        </is>
      </c>
      <c r="I253" s="104" t="inlineStr">
        <is>
          <t>O</t>
        </is>
      </c>
      <c r="J253" s="104" t="n">
        <v>8</v>
      </c>
      <c r="K253" s="104" t="n">
        <v>9</v>
      </c>
      <c r="L253" s="104" t="n">
        <v>8</v>
      </c>
      <c r="M253" s="104" t="n">
        <v>7</v>
      </c>
      <c r="N253" s="104" t="n"/>
      <c r="O253" s="104">
        <f>SUM(J253:N253)</f>
        <v/>
      </c>
      <c r="P253" s="12">
        <f>O253/IF(H253="L",20,IF(H253="U",30,IF(H253="O",40,IF(H253="I",20,""))))</f>
        <v/>
      </c>
      <c r="Q253" s="132">
        <f>IF(AND(H253="L", P253&gt;=50%), "Pass",
IF(AND(H253="U", P253&gt;=60%), "Pass",
IF(AND(H253="O", P253&gt;=75%), "Pass", "Fail")))</f>
        <v/>
      </c>
      <c r="R253" s="104" t="n"/>
      <c r="S253" s="104" t="n">
        <v>16</v>
      </c>
      <c r="T253" s="104" t="n">
        <v>12</v>
      </c>
      <c r="U253" s="104">
        <f>SUM(S253:T253)</f>
        <v/>
      </c>
      <c r="V253" s="12">
        <f>U253/IF(H253="L",35,IF(H253="U",35,IF(H253="O",35,IF(H253="I",35,""))))</f>
        <v/>
      </c>
      <c r="W253" s="132">
        <f>IF(AND(H253="L", V253&gt;=50%), "Pass",
IF(AND(H253="U", V253&gt;=60%), "Pass",
IF(AND(H253="O", V253&gt;=75%), "Pass", "Fail")))</f>
        <v/>
      </c>
      <c r="X253" s="132">
        <f>IF(AND(Q253="Pass", W253="Pass"), "Pass", "Fail")</f>
        <v/>
      </c>
      <c r="Y253" s="15">
        <f>IF($X253="Pass",$H253,
IF(H253="L","I",
IF(H253="U","L",
IF(H253="O","U",
"I"))))</f>
        <v/>
      </c>
    </row>
    <row r="254">
      <c r="A254" s="147">
        <f>ROW()-2</f>
        <v/>
      </c>
      <c r="B254" s="127" t="n">
        <v>900560</v>
      </c>
      <c r="C254" s="128" t="inlineStr">
        <is>
          <t>SELVAM T</t>
        </is>
      </c>
      <c r="D254" s="127" t="inlineStr">
        <is>
          <t>PRODUCTION</t>
        </is>
      </c>
      <c r="E254" s="129" t="inlineStr">
        <is>
          <t>BIAS MARANGONI&amp;BESTRY</t>
        </is>
      </c>
      <c r="F254" s="130" t="n">
        <v>41365</v>
      </c>
      <c r="G254" s="131">
        <f>NOW()-F254</f>
        <v/>
      </c>
      <c r="H254" s="104" t="inlineStr">
        <is>
          <t>O</t>
        </is>
      </c>
      <c r="I254" s="104" t="inlineStr">
        <is>
          <t>U</t>
        </is>
      </c>
      <c r="J254" s="104" t="n">
        <v>9</v>
      </c>
      <c r="K254" s="104" t="n">
        <v>9</v>
      </c>
      <c r="L254" s="104" t="n">
        <v>10</v>
      </c>
      <c r="M254" s="104" t="n">
        <v>9</v>
      </c>
      <c r="N254" s="104" t="n"/>
      <c r="O254" s="104">
        <f>SUM(J254:N254)</f>
        <v/>
      </c>
      <c r="P254" s="12">
        <f>O254/IF(H254="L",20,IF(H254="U",30,IF(H254="O",40,IF(H254="I",20,""))))</f>
        <v/>
      </c>
      <c r="Q254" s="132">
        <f>IF(AND(H254="L", P254&gt;=50%), "Pass",
IF(AND(H254="U", P254&gt;=60%), "Pass",
IF(AND(H254="O", P254&gt;=75%), "Pass", "Fail")))</f>
        <v/>
      </c>
      <c r="R254" s="104" t="n"/>
      <c r="S254" s="104" t="n">
        <v>16</v>
      </c>
      <c r="T254" s="104" t="n">
        <v>12</v>
      </c>
      <c r="U254" s="104">
        <f>SUM(S254:T254)</f>
        <v/>
      </c>
      <c r="V254" s="12">
        <f>U254/IF(H254="L",35,IF(H254="U",35,IF(H254="O",35,IF(H254="I",35,""))))</f>
        <v/>
      </c>
      <c r="W254" s="132">
        <f>IF(AND(H254="L", V254&gt;=50%), "Pass",
IF(AND(H254="U", V254&gt;=60%), "Pass",
IF(AND(H254="O", V254&gt;=75%), "Pass", "Fail")))</f>
        <v/>
      </c>
      <c r="X254" s="132">
        <f>IF(AND(Q254="Pass", W254="Pass"), "Pass", "Fail")</f>
        <v/>
      </c>
      <c r="Y254" s="15">
        <f>IF($X254="Pass",$H254,
IF(H254="L","I",
IF(H254="U","L",
IF(H254="O","U",
"I"))))</f>
        <v/>
      </c>
    </row>
    <row r="255">
      <c r="A255" s="147">
        <f>ROW()-2</f>
        <v/>
      </c>
      <c r="B255" s="133" t="n">
        <v>900561</v>
      </c>
      <c r="C255" s="148" t="inlineStr">
        <is>
          <t>ARUL POUNRAJ M</t>
        </is>
      </c>
      <c r="D255" s="127" t="inlineStr">
        <is>
          <t>PRODUCTION</t>
        </is>
      </c>
      <c r="E255" s="135" t="inlineStr">
        <is>
          <t>MIXING</t>
        </is>
      </c>
      <c r="F255" s="136" t="n">
        <v>41365</v>
      </c>
      <c r="G255" s="131">
        <f>NOW()-F255</f>
        <v/>
      </c>
      <c r="H255" s="104" t="inlineStr">
        <is>
          <t>O</t>
        </is>
      </c>
      <c r="I255" s="104" t="inlineStr">
        <is>
          <t>U</t>
        </is>
      </c>
      <c r="J255" s="104" t="inlineStr">
        <is>
          <t>NIL</t>
        </is>
      </c>
      <c r="K255" s="104" t="n"/>
      <c r="L255" s="104" t="n"/>
      <c r="M255" s="104" t="n"/>
      <c r="N255" s="104" t="n"/>
      <c r="O255" s="104" t="n"/>
      <c r="P255" s="12">
        <f>O255/IF(H255="L",20,IF(H255="U",30,IF(H255="O",40,IF(H255="I",20,""))))</f>
        <v/>
      </c>
      <c r="Q255" s="132">
        <f>IF(AND(H255="L", P255&gt;=50%), "Pass",
IF(AND(H255="U", P255&gt;=60%), "Pass",
IF(AND(H255="O", P255&gt;=75%), "Pass", "Fail")))</f>
        <v/>
      </c>
      <c r="R255" s="104" t="n"/>
      <c r="S255" s="104" t="n">
        <v>14</v>
      </c>
      <c r="T255" s="104" t="n">
        <v>12</v>
      </c>
      <c r="U255" s="104">
        <f>SUM(S255:T255)</f>
        <v/>
      </c>
      <c r="V255" s="12">
        <f>U255/IF(H255="L",35,IF(H255="U",35,IF(H255="O",35,IF(H255="I",35,""))))</f>
        <v/>
      </c>
      <c r="W255" s="132">
        <f>IF(AND(H255="L", V255&gt;=50%), "Pass",
IF(AND(H255="U", V255&gt;=60%), "Pass",
IF(AND(H255="O", V255&gt;=75%), "Pass", "Fail")))</f>
        <v/>
      </c>
      <c r="X255" s="132">
        <f>IF(AND(Q255="Pass", W255="Pass"), "Pass", "Fail")</f>
        <v/>
      </c>
      <c r="Y255" s="15">
        <f>IF($X255="Pass",$H255,
IF(H255="L","I",
IF(H255="U","L",
IF(H255="O","U",
"I"))))</f>
        <v/>
      </c>
    </row>
    <row r="256">
      <c r="A256" s="147">
        <f>ROW()-2</f>
        <v/>
      </c>
      <c r="B256" s="133" t="n">
        <v>900562</v>
      </c>
      <c r="C256" s="148" t="inlineStr">
        <is>
          <t xml:space="preserve">ANANTHARAJ G </t>
        </is>
      </c>
      <c r="D256" s="127" t="inlineStr">
        <is>
          <t>PRODUCTION</t>
        </is>
      </c>
      <c r="E256" s="135" t="inlineStr">
        <is>
          <t>MIXING</t>
        </is>
      </c>
      <c r="F256" s="136" t="n">
        <v>41365</v>
      </c>
      <c r="G256" s="131">
        <f>NOW()-F256</f>
        <v/>
      </c>
      <c r="H256" s="104" t="inlineStr">
        <is>
          <t>O</t>
        </is>
      </c>
      <c r="I256" s="104" t="inlineStr">
        <is>
          <t>U</t>
        </is>
      </c>
      <c r="J256" s="104" t="inlineStr">
        <is>
          <t>NIL</t>
        </is>
      </c>
      <c r="K256" s="104" t="n"/>
      <c r="L256" s="104" t="n"/>
      <c r="M256" s="104" t="n"/>
      <c r="N256" s="104" t="n"/>
      <c r="O256" s="104" t="n"/>
      <c r="P256" s="12">
        <f>O256/IF(H256="L",20,IF(H256="U",30,IF(H256="O",40,IF(H256="I",20,""))))</f>
        <v/>
      </c>
      <c r="Q256" s="132">
        <f>IF(AND(H256="L", P256&gt;=50%), "Pass",
IF(AND(H256="U", P256&gt;=60%), "Pass",
IF(AND(H256="O", P256&gt;=75%), "Pass", "Fail")))</f>
        <v/>
      </c>
      <c r="R256" s="104" t="n"/>
      <c r="S256" s="104" t="n">
        <v>14</v>
      </c>
      <c r="T256" s="104" t="n">
        <v>12</v>
      </c>
      <c r="U256" s="104">
        <f>SUM(S256:T256)</f>
        <v/>
      </c>
      <c r="V256" s="12">
        <f>U256/IF(H256="L",35,IF(H256="U",35,IF(H256="O",35,IF(H256="I",35,""))))</f>
        <v/>
      </c>
      <c r="W256" s="132">
        <f>IF(AND(H256="L", V256&gt;=50%), "Pass",
IF(AND(H256="U", V256&gt;=60%), "Pass",
IF(AND(H256="O", V256&gt;=75%), "Pass", "Fail")))</f>
        <v/>
      </c>
      <c r="X256" s="132">
        <f>IF(AND(Q256="Pass", W256="Pass"), "Pass", "Fail")</f>
        <v/>
      </c>
      <c r="Y256" s="15">
        <f>IF($X256="Pass",$H256,
IF(H256="L","I",
IF(H256="U","L",
IF(H256="O","U",
"I"))))</f>
        <v/>
      </c>
    </row>
    <row r="257">
      <c r="A257" s="147">
        <f>ROW()-2</f>
        <v/>
      </c>
      <c r="B257" s="133" t="n">
        <v>900564</v>
      </c>
      <c r="C257" s="148" t="inlineStr">
        <is>
          <t xml:space="preserve">IYYAPPAN C </t>
        </is>
      </c>
      <c r="D257" s="127" t="inlineStr">
        <is>
          <t>PRODUCTION</t>
        </is>
      </c>
      <c r="E257" s="135" t="inlineStr">
        <is>
          <t>MIXING</t>
        </is>
      </c>
      <c r="F257" s="136" t="n">
        <v>41365</v>
      </c>
      <c r="G257" s="131">
        <f>NOW()-F257</f>
        <v/>
      </c>
      <c r="H257" s="104" t="inlineStr">
        <is>
          <t>O</t>
        </is>
      </c>
      <c r="I257" s="104" t="inlineStr">
        <is>
          <t>U</t>
        </is>
      </c>
      <c r="J257" s="104" t="inlineStr">
        <is>
          <t>NIL</t>
        </is>
      </c>
      <c r="K257" s="104" t="n"/>
      <c r="L257" s="104" t="n"/>
      <c r="M257" s="104" t="n"/>
      <c r="N257" s="104" t="n"/>
      <c r="O257" s="104" t="n"/>
      <c r="P257" s="12">
        <f>O257/IF(H257="L",20,IF(H257="U",30,IF(H257="O",40,IF(H257="I",20,""))))</f>
        <v/>
      </c>
      <c r="Q257" s="132">
        <f>IF(AND(H257="L", P257&gt;=50%), "Pass",
IF(AND(H257="U", P257&gt;=60%), "Pass",
IF(AND(H257="O", P257&gt;=75%), "Pass", "Fail")))</f>
        <v/>
      </c>
      <c r="R257" s="104" t="n"/>
      <c r="S257" s="104" t="n">
        <v>15</v>
      </c>
      <c r="T257" s="104" t="n">
        <v>12</v>
      </c>
      <c r="U257" s="104">
        <f>SUM(S257:T257)</f>
        <v/>
      </c>
      <c r="V257" s="12">
        <f>U257/IF(H257="L",35,IF(H257="U",35,IF(H257="O",35,IF(H257="I",35,""))))</f>
        <v/>
      </c>
      <c r="W257" s="132">
        <f>IF(AND(H257="L", V257&gt;=50%), "Pass",
IF(AND(H257="U", V257&gt;=60%), "Pass",
IF(AND(H257="O", V257&gt;=75%), "Pass", "Fail")))</f>
        <v/>
      </c>
      <c r="X257" s="132">
        <f>IF(AND(Q257="Pass", W257="Pass"), "Pass", "Fail")</f>
        <v/>
      </c>
      <c r="Y257" s="15">
        <f>IF($X257="Pass",$H257,
IF(H257="L","I",
IF(H257="U","L",
IF(H257="O","U",
"I"))))</f>
        <v/>
      </c>
    </row>
    <row r="258">
      <c r="A258" s="147">
        <f>ROW()-2</f>
        <v/>
      </c>
      <c r="B258" s="133" t="n">
        <v>900565</v>
      </c>
      <c r="C258" s="148" t="inlineStr">
        <is>
          <t>SURESH C</t>
        </is>
      </c>
      <c r="D258" s="127" t="inlineStr">
        <is>
          <t>PRODUCTION</t>
        </is>
      </c>
      <c r="E258" s="135" t="inlineStr">
        <is>
          <t>MIXING</t>
        </is>
      </c>
      <c r="F258" s="136" t="n">
        <v>41365</v>
      </c>
      <c r="G258" s="131">
        <f>NOW()-F258</f>
        <v/>
      </c>
      <c r="H258" s="104" t="inlineStr">
        <is>
          <t>O</t>
        </is>
      </c>
      <c r="I258" s="104" t="inlineStr">
        <is>
          <t>U</t>
        </is>
      </c>
      <c r="J258" s="104" t="inlineStr">
        <is>
          <t>NIL</t>
        </is>
      </c>
      <c r="K258" s="104" t="n"/>
      <c r="L258" s="104" t="n"/>
      <c r="M258" s="104" t="n"/>
      <c r="N258" s="104" t="n"/>
      <c r="O258" s="104" t="n"/>
      <c r="P258" s="12">
        <f>O258/IF(H258="L",20,IF(H258="U",30,IF(H258="O",40,IF(H258="I",20,""))))</f>
        <v/>
      </c>
      <c r="Q258" s="132">
        <f>IF(AND(H258="L", P258&gt;=50%), "Pass",
IF(AND(H258="U", P258&gt;=60%), "Pass",
IF(AND(H258="O", P258&gt;=75%), "Pass", "Fail")))</f>
        <v/>
      </c>
      <c r="R258" s="104" t="n"/>
      <c r="S258" s="104" t="n">
        <v>16</v>
      </c>
      <c r="T258" s="104" t="n">
        <v>12</v>
      </c>
      <c r="U258" s="104">
        <f>SUM(S258:T258)</f>
        <v/>
      </c>
      <c r="V258" s="12">
        <f>U258/IF(H258="L",35,IF(H258="U",35,IF(H258="O",35,IF(H258="I",35,""))))</f>
        <v/>
      </c>
      <c r="W258" s="132">
        <f>IF(AND(H258="L", V258&gt;=50%), "Pass",
IF(AND(H258="U", V258&gt;=60%), "Pass",
IF(AND(H258="O", V258&gt;=75%), "Pass", "Fail")))</f>
        <v/>
      </c>
      <c r="X258" s="132">
        <f>IF(AND(Q258="Pass", W258="Pass"), "Pass", "Fail")</f>
        <v/>
      </c>
      <c r="Y258" s="15">
        <f>IF($X258="Pass",$H258,
IF(H258="L","I",
IF(H258="U","L",
IF(H258="O","U",
"I"))))</f>
        <v/>
      </c>
    </row>
    <row r="259">
      <c r="A259" s="147">
        <f>ROW()-2</f>
        <v/>
      </c>
      <c r="B259" s="133" t="n">
        <v>900566</v>
      </c>
      <c r="C259" s="148" t="inlineStr">
        <is>
          <t xml:space="preserve">SATYENDRA RAY </t>
        </is>
      </c>
      <c r="D259" s="127" t="inlineStr">
        <is>
          <t>PRODUCTION</t>
        </is>
      </c>
      <c r="E259" s="135" t="inlineStr">
        <is>
          <t>MIXING</t>
        </is>
      </c>
      <c r="F259" s="136" t="n">
        <v>41365</v>
      </c>
      <c r="G259" s="131">
        <f>NOW()-F259</f>
        <v/>
      </c>
      <c r="H259" s="104" t="inlineStr">
        <is>
          <t>O</t>
        </is>
      </c>
      <c r="I259" s="104" t="inlineStr">
        <is>
          <t>U</t>
        </is>
      </c>
      <c r="J259" s="104" t="inlineStr">
        <is>
          <t>NIL</t>
        </is>
      </c>
      <c r="K259" s="104" t="n"/>
      <c r="L259" s="104" t="n"/>
      <c r="M259" s="104" t="n"/>
      <c r="N259" s="104" t="n"/>
      <c r="O259" s="104" t="n"/>
      <c r="P259" s="12">
        <f>O259/IF(H259="L",20,IF(H259="U",30,IF(H259="O",40,IF(H259="I",20,""))))</f>
        <v/>
      </c>
      <c r="Q259" s="132">
        <f>IF(AND(H259="L", P259&gt;=50%), "Pass",
 IF(AND(H259="U", P259&gt;=60%), "Pass",
 IF(AND(H259="O", P259&gt;=75%), "Pass", "Fail")))</f>
        <v/>
      </c>
      <c r="R259" s="104" t="n"/>
      <c r="S259" s="104" t="n">
        <v>15</v>
      </c>
      <c r="T259" s="104" t="n">
        <v>11</v>
      </c>
      <c r="U259" s="104">
        <f>SUM(S259:T259)</f>
        <v/>
      </c>
      <c r="V259" s="12">
        <f>U259/IF(H259="L",35,IF(H259="U",35,IF(H259="O",35,IF(H259="I",35,""))))</f>
        <v/>
      </c>
      <c r="W259" s="132">
        <f>IF(AND(H259="L", V259&gt;=50%), "Pass",
 IF(AND(H259="U", V259&gt;=60%), "Pass",
 IF(AND(H259="O", V259&gt;=75%), "Pass", "Fail")))</f>
        <v/>
      </c>
      <c r="X259" s="132">
        <f>IF(AND(Q259="Pass", W259="Pass"), "Pass", "Fail")</f>
        <v/>
      </c>
      <c r="Y259" s="15">
        <f>IF($X259="Pass",$H259,
IF(H259="L","I",
IF(H259="U","L",
IF(H259="O","U",
"I"))))</f>
        <v/>
      </c>
    </row>
    <row r="260">
      <c r="A260" s="147">
        <f>ROW()-2</f>
        <v/>
      </c>
      <c r="B260" s="133" t="n">
        <v>900567</v>
      </c>
      <c r="C260" s="148" t="inlineStr">
        <is>
          <t>DAYARAM YADAV R</t>
        </is>
      </c>
      <c r="D260" s="127" t="inlineStr">
        <is>
          <t>PRODUCTION</t>
        </is>
      </c>
      <c r="E260" s="135" t="inlineStr">
        <is>
          <t>MIXING</t>
        </is>
      </c>
      <c r="F260" s="136" t="n">
        <v>41365</v>
      </c>
      <c r="G260" s="131">
        <f>NOW()-F260</f>
        <v/>
      </c>
      <c r="H260" s="104" t="inlineStr">
        <is>
          <t>O</t>
        </is>
      </c>
      <c r="I260" s="104" t="inlineStr">
        <is>
          <t>U</t>
        </is>
      </c>
      <c r="J260" s="104" t="inlineStr">
        <is>
          <t>NIL</t>
        </is>
      </c>
      <c r="K260" s="104" t="n"/>
      <c r="L260" s="104" t="n"/>
      <c r="M260" s="104" t="n"/>
      <c r="N260" s="104" t="n"/>
      <c r="O260" s="104" t="n"/>
      <c r="P260" s="12">
        <f>O260/IF(H260="L",20,IF(H260="U",30,IF(H260="O",40,IF(H260="I",20,""))))</f>
        <v/>
      </c>
      <c r="Q260" s="132">
        <f>IF(AND(H260="L", P260&gt;=50%), "Pass",
IF(AND(H260="U", P260&gt;=60%), "Pass",
IF(AND(H260="O", P260&gt;=75%), "Pass", "Fail")))</f>
        <v/>
      </c>
      <c r="R260" s="104" t="n"/>
      <c r="S260" s="104" t="n">
        <v>14</v>
      </c>
      <c r="T260" s="104" t="n">
        <v>11</v>
      </c>
      <c r="U260" s="104">
        <f>SUM(S260:T260)</f>
        <v/>
      </c>
      <c r="V260" s="12">
        <f>U260/IF(H260="L",35,IF(H260="U",35,IF(H260="O",35,IF(H260="I",35,""))))</f>
        <v/>
      </c>
      <c r="W260" s="132">
        <f>IF(AND(H260="L", V260&gt;=50%), "Pass",
IF(AND(H260="U", V260&gt;=60%), "Pass",
IF(AND(H260="O", V260&gt;=75%), "Pass", "Fail")))</f>
        <v/>
      </c>
      <c r="X260" s="132">
        <f>IF(AND(Q260="Pass", W260="Pass"), "Pass", "Fail")</f>
        <v/>
      </c>
      <c r="Y260" s="15">
        <f>IF($X260="Pass",$H260,
IF(H260="L","I",
IF(H260="U","L",
IF(H260="O","U",
"I"))))</f>
        <v/>
      </c>
    </row>
    <row r="261">
      <c r="A261" s="147">
        <f>ROW()-2</f>
        <v/>
      </c>
      <c r="B261" s="127" t="n">
        <v>900568</v>
      </c>
      <c r="C261" s="128" t="inlineStr">
        <is>
          <t>MUTHUKUMAR S</t>
        </is>
      </c>
      <c r="D261" s="127" t="inlineStr">
        <is>
          <t>PRODUCTION</t>
        </is>
      </c>
      <c r="E261" s="129" t="inlineStr">
        <is>
          <t>BAND BUILDING-P3</t>
        </is>
      </c>
      <c r="F261" s="130" t="n">
        <v>41365</v>
      </c>
      <c r="G261" s="131">
        <f>NOW()-F261</f>
        <v/>
      </c>
      <c r="H261" s="104" t="inlineStr">
        <is>
          <t>O</t>
        </is>
      </c>
      <c r="I261" s="104" t="inlineStr">
        <is>
          <t>U</t>
        </is>
      </c>
      <c r="J261" s="104" t="n">
        <v>7</v>
      </c>
      <c r="K261" s="104" t="n">
        <v>8</v>
      </c>
      <c r="L261" s="104" t="n">
        <v>6</v>
      </c>
      <c r="M261" s="104" t="n">
        <v>6</v>
      </c>
      <c r="N261" s="104" t="n"/>
      <c r="O261" s="104">
        <f>SUM(J261:N261)</f>
        <v/>
      </c>
      <c r="P261" s="12">
        <f>O261/IF(H261="L",20,IF(H261="U",30,IF(H261="O",40,IF(H261="I",20,""))))</f>
        <v/>
      </c>
      <c r="Q261" s="132">
        <f>IF(AND(H261="L", P261&gt;=50%), "Pass",
IF(AND(H261="U", P261&gt;=60%), "Pass",
IF(AND(H261="O", P261&gt;=75%), "Pass", "Fail")))</f>
        <v/>
      </c>
      <c r="R261" s="104" t="n"/>
      <c r="S261" s="104" t="n">
        <v>14</v>
      </c>
      <c r="T261" s="104" t="n">
        <v>11</v>
      </c>
      <c r="U261" s="104">
        <f>SUM(S261:T261)</f>
        <v/>
      </c>
      <c r="V261" s="12">
        <f>U261/IF(H261="L",35,IF(H261="U",35,IF(H261="O",35,IF(H261="I",35,""))))</f>
        <v/>
      </c>
      <c r="W261" s="132">
        <f>IF(AND(H261="L", V261&gt;=50%), "Pass",
IF(AND(H261="U", V261&gt;=60%), "Pass",
IF(AND(H261="O", V261&gt;=75%), "Pass", "Fail")))</f>
        <v/>
      </c>
      <c r="X261" s="132">
        <f>IF(AND(Q261="Pass", W261="Pass"), "Pass", "Fail")</f>
        <v/>
      </c>
      <c r="Y261" s="15">
        <f>IF($X261="Pass",$H261,
IF(H261="L","I",
IF(H261="U","L",
IF(H261="O","U",
"I"))))</f>
        <v/>
      </c>
    </row>
    <row r="262">
      <c r="A262" s="147">
        <f>ROW()-2</f>
        <v/>
      </c>
      <c r="B262" s="127" t="n">
        <v>900569</v>
      </c>
      <c r="C262" s="128" t="inlineStr">
        <is>
          <t>VELU A</t>
        </is>
      </c>
      <c r="D262" s="127" t="inlineStr">
        <is>
          <t>PRODUCTION</t>
        </is>
      </c>
      <c r="E262" s="129" t="inlineStr">
        <is>
          <t>BAND BUILDING-P3</t>
        </is>
      </c>
      <c r="F262" s="130" t="n">
        <v>41365</v>
      </c>
      <c r="G262" s="131">
        <f>NOW()-F262</f>
        <v/>
      </c>
      <c r="H262" s="104" t="inlineStr">
        <is>
          <t>O</t>
        </is>
      </c>
      <c r="I262" s="104" t="inlineStr">
        <is>
          <t>U</t>
        </is>
      </c>
      <c r="J262" s="104" t="n">
        <v>7</v>
      </c>
      <c r="K262" s="104" t="n">
        <v>8</v>
      </c>
      <c r="L262" s="104" t="n">
        <v>7</v>
      </c>
      <c r="M262" s="104" t="n">
        <v>8</v>
      </c>
      <c r="N262" s="104" t="n"/>
      <c r="O262" s="104">
        <f>SUM(J262:N262)</f>
        <v/>
      </c>
      <c r="P262" s="12">
        <f>O262/IF(H262="L",20,IF(H262="U",30,IF(H262="O",40,IF(H262="I",20,""))))</f>
        <v/>
      </c>
      <c r="Q262" s="132">
        <f>IF(AND(H262="L", P262&gt;=50%), "Pass",
IF(AND(H262="U", P262&gt;=60%), "Pass",
IF(AND(H262="O", P262&gt;=75%), "Pass", "Fail")))</f>
        <v/>
      </c>
      <c r="R262" s="104" t="n"/>
      <c r="S262" s="104" t="n">
        <v>13</v>
      </c>
      <c r="T262" s="104" t="n">
        <v>11</v>
      </c>
      <c r="U262" s="104">
        <f>SUM(S262:T262)</f>
        <v/>
      </c>
      <c r="V262" s="12">
        <f>U262/IF(H262="L",35,IF(H262="U",35,IF(H262="O",35,IF(H262="I",35,""))))</f>
        <v/>
      </c>
      <c r="W262" s="132">
        <f>IF(AND(H262="L", V262&gt;=50%), "Pass",
IF(AND(H262="U", V262&gt;=60%), "Pass",
IF(AND(H262="O", V262&gt;=75%), "Pass", "Fail")))</f>
        <v/>
      </c>
      <c r="X262" s="132">
        <f>IF(AND(Q262="Pass", W262="Pass"), "Pass", "Fail")</f>
        <v/>
      </c>
      <c r="Y262" s="15">
        <f>IF($X262="Pass",$H262,
IF(H262="L","I",
IF(H262="U","L",
IF(H262="O","U",
"I"))))</f>
        <v/>
      </c>
    </row>
    <row r="263">
      <c r="A263" s="147">
        <f>ROW()-2</f>
        <v/>
      </c>
      <c r="B263" s="127" t="n">
        <v>900570</v>
      </c>
      <c r="C263" s="128" t="inlineStr">
        <is>
          <t>DEEPAK MORIYA</t>
        </is>
      </c>
      <c r="D263" s="127" t="inlineStr">
        <is>
          <t>PRODUCTION</t>
        </is>
      </c>
      <c r="E263" s="129" t="inlineStr">
        <is>
          <t>TYRE BUILDING-P3</t>
        </is>
      </c>
      <c r="F263" s="130" t="n">
        <v>41365</v>
      </c>
      <c r="G263" s="131">
        <f>NOW()-F263</f>
        <v/>
      </c>
      <c r="H263" s="104" t="inlineStr">
        <is>
          <t>O</t>
        </is>
      </c>
      <c r="I263" s="104" t="inlineStr">
        <is>
          <t>U</t>
        </is>
      </c>
      <c r="J263" s="104" t="n">
        <v>8</v>
      </c>
      <c r="K263" s="104" t="n">
        <v>8</v>
      </c>
      <c r="L263" s="104" t="n">
        <v>5</v>
      </c>
      <c r="M263" s="104" t="n">
        <v>5</v>
      </c>
      <c r="N263" s="104" t="n"/>
      <c r="O263" s="104">
        <f>SUM(J263:N263)</f>
        <v/>
      </c>
      <c r="P263" s="12">
        <f>O263/IF(H263="L",20,IF(H263="U",30,IF(H263="O",40,IF(H263="I",20,""))))</f>
        <v/>
      </c>
      <c r="Q263" s="132">
        <f>IF(AND(H263="L", P263&gt;=50%), "Pass",
IF(AND(H263="U", P263&gt;=60%), "Pass",
IF(AND(H263="O", P263&gt;=75%), "Pass", "Fail")))</f>
        <v/>
      </c>
      <c r="R263" s="104" t="n"/>
      <c r="S263" s="104" t="n">
        <v>16</v>
      </c>
      <c r="T263" s="104" t="n">
        <v>14</v>
      </c>
      <c r="U263" s="104">
        <f>SUM(S263:T263)</f>
        <v/>
      </c>
      <c r="V263" s="12">
        <f>U263/IF(H263="L",35,IF(H263="U",35,IF(H263="O",35,IF(H263="I",35,""))))</f>
        <v/>
      </c>
      <c r="W263" s="132">
        <f>IF(AND(H263="L", V263&gt;=50%), "Pass",
IF(AND(H263="U", V263&gt;=60%), "Pass",
IF(AND(H263="O", V263&gt;=75%), "Pass", "Fail")))</f>
        <v/>
      </c>
      <c r="X263" s="132">
        <f>IF(AND(Q263="Pass", W263="Pass"), "Pass", "Fail")</f>
        <v/>
      </c>
      <c r="Y263" s="15">
        <f>IF($X263="Pass",$H263,
IF(H263="L","I",
IF(H263="U","L",
IF(H263="O","U",
"I"))))</f>
        <v/>
      </c>
    </row>
    <row r="264">
      <c r="A264" s="147">
        <f>ROW()-2</f>
        <v/>
      </c>
      <c r="B264" s="127" t="n">
        <v>900571</v>
      </c>
      <c r="C264" s="128" t="inlineStr">
        <is>
          <t>MAGESH S</t>
        </is>
      </c>
      <c r="D264" s="127" t="inlineStr">
        <is>
          <t>PRODUCTION</t>
        </is>
      </c>
      <c r="E264" s="129" t="inlineStr">
        <is>
          <t>TYRE BUILDING-P2</t>
        </is>
      </c>
      <c r="F264" s="130" t="n">
        <v>41365</v>
      </c>
      <c r="G264" s="131">
        <f>NOW()-F264</f>
        <v/>
      </c>
      <c r="H264" s="104" t="inlineStr">
        <is>
          <t>O</t>
        </is>
      </c>
      <c r="I264" s="104" t="inlineStr">
        <is>
          <t>O</t>
        </is>
      </c>
      <c r="J264" s="104" t="n">
        <v>9</v>
      </c>
      <c r="K264" s="104" t="n">
        <v>10</v>
      </c>
      <c r="L264" s="104" t="n">
        <v>9</v>
      </c>
      <c r="M264" s="104" t="n">
        <v>10</v>
      </c>
      <c r="N264" s="104" t="n"/>
      <c r="O264" s="104">
        <f>SUM(J264:N264)</f>
        <v/>
      </c>
      <c r="P264" s="12">
        <f>O264/IF(H264="L",20,IF(H264="U",30,IF(H264="O",40,IF(H264="I",20,""))))</f>
        <v/>
      </c>
      <c r="Q264" s="132">
        <f>IF(AND(H264="L", P264&gt;=50%), "Pass",
IF(AND(H264="U", P264&gt;=60%), "Pass",
IF(AND(H264="O", P264&gt;=75%), "Pass", "Fail")))</f>
        <v/>
      </c>
      <c r="R264" s="104" t="n"/>
      <c r="S264" s="104" t="n">
        <v>13</v>
      </c>
      <c r="T264" s="104" t="n">
        <v>10</v>
      </c>
      <c r="U264" s="104">
        <f>SUM(S264:T264)</f>
        <v/>
      </c>
      <c r="V264" s="12">
        <f>U264/IF(H264="L",35,IF(H264="U",35,IF(H264="O",35,IF(H264="I",35,""))))</f>
        <v/>
      </c>
      <c r="W264" s="132">
        <f>IF(AND(H264="L", V264&gt;=50%), "Pass",
IF(AND(H264="U", V264&gt;=60%), "Pass",
IF(AND(H264="O", V264&gt;=75%), "Pass", "Fail")))</f>
        <v/>
      </c>
      <c r="X264" s="132">
        <f>IF(AND(Q264="Pass", W264="Pass"), "Pass", "Fail")</f>
        <v/>
      </c>
      <c r="Y264" s="15">
        <f>IF($X264="Pass",$H264,
IF(H264="L","I",
IF(H264="U","L",
IF(H264="O","U",
"I"))))</f>
        <v/>
      </c>
    </row>
    <row r="265">
      <c r="A265" s="147">
        <f>ROW()-2</f>
        <v/>
      </c>
      <c r="B265" s="127" t="n">
        <v>900572</v>
      </c>
      <c r="C265" s="128" t="inlineStr">
        <is>
          <t>UIKKATTAN M</t>
        </is>
      </c>
      <c r="D265" s="127" t="inlineStr">
        <is>
          <t>PRODUCTION</t>
        </is>
      </c>
      <c r="E265" s="129" t="inlineStr">
        <is>
          <t>TYRE BUILDING-P3</t>
        </is>
      </c>
      <c r="F265" s="130" t="n">
        <v>41365</v>
      </c>
      <c r="G265" s="131">
        <f>NOW()-F265</f>
        <v/>
      </c>
      <c r="H265" s="104" t="inlineStr">
        <is>
          <t>O</t>
        </is>
      </c>
      <c r="I265" s="104" t="inlineStr">
        <is>
          <t>O</t>
        </is>
      </c>
      <c r="J265" s="104" t="n">
        <v>10</v>
      </c>
      <c r="K265" s="104" t="n">
        <v>8</v>
      </c>
      <c r="L265" s="104" t="n">
        <v>10</v>
      </c>
      <c r="M265" s="104" t="n">
        <v>9</v>
      </c>
      <c r="N265" s="104" t="n"/>
      <c r="O265" s="104">
        <f>SUM(J265:N265)</f>
        <v/>
      </c>
      <c r="P265" s="12">
        <f>O265/IF(H265="L",20,IF(H265="U",30,IF(H265="O",40,IF(H265="I",20,""))))</f>
        <v/>
      </c>
      <c r="Q265" s="132">
        <f>IF(AND(H265="L", P265&gt;=50%), "Pass",
IF(AND(H265="U", P265&gt;=60%), "Pass",
IF(AND(H265="O", P265&gt;=75%), "Pass", "Fail")))</f>
        <v/>
      </c>
      <c r="R265" s="104" t="n"/>
      <c r="S265" s="43" t="n">
        <v>20</v>
      </c>
      <c r="T265" s="43" t="n">
        <v>13</v>
      </c>
      <c r="U265" s="104">
        <f>SUM(S265:T265)</f>
        <v/>
      </c>
      <c r="V265" s="12">
        <f>U265/IF(H265="L",35,IF(H265="U",35,IF(H265="O",35,IF(H265="I",35,""))))</f>
        <v/>
      </c>
      <c r="W265" s="132">
        <f>IF(AND(H265="L", V265&gt;=50%), "Pass",
IF(AND(H265="U", V265&gt;=60%), "Pass",
IF(AND(H265="O", V265&gt;=75%), "Pass", "Fail")))</f>
        <v/>
      </c>
      <c r="X265" s="132">
        <f>IF(AND(Q265="Pass", W265="Pass"), "Pass", "Fail")</f>
        <v/>
      </c>
      <c r="Y265" s="15">
        <f>IF($X265="Pass",$H265,
IF(H265="L","I",
IF(H265="U","L",
IF(H265="O","U",
"I"))))</f>
        <v/>
      </c>
    </row>
    <row r="266">
      <c r="A266" s="147">
        <f>ROW()-2</f>
        <v/>
      </c>
      <c r="B266" s="127" t="n">
        <v>900573</v>
      </c>
      <c r="C266" s="128" t="inlineStr">
        <is>
          <t>SUNDARA RAMAN R</t>
        </is>
      </c>
      <c r="D266" s="127" t="inlineStr">
        <is>
          <t>PRODUCTION</t>
        </is>
      </c>
      <c r="E266" s="129" t="inlineStr">
        <is>
          <t>TYRE BUILDING-P2</t>
        </is>
      </c>
      <c r="F266" s="130" t="n">
        <v>41365</v>
      </c>
      <c r="G266" s="131">
        <f>NOW()-F266</f>
        <v/>
      </c>
      <c r="H266" s="104" t="inlineStr">
        <is>
          <t>O</t>
        </is>
      </c>
      <c r="I266" s="104" t="inlineStr">
        <is>
          <t>U</t>
        </is>
      </c>
      <c r="J266" s="104" t="n">
        <v>10</v>
      </c>
      <c r="K266" s="104" t="n">
        <v>9</v>
      </c>
      <c r="L266" s="104" t="n">
        <v>9</v>
      </c>
      <c r="M266" s="104" t="n">
        <v>10</v>
      </c>
      <c r="N266" s="104" t="n"/>
      <c r="O266" s="104">
        <f>SUM(J266:N266)</f>
        <v/>
      </c>
      <c r="P266" s="12">
        <f>O266/IF(H266="L",20,IF(H266="U",30,IF(H266="O",40,IF(H266="I",20,""))))</f>
        <v/>
      </c>
      <c r="Q266" s="132">
        <f>IF(AND(H266="L", P266&gt;=50%), "Pass",
IF(AND(H266="U", P266&gt;=60%), "Pass",
IF(AND(H266="O", P266&gt;=75%), "Pass", "Fail")))</f>
        <v/>
      </c>
      <c r="R266" s="104" t="n"/>
      <c r="S266" s="104" t="n">
        <v>11</v>
      </c>
      <c r="T266" s="104" t="n">
        <v>11</v>
      </c>
      <c r="U266" s="104">
        <f>SUM(S266:T266)</f>
        <v/>
      </c>
      <c r="V266" s="12">
        <f>U266/IF(H266="L",35,IF(H266="U",35,IF(H266="O",35,IF(H266="I",35,""))))</f>
        <v/>
      </c>
      <c r="W266" s="132">
        <f>IF(AND(H266="L", V266&gt;=50%), "Pass",
IF(AND(H266="U", V266&gt;=60%), "Pass",
IF(AND(H266="O", V266&gt;=75%), "Pass", "Fail")))</f>
        <v/>
      </c>
      <c r="X266" s="132">
        <f>IF(AND(Q266="Pass", W266="Pass"), "Pass", "Fail")</f>
        <v/>
      </c>
      <c r="Y266" s="15">
        <f>IF($X266="Pass",$H266,
IF(H266="L","I",
IF(H266="U","L",
IF(H266="O","U",
"I"))))</f>
        <v/>
      </c>
    </row>
    <row r="267">
      <c r="A267" s="147">
        <f>ROW()-2</f>
        <v/>
      </c>
      <c r="B267" s="127" t="n">
        <v>900574</v>
      </c>
      <c r="C267" s="128" t="inlineStr">
        <is>
          <t>NAMBI M</t>
        </is>
      </c>
      <c r="D267" s="127" t="inlineStr">
        <is>
          <t>PRODUCTION</t>
        </is>
      </c>
      <c r="E267" s="129" t="inlineStr">
        <is>
          <t>TYRE BUILDING-P2</t>
        </is>
      </c>
      <c r="F267" s="130" t="n">
        <v>41365</v>
      </c>
      <c r="G267" s="131">
        <f>NOW()-F267</f>
        <v/>
      </c>
      <c r="H267" s="104" t="inlineStr">
        <is>
          <t>O</t>
        </is>
      </c>
      <c r="I267" s="104" t="inlineStr">
        <is>
          <t>O</t>
        </is>
      </c>
      <c r="J267" s="104" t="n">
        <v>9</v>
      </c>
      <c r="K267" s="104" t="n">
        <v>10</v>
      </c>
      <c r="L267" s="104" t="n">
        <v>8</v>
      </c>
      <c r="M267" s="104" t="n">
        <v>7</v>
      </c>
      <c r="N267" s="104" t="n"/>
      <c r="O267" s="104">
        <f>SUM(J267:N267)</f>
        <v/>
      </c>
      <c r="P267" s="12">
        <f>O267/IF(H267="L",20,IF(H267="U",30,IF(H267="O",40,IF(H267="I",20,""))))</f>
        <v/>
      </c>
      <c r="Q267" s="132">
        <f>IF(AND(H267="L", P267&gt;=50%), "Pass",
IF(AND(H267="U", P267&gt;=60%), "Pass",
IF(AND(H267="O", P267&gt;=75%), "Pass", "Fail")))</f>
        <v/>
      </c>
      <c r="R267" s="104" t="n"/>
      <c r="S267" s="104" t="n">
        <v>13</v>
      </c>
      <c r="T267" s="104" t="n">
        <v>10</v>
      </c>
      <c r="U267" s="104">
        <f>SUM(S267:T267)</f>
        <v/>
      </c>
      <c r="V267" s="12">
        <f>U267/IF(H267="L",35,IF(H267="U",35,IF(H267="O",35,IF(H267="I",35,""))))</f>
        <v/>
      </c>
      <c r="W267" s="132">
        <f>IF(AND(H267="L", V267&gt;=50%), "Pass",
IF(AND(H267="U", V267&gt;=60%), "Pass",
IF(AND(H267="O", V267&gt;=75%), "Pass", "Fail")))</f>
        <v/>
      </c>
      <c r="X267" s="132">
        <f>IF(AND(Q267="Pass", W267="Pass"), "Pass", "Fail")</f>
        <v/>
      </c>
      <c r="Y267" s="15">
        <f>IF($X267="Pass",$H267,
IF(H267="L","I",
IF(H267="U","L",
IF(H267="O","U",
"I"))))</f>
        <v/>
      </c>
    </row>
    <row r="268">
      <c r="A268" s="147">
        <f>ROW()-2</f>
        <v/>
      </c>
      <c r="B268" s="127" t="n">
        <v>900575</v>
      </c>
      <c r="C268" s="128" t="inlineStr">
        <is>
          <t>MURUGAN S</t>
        </is>
      </c>
      <c r="D268" s="127" t="inlineStr">
        <is>
          <t>PRODUCTION</t>
        </is>
      </c>
      <c r="E268" s="129" t="inlineStr">
        <is>
          <t>TYRE BUILDING-P2</t>
        </is>
      </c>
      <c r="F268" s="130" t="n">
        <v>41365</v>
      </c>
      <c r="G268" s="131">
        <f>NOW()-F268</f>
        <v/>
      </c>
      <c r="H268" s="104" t="inlineStr">
        <is>
          <t>O</t>
        </is>
      </c>
      <c r="I268" s="104" t="inlineStr">
        <is>
          <t>O</t>
        </is>
      </c>
      <c r="J268" s="104" t="n">
        <v>10</v>
      </c>
      <c r="K268" s="104" t="n">
        <v>10</v>
      </c>
      <c r="L268" s="104" t="n">
        <v>7</v>
      </c>
      <c r="M268" s="104" t="n">
        <v>9</v>
      </c>
      <c r="N268" s="104" t="n"/>
      <c r="O268" s="104">
        <f>SUM(J268:N268)</f>
        <v/>
      </c>
      <c r="P268" s="12">
        <f>O268/IF(H268="L",20,IF(H268="U",30,IF(H268="O",40,IF(H268="I",20,""))))</f>
        <v/>
      </c>
      <c r="Q268" s="132">
        <f>IF(AND(H268="L", P268&gt;=50%), "Pass",
IF(AND(H268="U", P268&gt;=60%), "Pass",
IF(AND(H268="O", P268&gt;=75%), "Pass", "Fail")))</f>
        <v/>
      </c>
      <c r="R268" s="104" t="n"/>
      <c r="S268" s="104" t="n">
        <v>13</v>
      </c>
      <c r="T268" s="104" t="n">
        <v>9</v>
      </c>
      <c r="U268" s="104">
        <f>SUM(S268:T268)</f>
        <v/>
      </c>
      <c r="V268" s="12">
        <f>U268/IF(H268="L",35,IF(H268="U",35,IF(H268="O",35,IF(H268="I",35,""))))</f>
        <v/>
      </c>
      <c r="W268" s="132">
        <f>IF(AND(H268="L", V268&gt;=50%), "Pass",
IF(AND(H268="U", V268&gt;=60%), "Pass",
IF(AND(H268="O", V268&gt;=75%), "Pass", "Fail")))</f>
        <v/>
      </c>
      <c r="X268" s="132">
        <f>IF(AND(Q268="Pass", W268="Pass"), "Pass", "Fail")</f>
        <v/>
      </c>
      <c r="Y268" s="15">
        <f>IF($X268="Pass",$H268,
IF(H268="L","I",
IF(H268="U","L",
IF(H268="O","U",
"I"))))</f>
        <v/>
      </c>
    </row>
    <row r="269">
      <c r="A269" s="147">
        <f>ROW()-2</f>
        <v/>
      </c>
      <c r="B269" s="127" t="n">
        <v>900576</v>
      </c>
      <c r="C269" s="128" t="inlineStr">
        <is>
          <t>MAHENDRAN</t>
        </is>
      </c>
      <c r="D269" s="127" t="inlineStr">
        <is>
          <t>PRODUCTION</t>
        </is>
      </c>
      <c r="E269" s="129" t="inlineStr">
        <is>
          <t>TYRE BUILDING-P2</t>
        </is>
      </c>
      <c r="F269" s="130" t="n">
        <v>41365</v>
      </c>
      <c r="G269" s="131">
        <f>NOW()-F269</f>
        <v/>
      </c>
      <c r="H269" s="104" t="inlineStr">
        <is>
          <t>O</t>
        </is>
      </c>
      <c r="I269" s="104" t="inlineStr">
        <is>
          <t>O</t>
        </is>
      </c>
      <c r="J269" s="104" t="n">
        <v>9</v>
      </c>
      <c r="K269" s="104" t="n">
        <v>8</v>
      </c>
      <c r="L269" s="104" t="n">
        <v>9</v>
      </c>
      <c r="M269" s="104" t="n">
        <v>10</v>
      </c>
      <c r="N269" s="104" t="n"/>
      <c r="O269" s="104">
        <f>SUM(J269:N269)</f>
        <v/>
      </c>
      <c r="P269" s="12">
        <f>O269/IF(H269="L",20,IF(H269="U",30,IF(H269="O",40,IF(H269="I",20,""))))</f>
        <v/>
      </c>
      <c r="Q269" s="132">
        <f>IF(AND(H269="L", P269&gt;=50%), "Pass",
IF(AND(H269="U", P269&gt;=60%), "Pass",
IF(AND(H269="O", P269&gt;=75%), "Pass", "Fail")))</f>
        <v/>
      </c>
      <c r="R269" s="104" t="n"/>
      <c r="S269" s="104" t="n">
        <v>14</v>
      </c>
      <c r="T269" s="104" t="n">
        <v>11</v>
      </c>
      <c r="U269" s="104">
        <f>SUM(S269:T269)</f>
        <v/>
      </c>
      <c r="V269" s="12">
        <f>U269/IF(H269="L",35,IF(H269="U",35,IF(H269="O",35,IF(H269="I",35,""))))</f>
        <v/>
      </c>
      <c r="W269" s="132">
        <f>IF(AND(H269="L", V269&gt;=50%), "Pass",
IF(AND(H269="U", V269&gt;=60%), "Pass",
IF(AND(H269="O", V269&gt;=75%), "Pass", "Fail")))</f>
        <v/>
      </c>
      <c r="X269" s="132">
        <f>IF(AND(Q269="Pass", W269="Pass"), "Pass", "Fail")</f>
        <v/>
      </c>
      <c r="Y269" s="15">
        <f>IF($X269="Pass",$H269,
IF(H269="L","I",
IF(H269="U","L",
IF(H269="O","U",
"I"))))</f>
        <v/>
      </c>
    </row>
    <row r="270">
      <c r="A270" s="147">
        <f>ROW()-2</f>
        <v/>
      </c>
      <c r="B270" s="127" t="n">
        <v>900577</v>
      </c>
      <c r="C270" s="128" t="inlineStr">
        <is>
          <t>PETCHIMUTHU C</t>
        </is>
      </c>
      <c r="D270" s="127" t="inlineStr">
        <is>
          <t>PRODUCTION</t>
        </is>
      </c>
      <c r="E270" s="129" t="inlineStr">
        <is>
          <t>TYRE BUILDING-P2</t>
        </is>
      </c>
      <c r="F270" s="130" t="n">
        <v>41365</v>
      </c>
      <c r="G270" s="131">
        <f>NOW()-F270</f>
        <v/>
      </c>
      <c r="H270" s="104" t="inlineStr">
        <is>
          <t>O</t>
        </is>
      </c>
      <c r="I270" s="104" t="inlineStr">
        <is>
          <t>O</t>
        </is>
      </c>
      <c r="J270" s="104" t="n">
        <v>10</v>
      </c>
      <c r="K270" s="104" t="n">
        <v>9</v>
      </c>
      <c r="L270" s="104" t="n">
        <v>8</v>
      </c>
      <c r="M270" s="104" t="n">
        <v>9</v>
      </c>
      <c r="N270" s="104" t="n"/>
      <c r="O270" s="104">
        <f>SUM(J270:N270)</f>
        <v/>
      </c>
      <c r="P270" s="12">
        <f>O270/IF(H270="L",20,IF(H270="U",30,IF(H270="O",40,IF(H270="I",20,""))))</f>
        <v/>
      </c>
      <c r="Q270" s="132">
        <f>IF(AND(H270="L", P270&gt;=50%), "Pass",
IF(AND(H270="U", P270&gt;=60%), "Pass",
IF(AND(H270="O", P270&gt;=75%), "Pass", "Fail")))</f>
        <v/>
      </c>
      <c r="R270" s="104" t="n"/>
      <c r="S270" s="104" t="n">
        <v>12</v>
      </c>
      <c r="T270" s="104" t="n">
        <v>11</v>
      </c>
      <c r="U270" s="104">
        <f>SUM(S270:T270)</f>
        <v/>
      </c>
      <c r="V270" s="12">
        <f>U270/IF(H270="L",35,IF(H270="U",35,IF(H270="O",35,IF(H270="I",35,""))))</f>
        <v/>
      </c>
      <c r="W270" s="132">
        <f>IF(AND(H270="L", V270&gt;=50%), "Pass",
IF(AND(H270="U", V270&gt;=60%), "Pass",
IF(AND(H270="O", V270&gt;=75%), "Pass", "Fail")))</f>
        <v/>
      </c>
      <c r="X270" s="132">
        <f>IF(AND(Q270="Pass", W270="Pass"), "Pass", "Fail")</f>
        <v/>
      </c>
      <c r="Y270" s="15">
        <f>IF($X270="Pass",$H270,
IF(H270="L","I",
IF(H270="U","L",
IF(H270="O","U",
"I"))))</f>
        <v/>
      </c>
    </row>
    <row r="271">
      <c r="A271" s="147">
        <f>ROW()-2</f>
        <v/>
      </c>
      <c r="B271" s="127" t="n">
        <v>900578</v>
      </c>
      <c r="C271" s="128" t="inlineStr">
        <is>
          <t>PALANI M</t>
        </is>
      </c>
      <c r="D271" s="127" t="inlineStr">
        <is>
          <t>PRODUCTION</t>
        </is>
      </c>
      <c r="E271" s="129" t="inlineStr">
        <is>
          <t>TYRE BUILDING-P1</t>
        </is>
      </c>
      <c r="F271" s="130" t="n">
        <v>41365</v>
      </c>
      <c r="G271" s="131">
        <f>NOW()-F271</f>
        <v/>
      </c>
      <c r="H271" s="104" t="inlineStr">
        <is>
          <t>O</t>
        </is>
      </c>
      <c r="I271" s="104" t="inlineStr">
        <is>
          <t>O</t>
        </is>
      </c>
      <c r="J271" s="104" t="n">
        <v>8</v>
      </c>
      <c r="K271" s="104" t="n">
        <v>10</v>
      </c>
      <c r="L271" s="104" t="n">
        <v>9</v>
      </c>
      <c r="M271" s="104" t="n">
        <v>9</v>
      </c>
      <c r="N271" s="104" t="n"/>
      <c r="O271" s="104">
        <f>SUM(J271:N271)</f>
        <v/>
      </c>
      <c r="P271" s="12">
        <f>O271/IF(H271="L",20,IF(H271="U",30,IF(H271="O",40,IF(H271="I",20,""))))</f>
        <v/>
      </c>
      <c r="Q271" s="132">
        <f>IF(AND(H271="L", P271&gt;=50%), "Pass",
IF(AND(H271="U", P271&gt;=60%), "Pass",
IF(AND(H271="O", P271&gt;=75%), "Pass", "Fail")))</f>
        <v/>
      </c>
      <c r="R271" s="104" t="n"/>
      <c r="S271" s="104" t="n">
        <v>14</v>
      </c>
      <c r="T271" s="104" t="n">
        <v>15</v>
      </c>
      <c r="U271" s="104">
        <f>SUM(S271:T271)</f>
        <v/>
      </c>
      <c r="V271" s="12">
        <f>U271/IF(H271="L",35,IF(H271="U",35,IF(H271="O",35,IF(H271="I",35,""))))</f>
        <v/>
      </c>
      <c r="W271" s="132">
        <f>IF(AND(H271="L", V271&gt;=50%), "Pass",
IF(AND(H271="U", V271&gt;=60%), "Pass",
IF(AND(H271="O", V271&gt;=75%), "Pass", "Fail")))</f>
        <v/>
      </c>
      <c r="X271" s="132">
        <f>IF(AND(Q271="Pass", W271="Pass"), "Pass", "Fail")</f>
        <v/>
      </c>
      <c r="Y271" s="15">
        <f>IF($X271="Pass",$H271,
IF(H271="L","I",
IF(H271="U","L",
IF(H271="O","U",
"I"))))</f>
        <v/>
      </c>
    </row>
    <row r="272">
      <c r="A272" s="147">
        <f>ROW()-2</f>
        <v/>
      </c>
      <c r="B272" s="127" t="n">
        <v>900579</v>
      </c>
      <c r="C272" s="128" t="inlineStr">
        <is>
          <t>PRABU S</t>
        </is>
      </c>
      <c r="D272" s="127" t="inlineStr">
        <is>
          <t>PRODUCTION</t>
        </is>
      </c>
      <c r="E272" s="129" t="inlineStr">
        <is>
          <t>TYRE BUILDING-P1</t>
        </is>
      </c>
      <c r="F272" s="130" t="n">
        <v>41365</v>
      </c>
      <c r="G272" s="131">
        <f>NOW()-F272</f>
        <v/>
      </c>
      <c r="H272" s="104" t="inlineStr">
        <is>
          <t>O</t>
        </is>
      </c>
      <c r="I272" s="104" t="inlineStr">
        <is>
          <t>O</t>
        </is>
      </c>
      <c r="J272" s="104" t="n">
        <v>10</v>
      </c>
      <c r="K272" s="104" t="n">
        <v>9</v>
      </c>
      <c r="L272" s="104" t="n">
        <v>8</v>
      </c>
      <c r="M272" s="104" t="n">
        <v>10</v>
      </c>
      <c r="N272" s="104" t="n"/>
      <c r="O272" s="104">
        <f>SUM(J272:N272)</f>
        <v/>
      </c>
      <c r="P272" s="12">
        <f>O272/IF(H272="L",20,IF(H272="U",30,IF(H272="O",40,IF(H272="I",20,""))))</f>
        <v/>
      </c>
      <c r="Q272" s="132">
        <f>IF(AND(H272="L", P272&gt;=50%), "Pass",
IF(AND(H272="U", P272&gt;=60%), "Pass",
IF(AND(H272="O", P272&gt;=75%), "Pass", "Fail")))</f>
        <v/>
      </c>
      <c r="R272" s="104" t="n"/>
      <c r="S272" s="104" t="n">
        <v>16</v>
      </c>
      <c r="T272" s="104" t="n">
        <v>15</v>
      </c>
      <c r="U272" s="104">
        <f>SUM(S272:T272)</f>
        <v/>
      </c>
      <c r="V272" s="12">
        <f>U272/IF(H272="L",35,IF(H272="U",35,IF(H272="O",35,IF(H272="I",35,""))))</f>
        <v/>
      </c>
      <c r="W272" s="132">
        <f>IF(AND(H272="L", V272&gt;=50%), "Pass",
IF(AND(H272="U", V272&gt;=60%), "Pass",
IF(AND(H272="O", V272&gt;=75%), "Pass", "Fail")))</f>
        <v/>
      </c>
      <c r="X272" s="132">
        <f>IF(AND(Q272="Pass", W272="Pass"), "Pass", "Fail")</f>
        <v/>
      </c>
      <c r="Y272" s="15">
        <f>IF($X272="Pass",$H272,
IF(H272="L","I",
IF(H272="U","L",
IF(H272="O","U",
"I"))))</f>
        <v/>
      </c>
    </row>
    <row r="273">
      <c r="A273" s="147">
        <f>ROW()-2</f>
        <v/>
      </c>
      <c r="B273" s="127" t="n">
        <v>900580</v>
      </c>
      <c r="C273" s="128" t="inlineStr">
        <is>
          <t>ESAKKI MUTHU S</t>
        </is>
      </c>
      <c r="D273" s="127" t="inlineStr">
        <is>
          <t>PRODUCTION</t>
        </is>
      </c>
      <c r="E273" s="129" t="inlineStr">
        <is>
          <t>TYRE BUILDING-P3</t>
        </is>
      </c>
      <c r="F273" s="130" t="n">
        <v>41365</v>
      </c>
      <c r="G273" s="131">
        <f>NOW()-F273</f>
        <v/>
      </c>
      <c r="H273" s="104" t="inlineStr">
        <is>
          <t>O</t>
        </is>
      </c>
      <c r="I273" s="104" t="inlineStr">
        <is>
          <t>O</t>
        </is>
      </c>
      <c r="J273" s="104" t="n">
        <v>10</v>
      </c>
      <c r="K273" s="104" t="n">
        <v>9</v>
      </c>
      <c r="L273" s="104" t="n">
        <v>7</v>
      </c>
      <c r="M273" s="104" t="n">
        <v>9</v>
      </c>
      <c r="N273" s="104" t="n"/>
      <c r="O273" s="104">
        <f>SUM(J273:N273)</f>
        <v/>
      </c>
      <c r="P273" s="12">
        <f>O273/IF(H273="L",20,IF(H273="U",30,IF(H273="O",40,IF(H273="I",20,""))))</f>
        <v/>
      </c>
      <c r="Q273" s="132">
        <f>IF(AND(H273="L", P273&gt;=50%), "Pass",
IF(AND(H273="U", P273&gt;=60%), "Pass",
IF(AND(H273="O", P273&gt;=75%), "Pass", "Fail")))</f>
        <v/>
      </c>
      <c r="R273" s="104" t="n"/>
      <c r="S273" s="43" t="n">
        <v>19</v>
      </c>
      <c r="T273" s="43" t="n">
        <v>13</v>
      </c>
      <c r="U273" s="104">
        <f>SUM(S273:T273)</f>
        <v/>
      </c>
      <c r="V273" s="12">
        <f>U273/IF(H273="L",35,IF(H273="U",35,IF(H273="O",35,IF(H273="I",35,""))))</f>
        <v/>
      </c>
      <c r="W273" s="132">
        <f>IF(AND(H273="L", V273&gt;=50%), "Pass",
IF(AND(H273="U", V273&gt;=60%), "Pass",
IF(AND(H273="O", V273&gt;=75%), "Pass", "Fail")))</f>
        <v/>
      </c>
      <c r="X273" s="132">
        <f>IF(AND(Q273="Pass", W273="Pass"), "Pass", "Fail")</f>
        <v/>
      </c>
      <c r="Y273" s="15">
        <f>IF($X273="Pass",$H273,
IF(H273="L","I",
IF(H273="U","L",
IF(H273="O","U",
"I"))))</f>
        <v/>
      </c>
    </row>
    <row r="274">
      <c r="A274" s="147">
        <f>ROW()-2</f>
        <v/>
      </c>
      <c r="B274" s="127" t="n">
        <v>900582</v>
      </c>
      <c r="C274" s="128" t="inlineStr">
        <is>
          <t>AYYASAMY S</t>
        </is>
      </c>
      <c r="D274" s="127" t="inlineStr">
        <is>
          <t>PRODUCTION</t>
        </is>
      </c>
      <c r="E274" s="129" t="inlineStr">
        <is>
          <t>TYRE CURING</t>
        </is>
      </c>
      <c r="F274" s="130" t="n">
        <v>41365</v>
      </c>
      <c r="G274" s="131">
        <f>NOW()-F274</f>
        <v/>
      </c>
      <c r="H274" s="104" t="inlineStr">
        <is>
          <t>O</t>
        </is>
      </c>
      <c r="I274" s="104" t="inlineStr">
        <is>
          <t>O</t>
        </is>
      </c>
      <c r="J274" s="104" t="n">
        <v>9</v>
      </c>
      <c r="K274" s="104" t="n">
        <v>8</v>
      </c>
      <c r="L274" s="104" t="n">
        <v>9</v>
      </c>
      <c r="M274" s="104" t="n">
        <v>7</v>
      </c>
      <c r="N274" s="104" t="n"/>
      <c r="O274" s="104">
        <f>SUM(J274:N274)</f>
        <v/>
      </c>
      <c r="P274" s="12">
        <f>O274/IF(H274="L",20,IF(H274="U",30,IF(H274="O",40,IF(H274="I",20,""))))</f>
        <v/>
      </c>
      <c r="Q274" s="132">
        <f>IF(AND(H274="L", P274&gt;=50%), "Pass",
IF(AND(H274="U", P274&gt;=60%), "Pass",
IF(AND(H274="O", P274&gt;=75%), "Pass", "Fail")))</f>
        <v/>
      </c>
      <c r="R274" s="104" t="n"/>
      <c r="S274" s="104" t="n">
        <v>16</v>
      </c>
      <c r="T274" s="104" t="n">
        <v>14</v>
      </c>
      <c r="U274" s="104">
        <f>SUM(S274:T274)</f>
        <v/>
      </c>
      <c r="V274" s="12">
        <f>U274/IF(H274="L",35,IF(H274="U",35,IF(H274="O",35,IF(H274="I",35,""))))</f>
        <v/>
      </c>
      <c r="W274" s="132">
        <f>IF(AND(H274="L", V274&gt;=50%), "Pass",
IF(AND(H274="U", V274&gt;=60%), "Pass",
IF(AND(H274="O", V274&gt;=75%), "Pass", "Fail")))</f>
        <v/>
      </c>
      <c r="X274" s="132">
        <f>IF(AND(Q274="Pass", W274="Pass"), "Pass", "Fail")</f>
        <v/>
      </c>
      <c r="Y274" s="15">
        <f>IF($X274="Pass",$H274,
IF(H274="L","I",
IF(H274="U","L",
IF(H274="O","U",
"I"))))</f>
        <v/>
      </c>
    </row>
    <row r="275">
      <c r="A275" s="147">
        <f>ROW()-2</f>
        <v/>
      </c>
      <c r="B275" s="127" t="n">
        <v>900583</v>
      </c>
      <c r="C275" s="128" t="inlineStr">
        <is>
          <t>MAHESH N</t>
        </is>
      </c>
      <c r="D275" s="127" t="inlineStr">
        <is>
          <t>PRODUCTION</t>
        </is>
      </c>
      <c r="E275" s="129" t="inlineStr">
        <is>
          <t>TYRE CURING</t>
        </is>
      </c>
      <c r="F275" s="130" t="n">
        <v>41365</v>
      </c>
      <c r="G275" s="131">
        <f>NOW()-F275</f>
        <v/>
      </c>
      <c r="H275" s="104" t="inlineStr">
        <is>
          <t>O</t>
        </is>
      </c>
      <c r="I275" s="104" t="inlineStr">
        <is>
          <t>O</t>
        </is>
      </c>
      <c r="J275" s="104" t="n">
        <v>9</v>
      </c>
      <c r="K275" s="104" t="n">
        <v>9</v>
      </c>
      <c r="L275" s="104" t="n">
        <v>9</v>
      </c>
      <c r="M275" s="104" t="n">
        <v>7</v>
      </c>
      <c r="N275" s="104" t="n"/>
      <c r="O275" s="104">
        <f>SUM(J275:N275)</f>
        <v/>
      </c>
      <c r="P275" s="12">
        <f>O275/IF(H275="L",20,IF(H275="U",30,IF(H275="O",40,IF(H275="I",20,""))))</f>
        <v/>
      </c>
      <c r="Q275" s="132">
        <f>IF(AND(H275="L", P275&gt;=50%), "Pass",
IF(AND(H275="U", P275&gt;=60%), "Pass",
IF(AND(H275="O", P275&gt;=75%), "Pass", "Fail")))</f>
        <v/>
      </c>
      <c r="R275" s="104" t="n"/>
      <c r="S275" s="104" t="n">
        <v>12</v>
      </c>
      <c r="T275" s="104" t="n">
        <v>11</v>
      </c>
      <c r="U275" s="104">
        <f>SUM(S275:T275)</f>
        <v/>
      </c>
      <c r="V275" s="12">
        <f>U275/IF(H275="L",35,IF(H275="U",35,IF(H275="O",35,IF(H275="I",35,""))))</f>
        <v/>
      </c>
      <c r="W275" s="132">
        <f>IF(AND(H275="L", V275&gt;=50%), "Pass",
IF(AND(H275="U", V275&gt;=60%), "Pass",
IF(AND(H275="O", V275&gt;=75%), "Pass", "Fail")))</f>
        <v/>
      </c>
      <c r="X275" s="132">
        <f>IF(AND(Q275="Pass", W275="Pass"), "Pass", "Fail")</f>
        <v/>
      </c>
      <c r="Y275" s="15">
        <f>IF($X275="Pass",$H275,
IF(H275="L","I",
IF(H275="U","L",
IF(H275="O","U",
"I"))))</f>
        <v/>
      </c>
    </row>
    <row r="276">
      <c r="A276" s="147">
        <f>ROW()-2</f>
        <v/>
      </c>
      <c r="B276" s="127" t="n">
        <v>900584</v>
      </c>
      <c r="C276" s="128" t="inlineStr">
        <is>
          <t>SANKAR M</t>
        </is>
      </c>
      <c r="D276" s="127" t="inlineStr">
        <is>
          <t>PRODUCTION</t>
        </is>
      </c>
      <c r="E276" s="129" t="inlineStr">
        <is>
          <t>TYRE CURING</t>
        </is>
      </c>
      <c r="F276" s="130" t="n">
        <v>41365</v>
      </c>
      <c r="G276" s="131">
        <f>NOW()-F276</f>
        <v/>
      </c>
      <c r="H276" s="104" t="inlineStr">
        <is>
          <t>O</t>
        </is>
      </c>
      <c r="I276" s="104" t="inlineStr">
        <is>
          <t>O</t>
        </is>
      </c>
      <c r="J276" s="104" t="n">
        <v>8</v>
      </c>
      <c r="K276" s="104" t="n">
        <v>7</v>
      </c>
      <c r="L276" s="104" t="n">
        <v>7</v>
      </c>
      <c r="M276" s="104" t="n">
        <v>5</v>
      </c>
      <c r="N276" s="104" t="n"/>
      <c r="O276" s="104">
        <f>SUM(J276:N276)</f>
        <v/>
      </c>
      <c r="P276" s="12">
        <f>O276/IF(H276="L",20,IF(H276="U",30,IF(H276="O",40,IF(H276="I",20,""))))</f>
        <v/>
      </c>
      <c r="Q276" s="132">
        <f>IF(AND(H276="L", P276&gt;=50%), "Pass",
IF(AND(H276="U", P276&gt;=60%), "Pass",
IF(AND(H276="O", P276&gt;=75%), "Pass", "Fail")))</f>
        <v/>
      </c>
      <c r="R276" s="104" t="n"/>
      <c r="S276" s="104" t="n">
        <v>13</v>
      </c>
      <c r="T276" s="104" t="n">
        <v>10</v>
      </c>
      <c r="U276" s="104">
        <f>SUM(S276:T276)</f>
        <v/>
      </c>
      <c r="V276" s="12">
        <f>U276/IF(H276="L",35,IF(H276="U",35,IF(H276="O",35,IF(H276="I",35,""))))</f>
        <v/>
      </c>
      <c r="W276" s="132">
        <f>IF(AND(H276="L", V276&gt;=50%), "Pass",
IF(AND(H276="U", V276&gt;=60%), "Pass",
IF(AND(H276="O", V276&gt;=75%), "Pass", "Fail")))</f>
        <v/>
      </c>
      <c r="X276" s="132">
        <f>IF(AND(Q276="Pass", W276="Pass"), "Pass", "Fail")</f>
        <v/>
      </c>
      <c r="Y276" s="15">
        <f>IF($X276="Pass",$H276,
IF(H276="L","I",
IF(H276="U","L",
IF(H276="O","U",
"I"))))</f>
        <v/>
      </c>
    </row>
    <row r="277">
      <c r="A277" s="147">
        <f>ROW()-2</f>
        <v/>
      </c>
      <c r="B277" s="127" t="n">
        <v>900585</v>
      </c>
      <c r="C277" s="128" t="inlineStr">
        <is>
          <t>URUTHA MADAN N</t>
        </is>
      </c>
      <c r="D277" s="127" t="inlineStr">
        <is>
          <t>PRODUCTION</t>
        </is>
      </c>
      <c r="E277" s="129" t="inlineStr">
        <is>
          <t>TYRE CURING</t>
        </is>
      </c>
      <c r="F277" s="130" t="n">
        <v>41365</v>
      </c>
      <c r="G277" s="131">
        <f>NOW()-F277</f>
        <v/>
      </c>
      <c r="H277" s="104" t="inlineStr">
        <is>
          <t>O</t>
        </is>
      </c>
      <c r="I277" s="104" t="inlineStr">
        <is>
          <t>O</t>
        </is>
      </c>
      <c r="J277" s="104" t="n">
        <v>9</v>
      </c>
      <c r="K277" s="104" t="n">
        <v>9</v>
      </c>
      <c r="L277" s="104" t="n">
        <v>8</v>
      </c>
      <c r="M277" s="104" t="n">
        <v>7</v>
      </c>
      <c r="N277" s="104" t="n"/>
      <c r="O277" s="104">
        <f>SUM(J277:N277)</f>
        <v/>
      </c>
      <c r="P277" s="12">
        <f>O277/IF(H277="L",20,IF(H277="U",30,IF(H277="O",40,IF(H277="I",20,""))))</f>
        <v/>
      </c>
      <c r="Q277" s="132">
        <f>IF(AND(H277="L", P277&gt;=50%), "Pass",
IF(AND(H277="U", P277&gt;=60%), "Pass",
IF(AND(H277="O", P277&gt;=75%), "Pass", "Fail")))</f>
        <v/>
      </c>
      <c r="R277" s="104" t="n"/>
      <c r="S277" s="104" t="n">
        <v>17</v>
      </c>
      <c r="T277" s="104" t="n">
        <v>13</v>
      </c>
      <c r="U277" s="104">
        <f>SUM(S277:T277)</f>
        <v/>
      </c>
      <c r="V277" s="12">
        <f>U277/IF(H277="L",35,IF(H277="U",35,IF(H277="O",35,IF(H277="I",35,""))))</f>
        <v/>
      </c>
      <c r="W277" s="132">
        <f>IF(AND(H277="L", V277&gt;=50%), "Pass",
IF(AND(H277="U", V277&gt;=60%), "Pass",
IF(AND(H277="O", V277&gt;=75%), "Pass", "Fail")))</f>
        <v/>
      </c>
      <c r="X277" s="132">
        <f>IF(AND(Q277="Pass", W277="Pass"), "Pass", "Fail")</f>
        <v/>
      </c>
      <c r="Y277" s="15">
        <f>IF($X277="Pass",$H277,
IF(H277="L","I",
IF(H277="U","L",
IF(H277="O","U",
"I"))))</f>
        <v/>
      </c>
    </row>
    <row r="278">
      <c r="A278" s="147">
        <f>ROW()-2</f>
        <v/>
      </c>
      <c r="B278" s="127" t="n">
        <v>900586</v>
      </c>
      <c r="C278" s="128" t="inlineStr">
        <is>
          <t>ARUMUGARAJ G</t>
        </is>
      </c>
      <c r="D278" s="127" t="inlineStr">
        <is>
          <t>PRODUCTION</t>
        </is>
      </c>
      <c r="E278" s="129" t="inlineStr">
        <is>
          <t>TYRE CURING</t>
        </is>
      </c>
      <c r="F278" s="130" t="n">
        <v>41365</v>
      </c>
      <c r="G278" s="131">
        <f>NOW()-F278</f>
        <v/>
      </c>
      <c r="H278" s="104" t="inlineStr">
        <is>
          <t>O</t>
        </is>
      </c>
      <c r="I278" s="104" t="inlineStr">
        <is>
          <t>O</t>
        </is>
      </c>
      <c r="J278" s="104" t="n">
        <v>10</v>
      </c>
      <c r="K278" s="104" t="n">
        <v>10</v>
      </c>
      <c r="L278" s="104" t="n">
        <v>8</v>
      </c>
      <c r="M278" s="104" t="n">
        <v>8</v>
      </c>
      <c r="N278" s="104" t="n"/>
      <c r="O278" s="104">
        <f>SUM(J278:N278)</f>
        <v/>
      </c>
      <c r="P278" s="12">
        <f>O278/IF(H278="L",20,IF(H278="U",30,IF(H278="O",40,IF(H278="I",20,""))))</f>
        <v/>
      </c>
      <c r="Q278" s="132">
        <f>IF(AND(H278="L", P278&gt;=50%), "Pass",
IF(AND(H278="U", P278&gt;=60%), "Pass",
IF(AND(H278="O", P278&gt;=75%), "Pass", "Fail")))</f>
        <v/>
      </c>
      <c r="R278" s="104" t="n"/>
      <c r="S278" s="104" t="n">
        <v>15</v>
      </c>
      <c r="T278" s="104" t="n">
        <v>9</v>
      </c>
      <c r="U278" s="104">
        <f>SUM(S278:T278)</f>
        <v/>
      </c>
      <c r="V278" s="12">
        <f>U278/IF(H278="L",35,IF(H278="U",35,IF(H278="O",35,IF(H278="I",35,""))))</f>
        <v/>
      </c>
      <c r="W278" s="132">
        <f>IF(AND(H278="L", V278&gt;=50%), "Pass",
IF(AND(H278="U", V278&gt;=60%), "Pass",
IF(AND(H278="O", V278&gt;=75%), "Pass", "Fail")))</f>
        <v/>
      </c>
      <c r="X278" s="132">
        <f>IF(AND(Q278="Pass", W278="Pass"), "Pass", "Fail")</f>
        <v/>
      </c>
      <c r="Y278" s="15">
        <f>IF($X278="Pass",$H278,
IF(H278="L","I",
IF(H278="U","L",
IF(H278="O","U",
"I"))))</f>
        <v/>
      </c>
    </row>
    <row r="279">
      <c r="A279" s="147">
        <f>ROW()-2</f>
        <v/>
      </c>
      <c r="B279" s="127" t="n">
        <v>900587</v>
      </c>
      <c r="C279" s="128" t="inlineStr">
        <is>
          <t>MANIKANDAN A</t>
        </is>
      </c>
      <c r="D279" s="127" t="inlineStr">
        <is>
          <t>PRODUCTION</t>
        </is>
      </c>
      <c r="E279" s="129" t="inlineStr">
        <is>
          <t>TYRE CURING</t>
        </is>
      </c>
      <c r="F279" s="130" t="n">
        <v>41365</v>
      </c>
      <c r="G279" s="131">
        <f>NOW()-F279</f>
        <v/>
      </c>
      <c r="H279" s="104" t="inlineStr">
        <is>
          <t>O</t>
        </is>
      </c>
      <c r="I279" s="104" t="inlineStr">
        <is>
          <t>O</t>
        </is>
      </c>
      <c r="J279" s="104" t="n">
        <v>9</v>
      </c>
      <c r="K279" s="104" t="n">
        <v>9</v>
      </c>
      <c r="L279" s="104" t="n">
        <v>8</v>
      </c>
      <c r="M279" s="104" t="n">
        <v>8</v>
      </c>
      <c r="N279" s="104" t="n"/>
      <c r="O279" s="104">
        <f>SUM(J279:N279)</f>
        <v/>
      </c>
      <c r="P279" s="12">
        <f>O279/IF(H279="L",20,IF(H279="U",30,IF(H279="O",40,IF(H279="I",20,""))))</f>
        <v/>
      </c>
      <c r="Q279" s="132">
        <f>IF(AND(H279="L", P279&gt;=50%), "Pass",
IF(AND(H279="U", P279&gt;=60%), "Pass",
IF(AND(H279="O", P279&gt;=75%), "Pass", "Fail")))</f>
        <v/>
      </c>
      <c r="R279" s="104" t="n"/>
      <c r="S279" s="104" t="n">
        <v>15</v>
      </c>
      <c r="T279" s="104" t="n">
        <v>12</v>
      </c>
      <c r="U279" s="104">
        <f>SUM(S279:T279)</f>
        <v/>
      </c>
      <c r="V279" s="12">
        <f>U279/IF(H279="L",35,IF(H279="U",35,IF(H279="O",35,IF(H279="I",35,""))))</f>
        <v/>
      </c>
      <c r="W279" s="132">
        <f>IF(AND(H279="L", V279&gt;=50%), "Pass",
IF(AND(H279="U", V279&gt;=60%), "Pass",
IF(AND(H279="O", V279&gt;=75%), "Pass", "Fail")))</f>
        <v/>
      </c>
      <c r="X279" s="132">
        <f>IF(AND(Q279="Pass", W279="Pass"), "Pass", "Fail")</f>
        <v/>
      </c>
      <c r="Y279" s="15">
        <f>IF($X279="Pass",$H279,
IF(H279="L","I",
IF(H279="U","L",
IF(H279="O","U",
"I"))))</f>
        <v/>
      </c>
    </row>
    <row r="280">
      <c r="A280" s="147">
        <f>ROW()-2</f>
        <v/>
      </c>
      <c r="B280" s="127" t="n">
        <v>900588</v>
      </c>
      <c r="C280" s="128" t="inlineStr">
        <is>
          <t>NATARAJAN C</t>
        </is>
      </c>
      <c r="D280" s="127" t="inlineStr">
        <is>
          <t>PRODUCTION</t>
        </is>
      </c>
      <c r="E280" s="129" t="inlineStr">
        <is>
          <t>TYRE CURING</t>
        </is>
      </c>
      <c r="F280" s="130" t="n">
        <v>41365</v>
      </c>
      <c r="G280" s="131">
        <f>NOW()-F280</f>
        <v/>
      </c>
      <c r="H280" s="104" t="inlineStr">
        <is>
          <t>O</t>
        </is>
      </c>
      <c r="I280" s="104" t="inlineStr">
        <is>
          <t>O</t>
        </is>
      </c>
      <c r="J280" s="104" t="n">
        <v>8</v>
      </c>
      <c r="K280" s="104" t="n">
        <v>9</v>
      </c>
      <c r="L280" s="104" t="n">
        <v>8</v>
      </c>
      <c r="M280" s="104" t="n">
        <v>10</v>
      </c>
      <c r="N280" s="104" t="n"/>
      <c r="O280" s="104">
        <f>SUM(J280:N280)</f>
        <v/>
      </c>
      <c r="P280" s="12">
        <f>O280/IF(H280="L",20,IF(H280="U",30,IF(H280="O",40,IF(H280="I",20,""))))</f>
        <v/>
      </c>
      <c r="Q280" s="132">
        <f>IF(AND(H280="L", P280&gt;=50%), "Pass",
IF(AND(H280="U", P280&gt;=60%), "Pass",
IF(AND(H280="O", P280&gt;=75%), "Pass", "Fail")))</f>
        <v/>
      </c>
      <c r="R280" s="104" t="n"/>
      <c r="S280" s="104" t="n">
        <v>15</v>
      </c>
      <c r="T280" s="104" t="n">
        <v>12</v>
      </c>
      <c r="U280" s="104">
        <f>SUM(S280:T280)</f>
        <v/>
      </c>
      <c r="V280" s="12">
        <f>U280/IF(H280="L",35,IF(H280="U",35,IF(H280="O",35,IF(H280="I",35,""))))</f>
        <v/>
      </c>
      <c r="W280" s="132">
        <f>IF(AND(H280="L", V280&gt;=50%), "Pass",
IF(AND(H280="U", V280&gt;=60%), "Pass",
IF(AND(H280="O", V280&gt;=75%), "Pass", "Fail")))</f>
        <v/>
      </c>
      <c r="X280" s="132">
        <f>IF(AND(Q280="Pass", W280="Pass"), "Pass", "Fail")</f>
        <v/>
      </c>
      <c r="Y280" s="15">
        <f>IF($X280="Pass",$H280,
IF(H280="L","I",
IF(H280="U","L",
IF(H280="O","U",
"I"))))</f>
        <v/>
      </c>
      <c r="Z280" s="82" t="n"/>
    </row>
    <row r="281">
      <c r="A281" s="147">
        <f>ROW()-2</f>
        <v/>
      </c>
      <c r="B281" s="127" t="n">
        <v>900589</v>
      </c>
      <c r="C281" s="128" t="inlineStr">
        <is>
          <t>STALIN C</t>
        </is>
      </c>
      <c r="D281" s="127" t="inlineStr">
        <is>
          <t>PRODUCTION</t>
        </is>
      </c>
      <c r="E281" s="129" t="inlineStr">
        <is>
          <t>TYRE CURING</t>
        </is>
      </c>
      <c r="F281" s="130" t="n">
        <v>41365</v>
      </c>
      <c r="G281" s="131">
        <f>NOW()-F281</f>
        <v/>
      </c>
      <c r="H281" s="104" t="inlineStr">
        <is>
          <t>O</t>
        </is>
      </c>
      <c r="I281" s="104" t="inlineStr">
        <is>
          <t>O</t>
        </is>
      </c>
      <c r="J281" s="104" t="n">
        <v>7</v>
      </c>
      <c r="K281" s="104" t="n">
        <v>9</v>
      </c>
      <c r="L281" s="104" t="n">
        <v>7</v>
      </c>
      <c r="M281" s="104" t="n">
        <v>6</v>
      </c>
      <c r="N281" s="104" t="n"/>
      <c r="O281" s="104">
        <f>SUM(J281:N281)</f>
        <v/>
      </c>
      <c r="P281" s="12">
        <f>O281/IF(H281="L",20,IF(H281="U",30,IF(H281="O",40,IF(H281="I",20,""))))</f>
        <v/>
      </c>
      <c r="Q281" s="132">
        <f>IF(AND(H281="L", P281&gt;=50%), "Pass",
IF(AND(H281="U", P281&gt;=60%), "Pass",
IF(AND(H281="O", P281&gt;=75%), "Pass", "Fail")))</f>
        <v/>
      </c>
      <c r="R281" s="104" t="n"/>
      <c r="S281" s="104" t="n">
        <v>13</v>
      </c>
      <c r="T281" s="104" t="n">
        <v>11</v>
      </c>
      <c r="U281" s="104">
        <f>SUM(S281:T281)</f>
        <v/>
      </c>
      <c r="V281" s="12">
        <f>U281/IF(H281="L",35,IF(H281="U",35,IF(H281="O",35,IF(H281="I",35,""))))</f>
        <v/>
      </c>
      <c r="W281" s="132">
        <f>IF(AND(H281="L", V281&gt;=50%), "Pass",
IF(AND(H281="U", V281&gt;=60%), "Pass",
IF(AND(H281="O", V281&gt;=75%), "Pass", "Fail")))</f>
        <v/>
      </c>
      <c r="X281" s="132">
        <f>IF(AND(Q281="Pass", W281="Pass"), "Pass", "Fail")</f>
        <v/>
      </c>
      <c r="Y281" s="15">
        <f>IF($X281="Pass",$H281,
IF(H281="L","I",
IF(H281="U","L",
IF(H281="O","U",
"I"))))</f>
        <v/>
      </c>
    </row>
    <row r="282">
      <c r="A282" s="147">
        <f>ROW()-2</f>
        <v/>
      </c>
      <c r="B282" s="127" t="n">
        <v>900590</v>
      </c>
      <c r="C282" s="128" t="inlineStr">
        <is>
          <t>ARUMUGAKANI R</t>
        </is>
      </c>
      <c r="D282" s="127" t="inlineStr">
        <is>
          <t>PRODUCTION</t>
        </is>
      </c>
      <c r="E282" s="129" t="inlineStr">
        <is>
          <t>TYRE CURING</t>
        </is>
      </c>
      <c r="F282" s="130" t="n">
        <v>41365</v>
      </c>
      <c r="G282" s="131">
        <f>NOW()-F282</f>
        <v/>
      </c>
      <c r="H282" s="104" t="inlineStr">
        <is>
          <t>O</t>
        </is>
      </c>
      <c r="I282" s="104" t="inlineStr">
        <is>
          <t>O</t>
        </is>
      </c>
      <c r="J282" s="104" t="n">
        <v>9</v>
      </c>
      <c r="K282" s="104" t="n">
        <v>9</v>
      </c>
      <c r="L282" s="104" t="n">
        <v>8</v>
      </c>
      <c r="M282" s="104" t="n">
        <v>9</v>
      </c>
      <c r="N282" s="104" t="n"/>
      <c r="O282" s="104">
        <f>SUM(J282:N282)</f>
        <v/>
      </c>
      <c r="P282" s="12">
        <f>O282/IF(H282="L",20,IF(H282="U",30,IF(H282="O",40,IF(H282="I",20,""))))</f>
        <v/>
      </c>
      <c r="Q282" s="132">
        <f>IF(AND(H282="L", P282&gt;=50%), "Pass",
IF(AND(H282="U", P282&gt;=60%), "Pass",
IF(AND(H282="O", P282&gt;=75%), "Pass", "Fail")))</f>
        <v/>
      </c>
      <c r="R282" s="104" t="n"/>
      <c r="S282" s="104" t="n">
        <v>18</v>
      </c>
      <c r="T282" s="104" t="n">
        <v>13</v>
      </c>
      <c r="U282" s="104">
        <f>SUM(S282:T282)</f>
        <v/>
      </c>
      <c r="V282" s="12">
        <f>U282/IF(H282="L",35,IF(H282="U",35,IF(H282="O",35,IF(H282="I",35,""))))</f>
        <v/>
      </c>
      <c r="W282" s="132">
        <f>IF(AND(H282="L", V282&gt;=50%), "Pass",
IF(AND(H282="U", V282&gt;=60%), "Pass",
IF(AND(H282="O", V282&gt;=75%), "Pass", "Fail")))</f>
        <v/>
      </c>
      <c r="X282" s="132">
        <f>IF(AND(Q282="Pass", W282="Pass"), "Pass", "Fail")</f>
        <v/>
      </c>
      <c r="Y282" s="15">
        <f>IF($X282="Pass",$H282,
IF(H282="L","I",
IF(H282="U","L",
IF(H282="O","U",
"I"))))</f>
        <v/>
      </c>
      <c r="Z282" s="82" t="n"/>
    </row>
    <row r="283">
      <c r="A283" s="147">
        <f>ROW()-2</f>
        <v/>
      </c>
      <c r="B283" s="127" t="n">
        <v>900591</v>
      </c>
      <c r="C283" s="128" t="inlineStr">
        <is>
          <t>DURAI RAJ A</t>
        </is>
      </c>
      <c r="D283" s="127" t="inlineStr">
        <is>
          <t>PRODUCTION</t>
        </is>
      </c>
      <c r="E283" s="129" t="inlineStr">
        <is>
          <t>TYRE CURING</t>
        </is>
      </c>
      <c r="F283" s="130" t="n">
        <v>41365</v>
      </c>
      <c r="G283" s="131">
        <f>NOW()-F283</f>
        <v/>
      </c>
      <c r="H283" s="104" t="inlineStr">
        <is>
          <t>O</t>
        </is>
      </c>
      <c r="I283" s="104" t="inlineStr">
        <is>
          <t>O</t>
        </is>
      </c>
      <c r="J283" s="104" t="n">
        <v>7</v>
      </c>
      <c r="K283" s="104" t="n">
        <v>9</v>
      </c>
      <c r="L283" s="104" t="n">
        <v>8</v>
      </c>
      <c r="M283" s="104" t="n">
        <v>9</v>
      </c>
      <c r="N283" s="104" t="n"/>
      <c r="O283" s="104">
        <f>SUM(J283:N283)</f>
        <v/>
      </c>
      <c r="P283" s="12">
        <f>O283/IF(H283="L",20,IF(H283="U",30,IF(H283="O",40,IF(H283="I",20,""))))</f>
        <v/>
      </c>
      <c r="Q283" s="132">
        <f>IF(AND(H283="L", P283&gt;=50%), "Pass",
IF(AND(H283="U", P283&gt;=60%), "Pass",
IF(AND(H283="O", P283&gt;=75%), "Pass", "Fail")))</f>
        <v/>
      </c>
      <c r="R283" s="104" t="n"/>
      <c r="S283" s="104" t="n">
        <v>13</v>
      </c>
      <c r="T283" s="104" t="n">
        <v>11</v>
      </c>
      <c r="U283" s="104">
        <f>SUM(S283:T283)</f>
        <v/>
      </c>
      <c r="V283" s="12">
        <f>U283/IF(H283="L",35,IF(H283="U",35,IF(H283="O",35,IF(H283="I",35,""))))</f>
        <v/>
      </c>
      <c r="W283" s="132">
        <f>IF(AND(H283="L", V283&gt;=50%), "Pass",
IF(AND(H283="U", V283&gt;=60%), "Pass",
IF(AND(H283="O", V283&gt;=75%), "Pass", "Fail")))</f>
        <v/>
      </c>
      <c r="X283" s="132">
        <f>IF(AND(Q283="Pass", W283="Pass"), "Pass", "Fail")</f>
        <v/>
      </c>
      <c r="Y283" s="15">
        <f>IF($X283="Pass",$H283,
IF(H283="L","I",
IF(H283="U","L",
IF(H283="O","U",
"I"))))</f>
        <v/>
      </c>
    </row>
    <row r="284">
      <c r="A284" s="147">
        <f>ROW()-2</f>
        <v/>
      </c>
      <c r="B284" s="127" t="n">
        <v>900592</v>
      </c>
      <c r="C284" s="128" t="inlineStr">
        <is>
          <t>MUTHU KUMAR S</t>
        </is>
      </c>
      <c r="D284" s="127" t="inlineStr">
        <is>
          <t>PRODUCTION</t>
        </is>
      </c>
      <c r="E284" s="129" t="inlineStr">
        <is>
          <t>TYRE CURING</t>
        </is>
      </c>
      <c r="F284" s="130" t="n">
        <v>41365</v>
      </c>
      <c r="G284" s="131">
        <f>NOW()-F284</f>
        <v/>
      </c>
      <c r="H284" s="104" t="inlineStr">
        <is>
          <t>O</t>
        </is>
      </c>
      <c r="I284" s="104" t="inlineStr">
        <is>
          <t>O</t>
        </is>
      </c>
      <c r="J284" s="104" t="n">
        <v>10</v>
      </c>
      <c r="K284" s="104" t="n">
        <v>9</v>
      </c>
      <c r="L284" s="104" t="n">
        <v>8</v>
      </c>
      <c r="M284" s="104" t="n">
        <v>8</v>
      </c>
      <c r="N284" s="104" t="n"/>
      <c r="O284" s="104">
        <f>SUM(J284:N284)</f>
        <v/>
      </c>
      <c r="P284" s="12">
        <f>O284/IF(H284="L",20,IF(H284="U",30,IF(H284="O",40,IF(H284="I",20,""))))</f>
        <v/>
      </c>
      <c r="Q284" s="132">
        <f>IF(AND(H284="L", P284&gt;=50%), "Pass",
IF(AND(H284="U", P284&gt;=60%), "Pass",
IF(AND(H284="O", P284&gt;=75%), "Pass", "Fail")))</f>
        <v/>
      </c>
      <c r="R284" s="104" t="n"/>
      <c r="S284" s="104" t="n">
        <v>15</v>
      </c>
      <c r="T284" s="104" t="n">
        <v>12</v>
      </c>
      <c r="U284" s="104">
        <f>SUM(S284:T284)</f>
        <v/>
      </c>
      <c r="V284" s="12">
        <f>U284/IF(H284="L",35,IF(H284="U",35,IF(H284="O",35,IF(H284="I",35,""))))</f>
        <v/>
      </c>
      <c r="W284" s="132">
        <f>IF(AND(H284="L", V284&gt;=50%), "Pass",
IF(AND(H284="U", V284&gt;=60%), "Pass",
IF(AND(H284="O", V284&gt;=75%), "Pass", "Fail")))</f>
        <v/>
      </c>
      <c r="X284" s="132">
        <f>IF(AND(Q284="Pass", W284="Pass"), "Pass", "Fail")</f>
        <v/>
      </c>
      <c r="Y284" s="15">
        <f>IF($X284="Pass",$H284,
IF(H284="L","I",
IF(H284="U","L",
IF(H284="O","U",
"I"))))</f>
        <v/>
      </c>
    </row>
    <row r="285">
      <c r="A285" s="147">
        <f>ROW()-2</f>
        <v/>
      </c>
      <c r="B285" s="127" t="n">
        <v>900593</v>
      </c>
      <c r="C285" s="128" t="inlineStr">
        <is>
          <t>BALAKRISHNAN N</t>
        </is>
      </c>
      <c r="D285" s="127" t="inlineStr">
        <is>
          <t>PRODUCTION</t>
        </is>
      </c>
      <c r="E285" s="129" t="inlineStr">
        <is>
          <t>TYRE CURING</t>
        </is>
      </c>
      <c r="F285" s="130" t="n">
        <v>41365</v>
      </c>
      <c r="G285" s="131">
        <f>NOW()-F285</f>
        <v/>
      </c>
      <c r="H285" s="104" t="inlineStr">
        <is>
          <t>O</t>
        </is>
      </c>
      <c r="I285" s="104" t="inlineStr">
        <is>
          <t>O</t>
        </is>
      </c>
      <c r="J285" s="104" t="n">
        <v>10</v>
      </c>
      <c r="K285" s="104" t="n">
        <v>9</v>
      </c>
      <c r="L285" s="104" t="n">
        <v>9</v>
      </c>
      <c r="M285" s="104" t="n">
        <v>8</v>
      </c>
      <c r="N285" s="104" t="n"/>
      <c r="O285" s="104">
        <f>SUM(J285:N285)</f>
        <v/>
      </c>
      <c r="P285" s="12">
        <f>O285/IF(H285="L",20,IF(H285="U",30,IF(H285="O",40,IF(H285="I",20,""))))</f>
        <v/>
      </c>
      <c r="Q285" s="132">
        <f>IF(AND(H285="L", P285&gt;=50%), "Pass",
IF(AND(H285="U", P285&gt;=60%), "Pass",
IF(AND(H285="O", P285&gt;=75%), "Pass", "Fail")))</f>
        <v/>
      </c>
      <c r="R285" s="104" t="n"/>
      <c r="S285" s="104" t="n">
        <v>14</v>
      </c>
      <c r="T285" s="104" t="n">
        <v>13</v>
      </c>
      <c r="U285" s="104">
        <f>SUM(S285:T285)</f>
        <v/>
      </c>
      <c r="V285" s="12">
        <f>U285/IF(H285="L",35,IF(H285="U",35,IF(H285="O",35,IF(H285="I",35,""))))</f>
        <v/>
      </c>
      <c r="W285" s="132">
        <f>IF(AND(H285="L", V285&gt;=50%), "Pass",
IF(AND(H285="U", V285&gt;=60%), "Pass",
IF(AND(H285="O", V285&gt;=75%), "Pass", "Fail")))</f>
        <v/>
      </c>
      <c r="X285" s="132">
        <f>IF(AND(Q285="Pass", W285="Pass"), "Pass", "Fail")</f>
        <v/>
      </c>
      <c r="Y285" s="15">
        <f>IF($X285="Pass",$H285,
IF(H285="L","I",
IF(H285="U","L",
IF(H285="O","U",
"I"))))</f>
        <v/>
      </c>
    </row>
    <row r="286">
      <c r="A286" s="147">
        <f>ROW()-2</f>
        <v/>
      </c>
      <c r="B286" s="127" t="n">
        <v>900594</v>
      </c>
      <c r="C286" s="128" t="inlineStr">
        <is>
          <t>BIKASH CHANDRA PARIDA</t>
        </is>
      </c>
      <c r="D286" s="127" t="inlineStr">
        <is>
          <t>PRODUCTION</t>
        </is>
      </c>
      <c r="E286" s="129" t="inlineStr">
        <is>
          <t>TYRE CURING</t>
        </is>
      </c>
      <c r="F286" s="130" t="n">
        <v>41365</v>
      </c>
      <c r="G286" s="131">
        <f>NOW()-F286</f>
        <v/>
      </c>
      <c r="H286" s="104" t="inlineStr">
        <is>
          <t>O</t>
        </is>
      </c>
      <c r="I286" s="104" t="inlineStr">
        <is>
          <t>O</t>
        </is>
      </c>
      <c r="J286" s="104" t="n">
        <v>10</v>
      </c>
      <c r="K286" s="104" t="n">
        <v>9</v>
      </c>
      <c r="L286" s="104" t="n">
        <v>9</v>
      </c>
      <c r="M286" s="104" t="n">
        <v>8</v>
      </c>
      <c r="N286" s="104" t="n"/>
      <c r="O286" s="104">
        <f>SUM(J286:N286)</f>
        <v/>
      </c>
      <c r="P286" s="12">
        <f>O286/IF(H286="L",20,IF(H286="U",30,IF(H286="O",40,IF(H286="I",20,""))))</f>
        <v/>
      </c>
      <c r="Q286" s="132">
        <f>IF(AND(H286="L", P286&gt;=50%), "Pass",
IF(AND(H286="U", P286&gt;=60%), "Pass",
IF(AND(H286="O", P286&gt;=75%), "Pass", "Fail")))</f>
        <v/>
      </c>
      <c r="R286" s="104" t="n"/>
      <c r="S286" s="104" t="n">
        <v>18</v>
      </c>
      <c r="T286" s="104" t="n">
        <v>11</v>
      </c>
      <c r="U286" s="104">
        <f>SUM(S286:T286)</f>
        <v/>
      </c>
      <c r="V286" s="12">
        <f>U286/IF(H286="L",35,IF(H286="U",35,IF(H286="O",35,IF(H286="I",35,""))))</f>
        <v/>
      </c>
      <c r="W286" s="132">
        <f>IF(AND(H286="L", V286&gt;=50%), "Pass",
IF(AND(H286="U", V286&gt;=60%), "Pass",
IF(AND(H286="O", V286&gt;=75%), "Pass", "Fail")))</f>
        <v/>
      </c>
      <c r="X286" s="132">
        <f>IF(AND(Q286="Pass", W286="Pass"), "Pass", "Fail")</f>
        <v/>
      </c>
      <c r="Y286" s="15">
        <f>IF($X286="Pass",$H286,
IF(H286="L","I",
IF(H286="U","L",
IF(H286="O","U",
"I"))))</f>
        <v/>
      </c>
      <c r="Z286" s="82" t="n"/>
    </row>
    <row r="287">
      <c r="A287" s="147">
        <f>ROW()-2</f>
        <v/>
      </c>
      <c r="B287" s="127" t="n">
        <v>900605</v>
      </c>
      <c r="C287" s="128" t="inlineStr">
        <is>
          <t>AMANT KUMAR</t>
        </is>
      </c>
      <c r="D287" s="127" t="inlineStr">
        <is>
          <t>PRODUCTION</t>
        </is>
      </c>
      <c r="E287" s="129" t="inlineStr">
        <is>
          <t>TYRE BUILDING-P1</t>
        </is>
      </c>
      <c r="F287" s="130" t="n">
        <v>41365</v>
      </c>
      <c r="G287" s="131">
        <f>NOW()-F287</f>
        <v/>
      </c>
      <c r="H287" s="104" t="inlineStr">
        <is>
          <t>O</t>
        </is>
      </c>
      <c r="I287" s="104" t="inlineStr">
        <is>
          <t>U</t>
        </is>
      </c>
      <c r="J287" s="104" t="n">
        <v>10</v>
      </c>
      <c r="K287" s="104" t="n">
        <v>10</v>
      </c>
      <c r="L287" s="104" t="n">
        <v>9</v>
      </c>
      <c r="M287" s="104" t="n">
        <v>8</v>
      </c>
      <c r="N287" s="104" t="n"/>
      <c r="O287" s="104">
        <f>SUM(J287:N287)</f>
        <v/>
      </c>
      <c r="P287" s="12">
        <f>O287/IF(H287="L",20,IF(H287="U",30,IF(H287="O",40,IF(H287="I",20,""))))</f>
        <v/>
      </c>
      <c r="Q287" s="132">
        <f>IF(AND(H287="L", P287&gt;=50%), "Pass",
IF(AND(H287="U", P287&gt;=60%), "Pass",
IF(AND(H287="O", P287&gt;=75%), "Pass", "Fail")))</f>
        <v/>
      </c>
      <c r="R287" s="104" t="n"/>
      <c r="S287" s="104" t="n">
        <v>12</v>
      </c>
      <c r="T287" s="104" t="n">
        <v>10</v>
      </c>
      <c r="U287" s="104">
        <f>SUM(S287:T287)</f>
        <v/>
      </c>
      <c r="V287" s="12">
        <f>U287/IF(H287="L",35,IF(H287="U",35,IF(H287="O",35,IF(H287="I",35,""))))</f>
        <v/>
      </c>
      <c r="W287" s="132">
        <f>IF(AND(H287="L", V287&gt;=50%), "Pass",
IF(AND(H287="U", V287&gt;=60%), "Pass",
IF(AND(H287="O", V287&gt;=75%), "Pass", "Fail")))</f>
        <v/>
      </c>
      <c r="X287" s="132">
        <f>IF(AND(Q287="Pass", W287="Pass"), "Pass", "Fail")</f>
        <v/>
      </c>
      <c r="Y287" s="15">
        <f>IF($X287="Pass",$H287,
IF(H287="L","I",
IF(H287="U","L",
IF(H287="O","U",
"I"))))</f>
        <v/>
      </c>
    </row>
    <row r="288">
      <c r="A288" s="147">
        <f>ROW()-2</f>
        <v/>
      </c>
      <c r="B288" s="133" t="inlineStr">
        <is>
          <t>PK0797</t>
        </is>
      </c>
      <c r="C288" s="148" t="inlineStr">
        <is>
          <t>GANESAN S</t>
        </is>
      </c>
      <c r="D288" s="127" t="inlineStr">
        <is>
          <t>PRODUCTION</t>
        </is>
      </c>
      <c r="E288" s="135" t="inlineStr">
        <is>
          <t>MIXING</t>
        </is>
      </c>
      <c r="F288" s="136" t="n">
        <v>41365</v>
      </c>
      <c r="G288" s="131">
        <f>NOW()-F288</f>
        <v/>
      </c>
      <c r="H288" s="104" t="inlineStr">
        <is>
          <t>O</t>
        </is>
      </c>
      <c r="I288" s="104" t="inlineStr">
        <is>
          <t>U</t>
        </is>
      </c>
      <c r="J288" s="104" t="inlineStr">
        <is>
          <t>NIL</t>
        </is>
      </c>
      <c r="K288" s="104" t="n"/>
      <c r="L288" s="104" t="n"/>
      <c r="M288" s="104" t="n"/>
      <c r="N288" s="104" t="n"/>
      <c r="O288" s="104" t="n"/>
      <c r="P288" s="12">
        <f>O288/IF(H288="L",20,IF(H288="U",30,IF(H288="O",40,IF(H288="I",20,""))))</f>
        <v/>
      </c>
      <c r="Q288" s="132">
        <f>IF(AND(H288="L", P288&gt;=50%), "Pass",
IF(AND(H288="U", P288&gt;=60%), "Pass",
IF(AND(H288="O", P288&gt;=75%), "Pass", "Fail")))</f>
        <v/>
      </c>
      <c r="R288" s="104" t="n"/>
      <c r="S288" s="104" t="n">
        <v>14</v>
      </c>
      <c r="T288" s="104" t="n">
        <v>12</v>
      </c>
      <c r="U288" s="104">
        <f>SUM(S288:T288)</f>
        <v/>
      </c>
      <c r="V288" s="12">
        <f>U288/IF(H288="L",35,IF(H288="U",35,IF(H288="O",35,IF(H288="I",35,""))))</f>
        <v/>
      </c>
      <c r="W288" s="132">
        <f>IF(AND(H288="L", V288&gt;=50%), "Pass",
IF(AND(H288="U", V288&gt;=60%), "Pass",
IF(AND(H288="O", V288&gt;=75%), "Pass", "Fail")))</f>
        <v/>
      </c>
      <c r="X288" s="132">
        <f>IF(AND(Q288="Pass", W288="Pass"), "Pass", "Fail")</f>
        <v/>
      </c>
      <c r="Y288" s="15">
        <f>IF($X288="Pass",$H288,
IF(H288="L","I",
IF(H288="U","L",
IF(H288="O","U",
"I"))))</f>
        <v/>
      </c>
    </row>
    <row r="289">
      <c r="A289" s="147">
        <f>ROW()-2</f>
        <v/>
      </c>
      <c r="B289" s="127" t="inlineStr">
        <is>
          <t>PK0800</t>
        </is>
      </c>
      <c r="C289" s="128" t="inlineStr">
        <is>
          <t>NARAYANAN K</t>
        </is>
      </c>
      <c r="D289" s="127" t="inlineStr">
        <is>
          <t>PRODUCTION</t>
        </is>
      </c>
      <c r="E289" s="129" t="inlineStr">
        <is>
          <t>TYRE CURING</t>
        </is>
      </c>
      <c r="F289" s="130" t="n">
        <v>41378</v>
      </c>
      <c r="G289" s="131">
        <f>NOW()-F289</f>
        <v/>
      </c>
      <c r="H289" s="104" t="inlineStr">
        <is>
          <t>O</t>
        </is>
      </c>
      <c r="I289" s="104" t="inlineStr">
        <is>
          <t>O</t>
        </is>
      </c>
      <c r="J289" s="104" t="n">
        <v>9</v>
      </c>
      <c r="K289" s="104" t="n">
        <v>9</v>
      </c>
      <c r="L289" s="104" t="n">
        <v>8</v>
      </c>
      <c r="M289" s="104" t="n">
        <v>7</v>
      </c>
      <c r="N289" s="104" t="n"/>
      <c r="O289" s="104">
        <f>SUM(J289:N289)</f>
        <v/>
      </c>
      <c r="P289" s="12">
        <f>O289/IF(H289="L",20,IF(H289="U",30,IF(H289="O",40,IF(H289="I",20,""))))</f>
        <v/>
      </c>
      <c r="Q289" s="132">
        <f>IF(AND(H289="L", P289&gt;=50%), "Pass",
IF(AND(H289="U", P289&gt;=60%), "Pass",
IF(AND(H289="O", P289&gt;=75%), "Pass", "Fail")))</f>
        <v/>
      </c>
      <c r="R289" s="104" t="n"/>
      <c r="S289" s="104" t="n">
        <v>14</v>
      </c>
      <c r="T289" s="104" t="n">
        <v>13</v>
      </c>
      <c r="U289" s="104">
        <f>SUM(S289:T289)</f>
        <v/>
      </c>
      <c r="V289" s="12">
        <f>U289/IF(H289="L",35,IF(H289="U",35,IF(H289="O",35,IF(H289="I",35,""))))</f>
        <v/>
      </c>
      <c r="W289" s="132">
        <f>IF(AND(H289="L", V289&gt;=50%), "Pass",
IF(AND(H289="U", V289&gt;=60%), "Pass",
IF(AND(H289="O", V289&gt;=75%), "Pass", "Fail")))</f>
        <v/>
      </c>
      <c r="X289" s="132">
        <f>IF(AND(Q289="Pass", W289="Pass"), "Pass", "Fail")</f>
        <v/>
      </c>
      <c r="Y289" s="15">
        <f>IF($X289="Pass",$H289,
IF(H289="L","I",
IF(H289="U","L",
IF(H289="O","U",
"I"))))</f>
        <v/>
      </c>
    </row>
    <row r="290">
      <c r="A290" s="147">
        <f>ROW()-2</f>
        <v/>
      </c>
      <c r="B290" s="127" t="inlineStr">
        <is>
          <t>AK0171</t>
        </is>
      </c>
      <c r="C290" s="128" t="inlineStr">
        <is>
          <t>JOHNSON S</t>
        </is>
      </c>
      <c r="D290" s="127" t="inlineStr">
        <is>
          <t>PRODUCTION</t>
        </is>
      </c>
      <c r="E290" s="129" t="inlineStr">
        <is>
          <t>TYRE BUILDING-P3</t>
        </is>
      </c>
      <c r="F290" s="130" t="n">
        <v>41382</v>
      </c>
      <c r="G290" s="131">
        <f>NOW()-F290</f>
        <v/>
      </c>
      <c r="H290" s="104" t="inlineStr">
        <is>
          <t>O</t>
        </is>
      </c>
      <c r="I290" s="104" t="inlineStr">
        <is>
          <t>O</t>
        </is>
      </c>
      <c r="J290" s="104" t="n">
        <v>10</v>
      </c>
      <c r="K290" s="104" t="n">
        <v>10</v>
      </c>
      <c r="L290" s="104" t="n">
        <v>8</v>
      </c>
      <c r="M290" s="104" t="n">
        <v>9</v>
      </c>
      <c r="N290" s="104" t="n"/>
      <c r="O290" s="104">
        <f>SUM(J290:N290)</f>
        <v/>
      </c>
      <c r="P290" s="12">
        <f>O290/IF(H290="L",20,IF(H290="U",30,IF(H290="O",40,IF(H290="I",20,""))))</f>
        <v/>
      </c>
      <c r="Q290" s="132">
        <f>IF(AND(H290="L", P290&gt;=50%), "Pass",
IF(AND(H290="U", P290&gt;=60%), "Pass",
IF(AND(H290="O", P290&gt;=75%), "Pass", "Fail")))</f>
        <v/>
      </c>
      <c r="R290" s="104" t="n"/>
      <c r="S290" s="104" t="n">
        <v>19</v>
      </c>
      <c r="T290" s="104" t="n">
        <v>15</v>
      </c>
      <c r="U290" s="104">
        <f>SUM(S290:T290)</f>
        <v/>
      </c>
      <c r="V290" s="12">
        <f>U290/IF(H290="L",35,IF(H290="U",35,IF(H290="O",35,IF(H290="I",35,""))))</f>
        <v/>
      </c>
      <c r="W290" s="132">
        <f>IF(AND(H290="L", V290&gt;=50%), "Pass",
IF(AND(H290="U", V290&gt;=60%), "Pass",
IF(AND(H290="O", V290&gt;=75%), "Pass", "Fail")))</f>
        <v/>
      </c>
      <c r="X290" s="132">
        <f>IF(AND(Q290="Pass", W290="Pass"), "Pass", "Fail")</f>
        <v/>
      </c>
      <c r="Y290" s="15">
        <f>IF($X290="Pass",$H290,
IF(H290="L","I",
IF(H290="U","L",
IF(H290="O","U",
"I"))))</f>
        <v/>
      </c>
    </row>
    <row r="291">
      <c r="A291" s="147">
        <f>ROW()-2</f>
        <v/>
      </c>
      <c r="B291" s="127" t="inlineStr">
        <is>
          <t>PK0664</t>
        </is>
      </c>
      <c r="C291" s="128" t="inlineStr">
        <is>
          <t>SANTHANA KRISHNAN M</t>
        </is>
      </c>
      <c r="D291" s="127" t="inlineStr">
        <is>
          <t>PRODUCTION</t>
        </is>
      </c>
      <c r="E291" s="129" t="inlineStr">
        <is>
          <t>EXTRUDER</t>
        </is>
      </c>
      <c r="F291" s="130" t="n">
        <v>41382</v>
      </c>
      <c r="G291" s="131">
        <f>NOW()-F291</f>
        <v/>
      </c>
      <c r="H291" s="104" t="inlineStr">
        <is>
          <t>O</t>
        </is>
      </c>
      <c r="I291" s="104" t="inlineStr">
        <is>
          <t>U</t>
        </is>
      </c>
      <c r="J291" s="104" t="n">
        <v>7</v>
      </c>
      <c r="K291" s="104" t="n">
        <v>8</v>
      </c>
      <c r="L291" s="104" t="n">
        <v>9</v>
      </c>
      <c r="M291" s="104" t="n">
        <v>9</v>
      </c>
      <c r="N291" s="104" t="n"/>
      <c r="O291" s="104">
        <f>SUM(J291:N291)</f>
        <v/>
      </c>
      <c r="P291" s="12">
        <f>O291/IF(H291="L",20,IF(H291="U",30,IF(H291="O",40,IF(H291="I",20,""))))</f>
        <v/>
      </c>
      <c r="Q291" s="132">
        <f>IF(AND(H291="L", P291&gt;=50%), "Pass",
IF(AND(H291="U", P291&gt;=60%), "Pass",
IF(AND(H291="O", P291&gt;=75%), "Pass", "Fail")))</f>
        <v/>
      </c>
      <c r="R291" s="104" t="n"/>
      <c r="S291" s="104" t="n">
        <v>14</v>
      </c>
      <c r="T291" s="104" t="n">
        <v>10</v>
      </c>
      <c r="U291" s="104">
        <f>SUM(S291:T291)</f>
        <v/>
      </c>
      <c r="V291" s="12">
        <f>U291/IF(H291="L",35,IF(H291="U",35,IF(H291="O",35,IF(H291="I",35,""))))</f>
        <v/>
      </c>
      <c r="W291" s="132">
        <f>IF(AND(H291="L", V291&gt;=50%), "Pass",
IF(AND(H291="U", V291&gt;=60%), "Pass",
IF(AND(H291="O", V291&gt;=75%), "Pass", "Fail")))</f>
        <v/>
      </c>
      <c r="X291" s="132">
        <f>IF(AND(Q291="Pass", W291="Pass"), "Pass", "Fail")</f>
        <v/>
      </c>
      <c r="Y291" s="15">
        <f>IF($X291="Pass",$H291,
IF(H291="L","I",
IF(H291="U","L",
IF(H291="O","U",
"I"))))</f>
        <v/>
      </c>
    </row>
    <row r="292">
      <c r="A292" s="147">
        <f>ROW()-2</f>
        <v/>
      </c>
      <c r="B292" s="133" t="inlineStr">
        <is>
          <t>SK2406</t>
        </is>
      </c>
      <c r="C292" s="148" t="inlineStr">
        <is>
          <t>ARUMUGAM M</t>
        </is>
      </c>
      <c r="D292" s="127" t="inlineStr">
        <is>
          <t>PRODUCTION</t>
        </is>
      </c>
      <c r="E292" s="135" t="inlineStr">
        <is>
          <t>MIXING</t>
        </is>
      </c>
      <c r="F292" s="136" t="n">
        <v>41387</v>
      </c>
      <c r="G292" s="131">
        <f>NOW()-F292</f>
        <v/>
      </c>
      <c r="H292" s="104" t="inlineStr">
        <is>
          <t>O</t>
        </is>
      </c>
      <c r="I292" s="104" t="inlineStr">
        <is>
          <t>U</t>
        </is>
      </c>
      <c r="J292" s="104" t="inlineStr">
        <is>
          <t>NIL</t>
        </is>
      </c>
      <c r="K292" s="104" t="n"/>
      <c r="L292" s="104" t="n"/>
      <c r="M292" s="104" t="n"/>
      <c r="N292" s="104" t="n"/>
      <c r="O292" s="104" t="n"/>
      <c r="P292" s="12">
        <f>O292/IF(H292="L",20,IF(H292="U",30,IF(H292="O",40,IF(H292="I",20,""))))</f>
        <v/>
      </c>
      <c r="Q292" s="132">
        <f>IF(AND(H292="L", P292&gt;=50%), "Pass",
IF(AND(H292="U", P292&gt;=60%), "Pass",
IF(AND(H292="O", P292&gt;=75%), "Pass", "Fail")))</f>
        <v/>
      </c>
      <c r="R292" s="104" t="n"/>
      <c r="S292" s="104" t="n">
        <v>14</v>
      </c>
      <c r="T292" s="104" t="n">
        <v>12</v>
      </c>
      <c r="U292" s="104">
        <f>SUM(S292:T292)</f>
        <v/>
      </c>
      <c r="V292" s="12">
        <f>U292/IF(H292="L",35,IF(H292="U",35,IF(H292="O",35,IF(H292="I",35,""))))</f>
        <v/>
      </c>
      <c r="W292" s="132">
        <f>IF(AND(H292="L", V292&gt;=50%), "Pass",
IF(AND(H292="U", V292&gt;=60%), "Pass",
IF(AND(H292="O", V292&gt;=75%), "Pass", "Fail")))</f>
        <v/>
      </c>
      <c r="X292" s="132">
        <f>IF(AND(Q292="Pass", W292="Pass"), "Pass", "Fail")</f>
        <v/>
      </c>
      <c r="Y292" s="15">
        <f>IF($X292="Pass",$H292,
IF(H292="L","I",
IF(H292="U","L",
IF(H292="O","U",
"I"))))</f>
        <v/>
      </c>
    </row>
    <row r="293">
      <c r="A293" s="147">
        <f>ROW()-2</f>
        <v/>
      </c>
      <c r="B293" s="127" t="inlineStr">
        <is>
          <t>PK0665</t>
        </is>
      </c>
      <c r="C293" s="128" t="inlineStr">
        <is>
          <t>NARAYANA DASS N</t>
        </is>
      </c>
      <c r="D293" s="127" t="inlineStr">
        <is>
          <t>PRODUCTION</t>
        </is>
      </c>
      <c r="E293" s="129" t="inlineStr">
        <is>
          <t>BEAD WINDING</t>
        </is>
      </c>
      <c r="F293" s="130" t="n">
        <v>41388</v>
      </c>
      <c r="G293" s="131">
        <f>NOW()-F293</f>
        <v/>
      </c>
      <c r="H293" s="104" t="inlineStr">
        <is>
          <t>O</t>
        </is>
      </c>
      <c r="I293" s="104" t="inlineStr">
        <is>
          <t>U</t>
        </is>
      </c>
      <c r="J293" s="104" t="n">
        <v>6</v>
      </c>
      <c r="K293" s="104" t="n">
        <v>5</v>
      </c>
      <c r="L293" s="104" t="n">
        <v>6</v>
      </c>
      <c r="M293" s="104" t="n">
        <v>9</v>
      </c>
      <c r="N293" s="104" t="n"/>
      <c r="O293" s="104">
        <f>SUM(J293:N293)</f>
        <v/>
      </c>
      <c r="P293" s="12">
        <f>O293/IF(H293="L",20,IF(H293="U",30,IF(H293="O",40,IF(H293="I",20,""))))</f>
        <v/>
      </c>
      <c r="Q293" s="132">
        <f>IF(AND(H293="L", P293&gt;=50%), "Pass",
IF(AND(H293="U", P293&gt;=60%), "Pass",
IF(AND(H293="O", P293&gt;=75%), "Pass", "Fail")))</f>
        <v/>
      </c>
      <c r="R293" s="104" t="n"/>
      <c r="S293" s="104" t="n">
        <v>13</v>
      </c>
      <c r="T293" s="104" t="n">
        <v>6</v>
      </c>
      <c r="U293" s="104">
        <f>SUM(S293:T293)</f>
        <v/>
      </c>
      <c r="V293" s="12">
        <f>U293/IF(H293="L",35,IF(H293="U",35,IF(H293="O",35,IF(H293="I",35,""))))</f>
        <v/>
      </c>
      <c r="W293" s="132">
        <f>IF(AND(H293="L", V293&gt;=50%), "Pass",
IF(AND(H293="U", V293&gt;=60%), "Pass",
IF(AND(H293="O", V293&gt;=75%), "Pass", "Fail")))</f>
        <v/>
      </c>
      <c r="X293" s="132">
        <f>IF(AND(Q293="Pass", W293="Pass"), "Pass", "Fail")</f>
        <v/>
      </c>
      <c r="Y293" s="15">
        <f>IF($X293="Pass",$H293,
IF(H293="L","I",
IF(H293="U","L",
IF(H293="O","U",
"I"))))</f>
        <v/>
      </c>
    </row>
    <row r="294">
      <c r="A294" s="147">
        <f>ROW()-2</f>
        <v/>
      </c>
      <c r="B294" s="127" t="inlineStr">
        <is>
          <t>AK0641</t>
        </is>
      </c>
      <c r="C294" s="128" t="inlineStr">
        <is>
          <t>SUBRAMANIAN K M</t>
        </is>
      </c>
      <c r="D294" s="127" t="inlineStr">
        <is>
          <t>PRODUCTION</t>
        </is>
      </c>
      <c r="E294" s="129" t="inlineStr">
        <is>
          <t>TYRE CURING</t>
        </is>
      </c>
      <c r="F294" s="130" t="n">
        <v>41396</v>
      </c>
      <c r="G294" s="131">
        <f>NOW()-F294</f>
        <v/>
      </c>
      <c r="H294" s="104" t="inlineStr">
        <is>
          <t>O</t>
        </is>
      </c>
      <c r="I294" s="104" t="inlineStr">
        <is>
          <t>O</t>
        </is>
      </c>
      <c r="J294" s="104" t="n">
        <v>6</v>
      </c>
      <c r="K294" s="104" t="n">
        <v>10</v>
      </c>
      <c r="L294" s="104" t="n">
        <v>8</v>
      </c>
      <c r="M294" s="104" t="n">
        <v>9</v>
      </c>
      <c r="N294" s="104" t="n"/>
      <c r="O294" s="104">
        <f>SUM(J294:N294)</f>
        <v/>
      </c>
      <c r="P294" s="12">
        <f>O294/IF(H294="L",20,IF(H294="U",30,IF(H294="O",40,IF(H294="I",20,""))))</f>
        <v/>
      </c>
      <c r="Q294" s="132">
        <f>IF(AND(H294="L", P294&gt;=50%), "Pass",
IF(AND(H294="U", P294&gt;=60%), "Pass",
IF(AND(H294="O", P294&gt;=75%), "Pass", "Fail")))</f>
        <v/>
      </c>
      <c r="R294" s="104" t="n"/>
      <c r="S294" s="104" t="n">
        <v>16</v>
      </c>
      <c r="T294" s="104" t="n">
        <v>13</v>
      </c>
      <c r="U294" s="104">
        <f>SUM(S294:T294)</f>
        <v/>
      </c>
      <c r="V294" s="12">
        <f>U294/IF(H294="L",35,IF(H294="U",35,IF(H294="O",35,IF(H294="I",35,""))))</f>
        <v/>
      </c>
      <c r="W294" s="132">
        <f>IF(AND(H294="L", V294&gt;=50%), "Pass",
IF(AND(H294="U", V294&gt;=60%), "Pass",
IF(AND(H294="O", V294&gt;=75%), "Pass", "Fail")))</f>
        <v/>
      </c>
      <c r="X294" s="132">
        <f>IF(AND(Q294="Pass", W294="Pass"), "Pass", "Fail")</f>
        <v/>
      </c>
      <c r="Y294" s="15">
        <f>IF($X294="Pass",$H294,
IF(H294="L","I",
IF(H294="U","L",
IF(H294="O","U",
"I"))))</f>
        <v/>
      </c>
    </row>
    <row r="295">
      <c r="A295" s="147">
        <f>ROW()-2</f>
        <v/>
      </c>
      <c r="B295" s="127" t="inlineStr">
        <is>
          <t>SR0012</t>
        </is>
      </c>
      <c r="C295" s="128" t="inlineStr">
        <is>
          <t>RAMESH P</t>
        </is>
      </c>
      <c r="D295" s="127" t="inlineStr">
        <is>
          <t>PRODUCTION</t>
        </is>
      </c>
      <c r="E295" s="129" t="inlineStr">
        <is>
          <t>BIAS CUTTING-5</t>
        </is>
      </c>
      <c r="F295" s="130" t="n">
        <v>41396</v>
      </c>
      <c r="G295" s="131">
        <f>NOW()-F295</f>
        <v/>
      </c>
      <c r="H295" s="104" t="inlineStr">
        <is>
          <t>O</t>
        </is>
      </c>
      <c r="I295" s="104" t="inlineStr">
        <is>
          <t>U</t>
        </is>
      </c>
      <c r="J295" s="104" t="n">
        <v>7</v>
      </c>
      <c r="K295" s="104" t="n">
        <v>8</v>
      </c>
      <c r="L295" s="104" t="n">
        <v>7</v>
      </c>
      <c r="M295" s="104" t="n">
        <v>8</v>
      </c>
      <c r="N295" s="104" t="n"/>
      <c r="O295" s="104">
        <f>SUM(J295:N295)</f>
        <v/>
      </c>
      <c r="P295" s="12">
        <f>O295/IF(H295="L",20,IF(H295="U",30,IF(H295="O",40,IF(H295="I",20,""))))</f>
        <v/>
      </c>
      <c r="Q295" s="132">
        <f>IF(AND(H295="L", P295&gt;=50%), "Pass",
IF(AND(H295="U", P295&gt;=60%), "Pass",
IF(AND(H295="O", P295&gt;=75%), "Pass", "Fail")))</f>
        <v/>
      </c>
      <c r="R295" s="104" t="n"/>
      <c r="S295" s="104" t="n">
        <v>12</v>
      </c>
      <c r="T295" s="104" t="n">
        <v>8</v>
      </c>
      <c r="U295" s="104">
        <f>SUM(S295:T295)</f>
        <v/>
      </c>
      <c r="V295" s="12">
        <f>U295/IF(H295="L",35,IF(H295="U",35,IF(H295="O",35,IF(H295="I",35,""))))</f>
        <v/>
      </c>
      <c r="W295" s="132">
        <f>IF(AND(H295="L", V295&gt;=50%), "Pass",
IF(AND(H295="U", V295&gt;=60%), "Pass",
IF(AND(H295="O", V295&gt;=75%), "Pass", "Fail")))</f>
        <v/>
      </c>
      <c r="X295" s="132">
        <f>IF(AND(Q295="Pass", W295="Pass"), "Pass", "Fail")</f>
        <v/>
      </c>
      <c r="Y295" s="15">
        <f>IF($X295="Pass",$H295,
IF(H295="L","I",
IF(H295="U","L",
IF(H295="O","U",
"I"))))</f>
        <v/>
      </c>
    </row>
    <row r="296">
      <c r="A296" s="147">
        <f>ROW()-2</f>
        <v/>
      </c>
      <c r="B296" s="127" t="inlineStr">
        <is>
          <t>SK2011</t>
        </is>
      </c>
      <c r="C296" s="128" t="inlineStr">
        <is>
          <t>MUTHU KUMAR S</t>
        </is>
      </c>
      <c r="D296" s="127" t="inlineStr">
        <is>
          <t>PRODUCTION</t>
        </is>
      </c>
      <c r="E296" s="129" t="inlineStr">
        <is>
          <t>BAND BUILDING-P1</t>
        </is>
      </c>
      <c r="F296" s="130" t="n">
        <v>41398</v>
      </c>
      <c r="G296" s="131">
        <f>NOW()-F296</f>
        <v/>
      </c>
      <c r="H296" s="104" t="inlineStr">
        <is>
          <t>O</t>
        </is>
      </c>
      <c r="I296" s="104" t="inlineStr">
        <is>
          <t>U</t>
        </is>
      </c>
      <c r="J296" s="104" t="n">
        <v>7</v>
      </c>
      <c r="K296" s="104" t="n">
        <v>6</v>
      </c>
      <c r="L296" s="104" t="n">
        <v>5</v>
      </c>
      <c r="M296" s="104" t="n">
        <v>6</v>
      </c>
      <c r="N296" s="104" t="n"/>
      <c r="O296" s="104">
        <f>SUM(J296:N296)</f>
        <v/>
      </c>
      <c r="P296" s="12">
        <f>O296/IF(H296="L",20,IF(H296="U",30,IF(H296="O",40,IF(H296="I",20,""))))</f>
        <v/>
      </c>
      <c r="Q296" s="132">
        <f>IF(AND(H296="L", P296&gt;=50%), "Pass",
IF(AND(H296="U", P296&gt;=60%), "Pass",
IF(AND(H296="O", P296&gt;=75%), "Pass", "Fail")))</f>
        <v/>
      </c>
      <c r="R296" s="104" t="n"/>
      <c r="S296" s="104" t="n">
        <v>17</v>
      </c>
      <c r="T296" s="104" t="n">
        <v>6</v>
      </c>
      <c r="U296" s="104">
        <f>SUM(S296:T296)</f>
        <v/>
      </c>
      <c r="V296" s="12">
        <f>U296/IF(H296="L",35,IF(H296="U",35,IF(H296="O",35,IF(H296="I",35,""))))</f>
        <v/>
      </c>
      <c r="W296" s="132">
        <f>IF(AND(H296="L", V296&gt;=50%), "Pass",
IF(AND(H296="U", V296&gt;=60%), "Pass",
IF(AND(H296="O", V296&gt;=75%), "Pass", "Fail")))</f>
        <v/>
      </c>
      <c r="X296" s="132">
        <f>IF(AND(Q296="Pass", W296="Pass"), "Pass", "Fail")</f>
        <v/>
      </c>
      <c r="Y296" s="15">
        <f>IF($X296="Pass",$H296,
IF(H296="L","I",
IF(H296="U","L",
IF(H296="O","U",
"I"))))</f>
        <v/>
      </c>
    </row>
    <row r="297">
      <c r="A297" s="147">
        <f>ROW()-2</f>
        <v/>
      </c>
      <c r="B297" s="127" t="inlineStr">
        <is>
          <t>SR0024</t>
        </is>
      </c>
      <c r="C297" s="128" t="inlineStr">
        <is>
          <t>SATHEES KUMAR A</t>
        </is>
      </c>
      <c r="D297" s="127" t="inlineStr">
        <is>
          <t>PRODUCTION</t>
        </is>
      </c>
      <c r="E297" s="129" t="inlineStr">
        <is>
          <t>BAND BUILDING-P3</t>
        </is>
      </c>
      <c r="F297" s="130" t="n">
        <v>41409</v>
      </c>
      <c r="G297" s="131">
        <f>NOW()-F297</f>
        <v/>
      </c>
      <c r="H297" s="104" t="inlineStr">
        <is>
          <t>O</t>
        </is>
      </c>
      <c r="I297" s="104" t="inlineStr">
        <is>
          <t>U</t>
        </is>
      </c>
      <c r="J297" s="104" t="n">
        <v>10</v>
      </c>
      <c r="K297" s="104" t="n">
        <v>8</v>
      </c>
      <c r="L297" s="104" t="n">
        <v>8</v>
      </c>
      <c r="M297" s="104" t="n">
        <v>5</v>
      </c>
      <c r="N297" s="104" t="n"/>
      <c r="O297" s="104">
        <f>SUM(J297:N297)</f>
        <v/>
      </c>
      <c r="P297" s="12">
        <f>O297/IF(H297="L",20,IF(H297="U",30,IF(H297="O",40,IF(H297="I",20,""))))</f>
        <v/>
      </c>
      <c r="Q297" s="132">
        <f>IF(AND(H297="L", P297&gt;=50%), "Pass",
IF(AND(H297="U", P297&gt;=60%), "Pass",
IF(AND(H297="O", P297&gt;=75%), "Pass", "Fail")))</f>
        <v/>
      </c>
      <c r="R297" s="104" t="n"/>
      <c r="S297" s="104" t="n">
        <v>12</v>
      </c>
      <c r="T297" s="104" t="n">
        <v>10</v>
      </c>
      <c r="U297" s="104">
        <f>SUM(S297:T297)</f>
        <v/>
      </c>
      <c r="V297" s="12">
        <f>U297/IF(H297="L",35,IF(H297="U",35,IF(H297="O",35,IF(H297="I",35,""))))</f>
        <v/>
      </c>
      <c r="W297" s="132">
        <f>IF(AND(H297="L", V297&gt;=50%), "Pass",
IF(AND(H297="U", V297&gt;=60%), "Pass",
IF(AND(H297="O", V297&gt;=75%), "Pass", "Fail")))</f>
        <v/>
      </c>
      <c r="X297" s="132">
        <f>IF(AND(Q297="Pass", W297="Pass"), "Pass", "Fail")</f>
        <v/>
      </c>
      <c r="Y297" s="15">
        <f>IF($X297="Pass",$H297,
IF(H297="L","I",
IF(H297="U","L",
IF(H297="O","U",
"I"))))</f>
        <v/>
      </c>
    </row>
    <row r="298">
      <c r="A298" s="147">
        <f>ROW()-2</f>
        <v/>
      </c>
      <c r="B298" s="133" t="inlineStr">
        <is>
          <t>AK0176</t>
        </is>
      </c>
      <c r="C298" s="148" t="inlineStr">
        <is>
          <t>GANESAN R</t>
        </is>
      </c>
      <c r="D298" s="127" t="inlineStr">
        <is>
          <t>PRODUCTION</t>
        </is>
      </c>
      <c r="E298" s="135" t="inlineStr">
        <is>
          <t>MIXING</t>
        </is>
      </c>
      <c r="F298" s="136" t="n">
        <v>41413</v>
      </c>
      <c r="G298" s="131">
        <f>NOW()-F298</f>
        <v/>
      </c>
      <c r="H298" s="104" t="inlineStr">
        <is>
          <t>O</t>
        </is>
      </c>
      <c r="I298" s="104" t="inlineStr">
        <is>
          <t>U</t>
        </is>
      </c>
      <c r="J298" s="104" t="inlineStr">
        <is>
          <t>NIL</t>
        </is>
      </c>
      <c r="K298" s="104" t="n"/>
      <c r="L298" s="104" t="n"/>
      <c r="M298" s="104" t="n"/>
      <c r="N298" s="104" t="n"/>
      <c r="O298" s="104" t="n"/>
      <c r="P298" s="12">
        <f>O298/IF(H298="L",20,IF(H298="U",30,IF(H298="O",40,IF(H298="I",20,""))))</f>
        <v/>
      </c>
      <c r="Q298" s="132">
        <f>IF(AND(H298="L", P298&gt;=50%), "Pass",
IF(AND(H298="U", P298&gt;=60%), "Pass",
IF(AND(H298="O", P298&gt;=75%), "Pass", "Fail")))</f>
        <v/>
      </c>
      <c r="R298" s="104" t="n"/>
      <c r="S298" s="104" t="n">
        <v>12</v>
      </c>
      <c r="T298" s="104" t="n">
        <v>11</v>
      </c>
      <c r="U298" s="104">
        <f>SUM(S298:T298)</f>
        <v/>
      </c>
      <c r="V298" s="12">
        <f>U298/IF(H298="L",35,IF(H298="U",35,IF(H298="O",35,IF(H298="I",35,""))))</f>
        <v/>
      </c>
      <c r="W298" s="132">
        <f>IF(AND(H298="L", V298&gt;=50%), "Pass",
IF(AND(H298="U", V298&gt;=60%), "Pass",
IF(AND(H298="O", V298&gt;=75%), "Pass", "Fail")))</f>
        <v/>
      </c>
      <c r="X298" s="132">
        <f>IF(AND(Q298="Pass", W298="Pass"), "Pass", "Fail")</f>
        <v/>
      </c>
      <c r="Y298" s="15">
        <f>IF($X298="Pass",$H298,
IF(H298="L","I",
IF(H298="U","L",
IF(H298="O","U",
"I"))))</f>
        <v/>
      </c>
    </row>
    <row r="299">
      <c r="A299" s="147">
        <f>ROW()-2</f>
        <v/>
      </c>
      <c r="B299" s="127" t="inlineStr">
        <is>
          <t>SK0695</t>
        </is>
      </c>
      <c r="C299" s="128" t="inlineStr">
        <is>
          <t>PAPPU KUSHWAHA</t>
        </is>
      </c>
      <c r="D299" s="127" t="inlineStr">
        <is>
          <t>PRODUCTION</t>
        </is>
      </c>
      <c r="E299" s="129" t="inlineStr">
        <is>
          <t>TYRE CURING</t>
        </is>
      </c>
      <c r="F299" s="130" t="n">
        <v>41416</v>
      </c>
      <c r="G299" s="131">
        <f>NOW()-F299</f>
        <v/>
      </c>
      <c r="H299" s="104" t="inlineStr">
        <is>
          <t>O</t>
        </is>
      </c>
      <c r="I299" s="104" t="inlineStr">
        <is>
          <t>U</t>
        </is>
      </c>
      <c r="J299" s="104" t="n">
        <v>10</v>
      </c>
      <c r="K299" s="104" t="n">
        <v>9</v>
      </c>
      <c r="L299" s="104" t="n">
        <v>9</v>
      </c>
      <c r="M299" s="104" t="n">
        <v>8</v>
      </c>
      <c r="N299" s="104" t="n"/>
      <c r="O299" s="104">
        <f>SUM(J299:N299)</f>
        <v/>
      </c>
      <c r="P299" s="12">
        <f>O299/IF(H299="L",20,IF(H299="U",30,IF(H299="O",40,IF(H299="I",20,""))))</f>
        <v/>
      </c>
      <c r="Q299" s="132">
        <f>IF(AND(H299="L", P299&gt;=50%), "Pass",
IF(AND(H299="U", P299&gt;=60%), "Pass",
IF(AND(H299="O", P299&gt;=75%), "Pass", "Fail")))</f>
        <v/>
      </c>
      <c r="R299" s="104" t="n"/>
      <c r="S299" s="104" t="n">
        <v>10</v>
      </c>
      <c r="T299" s="104" t="n">
        <v>8</v>
      </c>
      <c r="U299" s="104">
        <f>SUM(S299:T299)</f>
        <v/>
      </c>
      <c r="V299" s="12">
        <f>U299/IF(H299="L",35,IF(H299="U",35,IF(H299="O",35,IF(H299="I",35,""))))</f>
        <v/>
      </c>
      <c r="W299" s="132">
        <f>IF(AND(H299="L", V299&gt;=50%), "Pass",
IF(AND(H299="U", V299&gt;=60%), "Pass",
IF(AND(H299="O", V299&gt;=75%), "Pass", "Fail")))</f>
        <v/>
      </c>
      <c r="X299" s="132">
        <f>IF(AND(Q299="Pass", W299="Pass"), "Pass", "Fail")</f>
        <v/>
      </c>
      <c r="Y299" s="15">
        <f>IF($X299="Pass",$H299,
IF(H299="L","I",
IF(H299="U","L",
IF(H299="O","U",
"I"))))</f>
        <v/>
      </c>
    </row>
    <row r="300">
      <c r="A300" s="147">
        <f>ROW()-2</f>
        <v/>
      </c>
      <c r="B300" s="127" t="inlineStr">
        <is>
          <t>SK2289</t>
        </is>
      </c>
      <c r="C300" s="128" t="inlineStr">
        <is>
          <t>ARAVIND S</t>
        </is>
      </c>
      <c r="D300" s="127" t="inlineStr">
        <is>
          <t>PRODUCTION</t>
        </is>
      </c>
      <c r="E300" s="129" t="inlineStr">
        <is>
          <t>TYRE BUILDING-P3</t>
        </is>
      </c>
      <c r="F300" s="130" t="n">
        <v>41451</v>
      </c>
      <c r="G300" s="131">
        <f>NOW()-F300</f>
        <v/>
      </c>
      <c r="H300" s="104" t="inlineStr">
        <is>
          <t>O</t>
        </is>
      </c>
      <c r="I300" s="104" t="inlineStr">
        <is>
          <t>O</t>
        </is>
      </c>
      <c r="J300" s="104" t="n">
        <v>8</v>
      </c>
      <c r="K300" s="104" t="n">
        <v>9</v>
      </c>
      <c r="L300" s="104" t="n">
        <v>5</v>
      </c>
      <c r="M300" s="104" t="n">
        <v>4</v>
      </c>
      <c r="N300" s="104" t="n"/>
      <c r="O300" s="104">
        <f>SUM(J300:N300)</f>
        <v/>
      </c>
      <c r="P300" s="12">
        <f>O300/IF(H300="L",20,IF(H300="U",30,IF(H300="O",40,IF(H300="I",20,""))))</f>
        <v/>
      </c>
      <c r="Q300" s="132">
        <f>IF(AND(H300="L", P300&gt;=50%), "Pass",
IF(AND(H300="U", P300&gt;=60%), "Pass",
IF(AND(H300="O", P300&gt;=75%), "Pass", "Fail")))</f>
        <v/>
      </c>
      <c r="R300" s="104" t="n"/>
      <c r="S300" s="104" t="n">
        <v>19</v>
      </c>
      <c r="T300" s="104" t="n">
        <v>14</v>
      </c>
      <c r="U300" s="104">
        <f>SUM(S300:T300)</f>
        <v/>
      </c>
      <c r="V300" s="12">
        <f>U300/IF(H300="L",35,IF(H300="U",35,IF(H300="O",35,IF(H300="I",35,""))))</f>
        <v/>
      </c>
      <c r="W300" s="132">
        <f>IF(AND(H300="L", V300&gt;=50%), "Pass",
IF(AND(H300="U", V300&gt;=60%), "Pass",
IF(AND(H300="O", V300&gt;=75%), "Pass", "Fail")))</f>
        <v/>
      </c>
      <c r="X300" s="132">
        <f>IF(AND(Q300="Pass", W300="Pass"), "Pass", "Fail")</f>
        <v/>
      </c>
      <c r="Y300" s="15">
        <f>IF($X300="Pass",$H300,
IF(H300="L","I",
IF(H300="U","L",
IF(H300="O","U",
"I"))))</f>
        <v/>
      </c>
    </row>
    <row r="301">
      <c r="A301" s="147">
        <f>ROW()-2</f>
        <v/>
      </c>
      <c r="B301" s="127" t="inlineStr">
        <is>
          <t>SK2290</t>
        </is>
      </c>
      <c r="C301" s="128" t="inlineStr">
        <is>
          <t>ANAND S</t>
        </is>
      </c>
      <c r="D301" s="127" t="inlineStr">
        <is>
          <t>PRODUCTION</t>
        </is>
      </c>
      <c r="E301" s="129" t="inlineStr">
        <is>
          <t>TYRE BUILDING-P3</t>
        </is>
      </c>
      <c r="F301" s="130" t="n">
        <v>41451</v>
      </c>
      <c r="G301" s="131">
        <f>NOW()-F301</f>
        <v/>
      </c>
      <c r="H301" s="104" t="inlineStr">
        <is>
          <t>O</t>
        </is>
      </c>
      <c r="I301" s="104" t="inlineStr">
        <is>
          <t>O</t>
        </is>
      </c>
      <c r="J301" s="104" t="n">
        <v>10</v>
      </c>
      <c r="K301" s="104" t="n">
        <v>9</v>
      </c>
      <c r="L301" s="104" t="n">
        <v>5</v>
      </c>
      <c r="M301" s="104" t="n">
        <v>9</v>
      </c>
      <c r="N301" s="104" t="n"/>
      <c r="O301" s="104">
        <f>SUM(J301:N301)</f>
        <v/>
      </c>
      <c r="P301" s="12">
        <f>O301/IF(H301="L",20,IF(H301="U",30,IF(H301="O",40,IF(H301="I",20,""))))</f>
        <v/>
      </c>
      <c r="Q301" s="132">
        <f>IF(AND(H301="L", P301&gt;=50%), "Pass",
IF(AND(H301="U", P301&gt;=60%), "Pass",
IF(AND(H301="O", P301&gt;=75%), "Pass", "Fail")))</f>
        <v/>
      </c>
      <c r="R301" s="104" t="n"/>
      <c r="S301" s="104" t="n">
        <v>18</v>
      </c>
      <c r="T301" s="104" t="n">
        <v>15</v>
      </c>
      <c r="U301" s="104">
        <f>SUM(S301:T301)</f>
        <v/>
      </c>
      <c r="V301" s="12">
        <f>U301/IF(H301="L",35,IF(H301="U",35,IF(H301="O",35,IF(H301="I",35,""))))</f>
        <v/>
      </c>
      <c r="W301" s="132">
        <f>IF(AND(H301="L", V301&gt;=50%), "Pass",
IF(AND(H301="U", V301&gt;=60%), "Pass",
IF(AND(H301="O", V301&gt;=75%), "Pass", "Fail")))</f>
        <v/>
      </c>
      <c r="X301" s="132">
        <f>IF(AND(Q301="Pass", W301="Pass"), "Pass", "Fail")</f>
        <v/>
      </c>
      <c r="Y301" s="15">
        <f>IF($X301="Pass",$H301,
IF(H301="L","I",
IF(H301="U","L",
IF(H301="O","U",
"I"))))</f>
        <v/>
      </c>
    </row>
    <row r="302">
      <c r="A302" s="147">
        <f>ROW()-2</f>
        <v/>
      </c>
      <c r="B302" s="137" t="inlineStr">
        <is>
          <t>KK0015</t>
        </is>
      </c>
      <c r="C302" s="138" t="inlineStr">
        <is>
          <t>CHINNA DURAI B</t>
        </is>
      </c>
      <c r="D302" s="137" t="inlineStr">
        <is>
          <t>PRODUCTION</t>
        </is>
      </c>
      <c r="E302" s="139" t="inlineStr">
        <is>
          <t>TYRE BUILDING-P3</t>
        </is>
      </c>
      <c r="F302" s="130" t="n">
        <v>41466</v>
      </c>
      <c r="G302" s="140">
        <f>NOW()-F302</f>
        <v/>
      </c>
      <c r="H302" s="43" t="inlineStr">
        <is>
          <t>O</t>
        </is>
      </c>
      <c r="I302" s="104" t="n"/>
      <c r="J302" s="104" t="n">
        <v>8</v>
      </c>
      <c r="K302" s="104" t="n">
        <v>10</v>
      </c>
      <c r="L302" s="104" t="n">
        <v>10</v>
      </c>
      <c r="M302" s="104" t="n">
        <v>6</v>
      </c>
      <c r="N302" s="104" t="n"/>
      <c r="O302" s="104">
        <f>SUM(J302:N302)</f>
        <v/>
      </c>
      <c r="P302" s="12">
        <f>O302/IF(H302="L",20,IF(H302="U",30,IF(H302="O",40,IF(H302="I",20,""))))</f>
        <v/>
      </c>
      <c r="Q302" s="132">
        <f>IF(AND(H302="L", P302&gt;=50%), "Pass",
IF(AND(H302="U", P302&gt;=60%), "Pass",
IF(AND(H302="O", P302&gt;=75%), "Pass", "Fail")))</f>
        <v/>
      </c>
      <c r="R302" s="104" t="n"/>
      <c r="S302" s="104" t="n">
        <v>17</v>
      </c>
      <c r="T302" s="104" t="n">
        <v>14</v>
      </c>
      <c r="U302" s="104">
        <f>SUM(S302:T302)</f>
        <v/>
      </c>
      <c r="V302" s="12">
        <f>U302/IF(H302="L",35,IF(H302="U",35,IF(H302="O",35,IF(H302="I",35,""))))</f>
        <v/>
      </c>
      <c r="W302" s="132">
        <f>IF(AND(H302="L", V302&gt;=50%), "Pass",
IF(AND(H302="U", V302&gt;=60%), "Pass",
IF(AND(H302="O", V302&gt;=75%), "Pass", "Fail")))</f>
        <v/>
      </c>
      <c r="X302" s="132">
        <f>IF(AND(Q302="Pass", W302="Pass"), "Pass", "Fail")</f>
        <v/>
      </c>
      <c r="Y302" s="15">
        <f>IF($X302="Pass",$H302,
IF(H302="L","I",
IF(H302="U","L",
IF(H302="O","U",
"I"))))</f>
        <v/>
      </c>
    </row>
    <row r="303">
      <c r="A303" s="147">
        <f>ROW()-2</f>
        <v/>
      </c>
      <c r="B303" s="127" t="inlineStr">
        <is>
          <t>KK0019</t>
        </is>
      </c>
      <c r="C303" s="128" t="inlineStr">
        <is>
          <t>MURUGAN P</t>
        </is>
      </c>
      <c r="D303" s="127" t="inlineStr">
        <is>
          <t>PRODUCTION</t>
        </is>
      </c>
      <c r="E303" s="129" t="inlineStr">
        <is>
          <t>TYRE CURING</t>
        </is>
      </c>
      <c r="F303" s="130" t="n">
        <v>41471</v>
      </c>
      <c r="G303" s="131">
        <f>NOW()-F303</f>
        <v/>
      </c>
      <c r="H303" s="104" t="inlineStr">
        <is>
          <t>O</t>
        </is>
      </c>
      <c r="I303" s="104" t="inlineStr">
        <is>
          <t>U</t>
        </is>
      </c>
      <c r="J303" s="104" t="n">
        <v>10</v>
      </c>
      <c r="K303" s="104" t="n">
        <v>9</v>
      </c>
      <c r="L303" s="104" t="n">
        <v>8</v>
      </c>
      <c r="M303" s="104" t="n">
        <v>5</v>
      </c>
      <c r="N303" s="104" t="n"/>
      <c r="O303" s="104">
        <f>SUM(J303:N303)</f>
        <v/>
      </c>
      <c r="P303" s="12">
        <f>O303/IF(H303="L",20,IF(H303="U",30,IF(H303="O",40,IF(H303="I",20,""))))</f>
        <v/>
      </c>
      <c r="Q303" s="132">
        <f>IF(AND(H303="L", P303&gt;=50%), "Pass",
IF(AND(H303="U", P303&gt;=60%), "Pass",
IF(AND(H303="O", P303&gt;=75%), "Pass", "Fail")))</f>
        <v/>
      </c>
      <c r="R303" s="104" t="n"/>
      <c r="S303" s="104" t="n">
        <v>16</v>
      </c>
      <c r="T303" s="104" t="n">
        <v>11</v>
      </c>
      <c r="U303" s="104">
        <f>SUM(S303:T303)</f>
        <v/>
      </c>
      <c r="V303" s="12">
        <f>U303/IF(H303="L",35,IF(H303="U",35,IF(H303="O",35,IF(H303="I",35,""))))</f>
        <v/>
      </c>
      <c r="W303" s="132">
        <f>IF(AND(H303="L", V303&gt;=50%), "Pass",
IF(AND(H303="U", V303&gt;=60%), "Pass",
IF(AND(H303="O", V303&gt;=75%), "Pass", "Fail")))</f>
        <v/>
      </c>
      <c r="X303" s="132">
        <f>IF(AND(Q303="Pass", W303="Pass"), "Pass", "Fail")</f>
        <v/>
      </c>
      <c r="Y303" s="15">
        <f>IF($X303="Pass",$H303,
IF(H303="L","I",
IF(H303="U","L",
IF(H303="O","U",
"I"))))</f>
        <v/>
      </c>
    </row>
    <row r="304">
      <c r="A304" s="147">
        <f>ROW()-2</f>
        <v/>
      </c>
      <c r="B304" s="133" t="n">
        <v>900173</v>
      </c>
      <c r="C304" s="148" t="inlineStr">
        <is>
          <t>PETCHI MARIMUTHU L</t>
        </is>
      </c>
      <c r="D304" s="127" t="inlineStr">
        <is>
          <t>PRODUCTION</t>
        </is>
      </c>
      <c r="E304" s="135" t="inlineStr">
        <is>
          <t>MIXING</t>
        </is>
      </c>
      <c r="F304" s="136" t="n">
        <v>41538</v>
      </c>
      <c r="G304" s="131">
        <f>NOW()-F304</f>
        <v/>
      </c>
      <c r="H304" s="104" t="inlineStr">
        <is>
          <t>O</t>
        </is>
      </c>
      <c r="I304" s="104" t="inlineStr">
        <is>
          <t>O</t>
        </is>
      </c>
      <c r="J304" s="104" t="inlineStr">
        <is>
          <t>NIL</t>
        </is>
      </c>
      <c r="K304" s="104" t="n"/>
      <c r="L304" s="104" t="n"/>
      <c r="M304" s="104" t="n"/>
      <c r="N304" s="104" t="n"/>
      <c r="O304" s="104" t="n"/>
      <c r="P304" s="12">
        <f>O304/IF(H304="L",20,IF(H304="U",30,IF(H304="O",40,IF(H304="I",20,""))))</f>
        <v/>
      </c>
      <c r="Q304" s="132">
        <f>IF(AND(H304="L", P304&gt;=50%), "Pass",
IF(AND(H304="U", P304&gt;=60%), "Pass",
IF(AND(H304="O", P304&gt;=75%), "Pass", "Fail")))</f>
        <v/>
      </c>
      <c r="R304" s="104" t="n"/>
      <c r="S304" s="104" t="n">
        <v>15</v>
      </c>
      <c r="T304" s="104" t="n">
        <v>11</v>
      </c>
      <c r="U304" s="104">
        <f>SUM(S304:T304)</f>
        <v/>
      </c>
      <c r="V304" s="12">
        <f>U304/IF(H304="L",35,IF(H304="U",35,IF(H304="O",35,IF(H304="I",35,""))))</f>
        <v/>
      </c>
      <c r="W304" s="132">
        <f>IF(AND(H304="L", V304&gt;=50%), "Pass",
IF(AND(H304="U", V304&gt;=60%), "Pass",
IF(AND(H304="O", V304&gt;=75%), "Pass", "Fail")))</f>
        <v/>
      </c>
      <c r="X304" s="132">
        <f>IF(AND(Q304="Pass", W304="Pass"), "Pass", "Fail")</f>
        <v/>
      </c>
      <c r="Y304" s="15">
        <f>IF($X304="Pass",$H304,
IF(H304="L","I",
IF(H304="U","L",
IF(H304="O","U",
"I"))))</f>
        <v/>
      </c>
    </row>
    <row r="305">
      <c r="A305" s="147">
        <f>ROW()-2</f>
        <v/>
      </c>
      <c r="B305" s="127" t="inlineStr">
        <is>
          <t>KK0041</t>
        </is>
      </c>
      <c r="C305" s="128" t="inlineStr">
        <is>
          <t>YOVAN R</t>
        </is>
      </c>
      <c r="D305" s="127" t="inlineStr">
        <is>
          <t>PRODUCTION</t>
        </is>
      </c>
      <c r="E305" s="129" t="inlineStr">
        <is>
          <t>TYRE BUILDING-P1</t>
        </is>
      </c>
      <c r="F305" s="130" t="n">
        <v>41552</v>
      </c>
      <c r="G305" s="131">
        <f>NOW()-F305</f>
        <v/>
      </c>
      <c r="H305" s="104" t="inlineStr">
        <is>
          <t>O</t>
        </is>
      </c>
      <c r="I305" s="104" t="inlineStr">
        <is>
          <t>O</t>
        </is>
      </c>
      <c r="J305" s="104" t="n">
        <v>8</v>
      </c>
      <c r="K305" s="104" t="n">
        <v>10</v>
      </c>
      <c r="L305" s="104" t="n">
        <v>8</v>
      </c>
      <c r="M305" s="104" t="n">
        <v>9</v>
      </c>
      <c r="N305" s="104" t="n"/>
      <c r="O305" s="104">
        <f>SUM(J305:N305)</f>
        <v/>
      </c>
      <c r="P305" s="12">
        <f>O305/IF(H305="L",20,IF(H305="U",30,IF(H305="O",40,IF(H305="I",20,""))))</f>
        <v/>
      </c>
      <c r="Q305" s="132">
        <f>IF(AND(H305="L", P305&gt;=50%), "Pass",
IF(AND(H305="U", P305&gt;=60%), "Pass",
IF(AND(H305="O", P305&gt;=75%), "Pass", "Fail")))</f>
        <v/>
      </c>
      <c r="R305" s="104" t="n"/>
      <c r="S305" s="104" t="n">
        <v>14</v>
      </c>
      <c r="T305" s="104" t="n">
        <v>15</v>
      </c>
      <c r="U305" s="104">
        <f>SUM(S305:T305)</f>
        <v/>
      </c>
      <c r="V305" s="12">
        <f>U305/IF(H305="L",35,IF(H305="U",35,IF(H305="O",35,IF(H305="I",35,""))))</f>
        <v/>
      </c>
      <c r="W305" s="132">
        <f>IF(AND(H305="L", V305&gt;=50%), "Pass",
IF(AND(H305="U", V305&gt;=60%), "Pass",
IF(AND(H305="O", V305&gt;=75%), "Pass", "Fail")))</f>
        <v/>
      </c>
      <c r="X305" s="132">
        <f>IF(AND(Q305="Pass", W305="Pass"), "Pass", "Fail")</f>
        <v/>
      </c>
      <c r="Y305" s="15">
        <f>IF($X305="Pass",$H305,
IF(H305="L","I",
IF(H305="U","L",
IF(H305="O","U",
"I"))))</f>
        <v/>
      </c>
    </row>
    <row r="306">
      <c r="A306" s="147">
        <f>ROW()-2</f>
        <v/>
      </c>
      <c r="B306" s="127" t="inlineStr">
        <is>
          <t>PK0668</t>
        </is>
      </c>
      <c r="C306" s="128" t="inlineStr">
        <is>
          <t>SHANMUGA SUNDARAM C</t>
        </is>
      </c>
      <c r="D306" s="127" t="inlineStr">
        <is>
          <t>PRODUCTION</t>
        </is>
      </c>
      <c r="E306" s="129" t="inlineStr">
        <is>
          <t>TYRE BUILDING-P1</t>
        </is>
      </c>
      <c r="F306" s="130" t="n">
        <v>41552</v>
      </c>
      <c r="G306" s="131">
        <f>NOW()-F306</f>
        <v/>
      </c>
      <c r="H306" s="104" t="inlineStr">
        <is>
          <t>O</t>
        </is>
      </c>
      <c r="I306" s="104" t="inlineStr">
        <is>
          <t>O</t>
        </is>
      </c>
      <c r="J306" s="104" t="n">
        <v>9</v>
      </c>
      <c r="K306" s="104" t="n">
        <v>9</v>
      </c>
      <c r="L306" s="104" t="n">
        <v>8</v>
      </c>
      <c r="M306" s="104" t="n">
        <v>9</v>
      </c>
      <c r="N306" s="104" t="n"/>
      <c r="O306" s="104">
        <f>SUM(J306:N306)</f>
        <v/>
      </c>
      <c r="P306" s="12">
        <f>O306/IF(H306="L",20,IF(H306="U",30,IF(H306="O",40,IF(H306="I",20,""))))</f>
        <v/>
      </c>
      <c r="Q306" s="132">
        <f>IF(AND(H306="L", P306&gt;=50%), "Pass",
IF(AND(H306="U", P306&gt;=60%), "Pass",
IF(AND(H306="O", P306&gt;=75%), "Pass", "Fail")))</f>
        <v/>
      </c>
      <c r="R306" s="104" t="n"/>
      <c r="S306" s="104" t="n">
        <v>13</v>
      </c>
      <c r="T306" s="104" t="n">
        <v>15</v>
      </c>
      <c r="U306" s="104">
        <f>SUM(S306:T306)</f>
        <v/>
      </c>
      <c r="V306" s="12">
        <f>U306/IF(H306="L",35,IF(H306="U",35,IF(H306="O",35,IF(H306="I",35,""))))</f>
        <v/>
      </c>
      <c r="W306" s="132">
        <f>IF(AND(H306="L", V306&gt;=50%), "Pass",
IF(AND(H306="U", V306&gt;=60%), "Pass",
IF(AND(H306="O", V306&gt;=75%), "Pass", "Fail")))</f>
        <v/>
      </c>
      <c r="X306" s="132">
        <f>IF(AND(Q306="Pass", W306="Pass"), "Pass", "Fail")</f>
        <v/>
      </c>
      <c r="Y306" s="15">
        <f>IF($X306="Pass",$H306,
IF(H306="L","I",
IF(H306="U","L",
IF(H306="O","U",
"I"))))</f>
        <v/>
      </c>
    </row>
    <row r="307">
      <c r="A307" s="147">
        <f>ROW()-2</f>
        <v/>
      </c>
      <c r="B307" s="127" t="inlineStr">
        <is>
          <t>MG0779</t>
        </is>
      </c>
      <c r="C307" s="128" t="inlineStr">
        <is>
          <t>RAMESH G</t>
        </is>
      </c>
      <c r="D307" s="127" t="inlineStr">
        <is>
          <t>PRODUCTION</t>
        </is>
      </c>
      <c r="E307" s="129" t="inlineStr">
        <is>
          <t>BAND BUILDING-P1</t>
        </is>
      </c>
      <c r="F307" s="130" t="n">
        <v>41557</v>
      </c>
      <c r="G307" s="131">
        <f>NOW()-F307</f>
        <v/>
      </c>
      <c r="H307" s="104" t="inlineStr">
        <is>
          <t>O</t>
        </is>
      </c>
      <c r="I307" s="104" t="inlineStr">
        <is>
          <t>U</t>
        </is>
      </c>
      <c r="J307" s="104" t="n">
        <v>3</v>
      </c>
      <c r="K307" s="104" t="n">
        <v>2</v>
      </c>
      <c r="L307" s="104" t="n">
        <v>3</v>
      </c>
      <c r="M307" s="104" t="n">
        <v>3</v>
      </c>
      <c r="N307" s="104" t="n"/>
      <c r="O307" s="104">
        <f>SUM(J307:N307)</f>
        <v/>
      </c>
      <c r="P307" s="12">
        <f>O307/IF(H307="L",20,IF(H307="U",30,IF(H307="O",40,IF(H307="I",20,""))))</f>
        <v/>
      </c>
      <c r="Q307" s="132">
        <f>IF(AND(H307="L", P307&gt;=50%), "Pass",
IF(AND(H307="U", P307&gt;=60%), "Pass",
IF(AND(H307="O", P307&gt;=75%), "Pass", "Fail")))</f>
        <v/>
      </c>
      <c r="R307" s="104" t="n"/>
      <c r="S307" s="104" t="n">
        <v>15</v>
      </c>
      <c r="T307" s="104" t="n">
        <v>15</v>
      </c>
      <c r="U307" s="104">
        <f>SUM(S307:T307)</f>
        <v/>
      </c>
      <c r="V307" s="12">
        <f>U307/IF(H307="L",35,IF(H307="U",35,IF(H307="O",35,IF(H307="I",35,""))))</f>
        <v/>
      </c>
      <c r="W307" s="132">
        <f>IF(AND(H307="L", V307&gt;=50%), "Pass",
IF(AND(H307="U", V307&gt;=60%), "Pass",
IF(AND(H307="O", V307&gt;=75%), "Pass", "Fail")))</f>
        <v/>
      </c>
      <c r="X307" s="132">
        <f>IF(AND(Q307="Pass", W307="Pass"), "Pass", "Fail")</f>
        <v/>
      </c>
      <c r="Y307" s="15">
        <f>IF($X307="Pass",$H307,
IF(H307="L","I",
IF(H307="U","L",
IF(H307="O","U",
"I"))))</f>
        <v/>
      </c>
    </row>
    <row r="308">
      <c r="A308" s="147">
        <f>ROW()-2</f>
        <v/>
      </c>
      <c r="B308" s="127" t="inlineStr">
        <is>
          <t>KK0046</t>
        </is>
      </c>
      <c r="C308" s="128" t="inlineStr">
        <is>
          <t>MURUGESH A</t>
        </is>
      </c>
      <c r="D308" s="127" t="inlineStr">
        <is>
          <t>PRODUCTION</t>
        </is>
      </c>
      <c r="E308" s="129" t="inlineStr">
        <is>
          <t>RADIAL MARANGONI</t>
        </is>
      </c>
      <c r="F308" s="130" t="n">
        <v>41563</v>
      </c>
      <c r="G308" s="131">
        <f>NOW()-F308</f>
        <v/>
      </c>
      <c r="H308" s="104" t="inlineStr">
        <is>
          <t>O</t>
        </is>
      </c>
      <c r="I308" s="104" t="inlineStr">
        <is>
          <t>O</t>
        </is>
      </c>
      <c r="J308" s="104" t="n">
        <v>9</v>
      </c>
      <c r="K308" s="104" t="n">
        <v>9</v>
      </c>
      <c r="L308" s="104" t="n">
        <v>9</v>
      </c>
      <c r="M308" s="104" t="n">
        <v>10</v>
      </c>
      <c r="N308" s="104" t="n"/>
      <c r="O308" s="104">
        <f>SUM(J308:N308)</f>
        <v/>
      </c>
      <c r="P308" s="12">
        <f>O308/IF(H308="L",20,IF(H308="U",30,IF(H308="O",40,IF(H308="I",20,""))))</f>
        <v/>
      </c>
      <c r="Q308" s="132">
        <f>IF(AND(H308="L", P308&gt;=50%), "Pass",
IF(AND(H308="U", P308&gt;=60%), "Pass",
IF(AND(H308="O", P308&gt;=75%), "Pass", "Fail")))</f>
        <v/>
      </c>
      <c r="R308" s="104" t="n"/>
      <c r="S308" s="104" t="n">
        <v>16</v>
      </c>
      <c r="T308" s="104" t="n">
        <v>12</v>
      </c>
      <c r="U308" s="104">
        <f>SUM(S308:T308)</f>
        <v/>
      </c>
      <c r="V308" s="12">
        <f>U308/IF(H308="L",35,IF(H308="U",35,IF(H308="O",35,IF(H308="I",35,""))))</f>
        <v/>
      </c>
      <c r="W308" s="132">
        <f>IF(AND(H308="L", V308&gt;=50%), "Pass",
IF(AND(H308="U", V308&gt;=60%), "Pass",
IF(AND(H308="O", V308&gt;=75%), "Pass", "Fail")))</f>
        <v/>
      </c>
      <c r="X308" s="132">
        <f>IF(AND(Q308="Pass", W308="Pass"), "Pass", "Fail")</f>
        <v/>
      </c>
      <c r="Y308" s="15">
        <f>IF($X308="Pass",$H308,
IF(H308="L","I",
IF(H308="U","L",
IF(H308="O","U",
"I"))))</f>
        <v/>
      </c>
    </row>
    <row r="309">
      <c r="A309" s="147">
        <f>ROW()-2</f>
        <v/>
      </c>
      <c r="B309" s="127" t="inlineStr">
        <is>
          <t>SK0930</t>
        </is>
      </c>
      <c r="C309" s="128" t="inlineStr">
        <is>
          <t>LALAN BHAGAT</t>
        </is>
      </c>
      <c r="D309" s="127" t="inlineStr">
        <is>
          <t>PRODUCTION</t>
        </is>
      </c>
      <c r="E309" s="129" t="inlineStr">
        <is>
          <t>TYRE BUILDING-P3</t>
        </is>
      </c>
      <c r="F309" s="130" t="n">
        <v>41569</v>
      </c>
      <c r="G309" s="131">
        <f>NOW()-F309</f>
        <v/>
      </c>
      <c r="H309" s="104" t="inlineStr">
        <is>
          <t>O</t>
        </is>
      </c>
      <c r="I309" s="104" t="inlineStr">
        <is>
          <t>O</t>
        </is>
      </c>
      <c r="J309" s="104" t="n">
        <v>10</v>
      </c>
      <c r="K309" s="104" t="n">
        <v>6</v>
      </c>
      <c r="L309" s="104" t="n">
        <v>8</v>
      </c>
      <c r="M309" s="104" t="n">
        <v>9</v>
      </c>
      <c r="N309" s="104" t="n"/>
      <c r="O309" s="104">
        <f>SUM(J309:N309)</f>
        <v/>
      </c>
      <c r="P309" s="12">
        <f>O309/IF(H309="L",20,IF(H309="U",30,IF(H309="O",40,IF(H309="I",20,""))))</f>
        <v/>
      </c>
      <c r="Q309" s="132">
        <f>IF(AND(H309="L", P309&gt;=50%), "Pass",
IF(AND(H309="U", P309&gt;=60%), "Pass",
IF(AND(H309="O", P309&gt;=75%), "Pass", "Fail")))</f>
        <v/>
      </c>
      <c r="R309" s="104" t="n"/>
      <c r="S309" s="104" t="n">
        <v>17</v>
      </c>
      <c r="T309" s="104" t="n">
        <v>14</v>
      </c>
      <c r="U309" s="104">
        <f>SUM(S309:T309)</f>
        <v/>
      </c>
      <c r="V309" s="12">
        <f>U309/IF(H309="L",35,IF(H309="U",35,IF(H309="O",35,IF(H309="I",35,""))))</f>
        <v/>
      </c>
      <c r="W309" s="132">
        <f>IF(AND(H309="L", V309&gt;=50%), "Pass",
IF(AND(H309="U", V309&gt;=60%), "Pass",
IF(AND(H309="O", V309&gt;=75%), "Pass", "Fail")))</f>
        <v/>
      </c>
      <c r="X309" s="132">
        <f>IF(AND(Q309="Pass", W309="Pass"), "Pass", "Fail")</f>
        <v/>
      </c>
      <c r="Y309" s="15">
        <f>IF($X309="Pass",$H309,
IF(H309="L","I",
IF(H309="U","L",
IF(H309="O","U",
"I"))))</f>
        <v/>
      </c>
    </row>
    <row r="310">
      <c r="A310" s="147">
        <f>ROW()-2</f>
        <v/>
      </c>
      <c r="B310" s="127" t="inlineStr">
        <is>
          <t>SK1638</t>
        </is>
      </c>
      <c r="C310" s="128" t="inlineStr">
        <is>
          <t>THELIP M</t>
        </is>
      </c>
      <c r="D310" s="127" t="inlineStr">
        <is>
          <t>PRODUCTION</t>
        </is>
      </c>
      <c r="E310" s="129" t="inlineStr">
        <is>
          <t>TYRE BUILDING-P2</t>
        </is>
      </c>
      <c r="F310" s="130" t="n">
        <v>41570</v>
      </c>
      <c r="G310" s="131">
        <f>NOW()-F310</f>
        <v/>
      </c>
      <c r="H310" s="104" t="inlineStr">
        <is>
          <t>O</t>
        </is>
      </c>
      <c r="I310" s="104" t="inlineStr">
        <is>
          <t>O</t>
        </is>
      </c>
      <c r="J310" s="104" t="n">
        <v>10</v>
      </c>
      <c r="K310" s="104" t="n">
        <v>8</v>
      </c>
      <c r="L310" s="104" t="n">
        <v>8</v>
      </c>
      <c r="M310" s="104" t="n">
        <v>10</v>
      </c>
      <c r="N310" s="104" t="n"/>
      <c r="O310" s="104">
        <f>SUM(J310:N310)</f>
        <v/>
      </c>
      <c r="P310" s="12">
        <f>O310/IF(H310="L",20,IF(H310="U",30,IF(H310="O",40,IF(H310="I",20,""))))</f>
        <v/>
      </c>
      <c r="Q310" s="132">
        <f>IF(AND(H310="L", P310&gt;=50%), "Pass",
IF(AND(H310="U", P310&gt;=60%), "Pass",
IF(AND(H310="O", P310&gt;=75%), "Pass", "Fail")))</f>
        <v/>
      </c>
      <c r="R310" s="104" t="n"/>
      <c r="S310" s="104" t="n">
        <v>14</v>
      </c>
      <c r="T310" s="104" t="n">
        <v>11</v>
      </c>
      <c r="U310" s="104">
        <f>SUM(S310:T310)</f>
        <v/>
      </c>
      <c r="V310" s="12">
        <f>U310/IF(H310="L",35,IF(H310="U",35,IF(H310="O",35,IF(H310="I",35,""))))</f>
        <v/>
      </c>
      <c r="W310" s="132">
        <f>IF(AND(H310="L", V310&gt;=50%), "Pass",
IF(AND(H310="U", V310&gt;=60%), "Pass",
IF(AND(H310="O", V310&gt;=75%), "Pass", "Fail")))</f>
        <v/>
      </c>
      <c r="X310" s="132">
        <f>IF(AND(Q310="Pass", W310="Pass"), "Pass", "Fail")</f>
        <v/>
      </c>
      <c r="Y310" s="15">
        <f>IF($X310="Pass",$H310,
IF(H310="L","I",
IF(H310="U","L",
IF(H310="O","U",
"I"))))</f>
        <v/>
      </c>
    </row>
    <row r="311">
      <c r="A311" s="147">
        <f>ROW()-2</f>
        <v/>
      </c>
      <c r="B311" s="127" t="inlineStr">
        <is>
          <t>PK0216</t>
        </is>
      </c>
      <c r="C311" s="128" t="inlineStr">
        <is>
          <t>SIKANDRA RAM</t>
        </is>
      </c>
      <c r="D311" s="127" t="inlineStr">
        <is>
          <t>PRODUCTION</t>
        </is>
      </c>
      <c r="E311" s="129" t="inlineStr">
        <is>
          <t>3 ROLL-P2</t>
        </is>
      </c>
      <c r="F311" s="130" t="n">
        <v>41572</v>
      </c>
      <c r="G311" s="131">
        <f>NOW()-F311</f>
        <v/>
      </c>
      <c r="H311" s="104" t="inlineStr">
        <is>
          <t>O</t>
        </is>
      </c>
      <c r="I311" s="104" t="inlineStr">
        <is>
          <t>U</t>
        </is>
      </c>
      <c r="J311" s="104" t="n">
        <v>7</v>
      </c>
      <c r="K311" s="104" t="n">
        <v>7</v>
      </c>
      <c r="L311" s="104" t="n">
        <v>4</v>
      </c>
      <c r="M311" s="104" t="n">
        <v>9</v>
      </c>
      <c r="N311" s="104" t="n"/>
      <c r="O311" s="104">
        <f>SUM(J311:N311)</f>
        <v/>
      </c>
      <c r="P311" s="12">
        <f>O311/IF(H311="L",20,IF(H311="U",30,IF(H311="O",40,IF(H311="I",20,""))))</f>
        <v/>
      </c>
      <c r="Q311" s="132">
        <f>IF(AND(H311="L", P311&gt;=50%), "Pass",
IF(AND(H311="U", P311&gt;=60%), "Pass",
IF(AND(H311="O", P311&gt;=75%), "Pass", "Fail")))</f>
        <v/>
      </c>
      <c r="R311" s="104" t="n"/>
      <c r="S311" s="104" t="n">
        <v>14</v>
      </c>
      <c r="T311" s="104" t="n">
        <v>8</v>
      </c>
      <c r="U311" s="104">
        <f>SUM(S311:T311)</f>
        <v/>
      </c>
      <c r="V311" s="12">
        <f>U311/IF(H311="L",35,IF(H311="U",35,IF(H311="O",35,IF(H311="I",35,""))))</f>
        <v/>
      </c>
      <c r="W311" s="132">
        <f>IF(AND(H311="L", V311&gt;=50%), "Pass",
IF(AND(H311="U", V311&gt;=60%), "Pass",
IF(AND(H311="O", V311&gt;=75%), "Pass", "Fail")))</f>
        <v/>
      </c>
      <c r="X311" s="132">
        <f>IF(AND(Q311="Pass", W311="Pass"), "Pass", "Fail")</f>
        <v/>
      </c>
      <c r="Y311" s="15">
        <f>IF($X311="Pass",$H311,
IF(H311="L","I",
IF(H311="U","L",
IF(H311="O","U",
"I"))))</f>
        <v/>
      </c>
    </row>
    <row r="312">
      <c r="A312" s="147">
        <f>ROW()-2</f>
        <v/>
      </c>
      <c r="B312" s="127" t="inlineStr">
        <is>
          <t>SK1660</t>
        </is>
      </c>
      <c r="C312" s="128" t="inlineStr">
        <is>
          <t>MARI NAINAR S</t>
        </is>
      </c>
      <c r="D312" s="127" t="inlineStr">
        <is>
          <t>PRODUCTION</t>
        </is>
      </c>
      <c r="E312" s="129" t="inlineStr">
        <is>
          <t>TYRE BUILDING-P1</t>
        </is>
      </c>
      <c r="F312" s="130" t="n">
        <v>41577</v>
      </c>
      <c r="G312" s="131">
        <f>NOW()-F312</f>
        <v/>
      </c>
      <c r="H312" s="104" t="inlineStr">
        <is>
          <t>O</t>
        </is>
      </c>
      <c r="I312" s="104" t="inlineStr">
        <is>
          <t>O</t>
        </is>
      </c>
      <c r="J312" s="104" t="n">
        <v>10</v>
      </c>
      <c r="K312" s="104" t="n">
        <v>10</v>
      </c>
      <c r="L312" s="104" t="n">
        <v>8</v>
      </c>
      <c r="M312" s="104" t="n">
        <v>10</v>
      </c>
      <c r="N312" s="104" t="n"/>
      <c r="O312" s="104">
        <f>SUM(J312:N312)</f>
        <v/>
      </c>
      <c r="P312" s="12">
        <f>O312/IF(H312="L",20,IF(H312="U",30,IF(H312="O",40,IF(H312="I",20,""))))</f>
        <v/>
      </c>
      <c r="Q312" s="132">
        <f>IF(AND(H312="L", P312&gt;=50%), "Pass",
IF(AND(H312="U", P312&gt;=60%), "Pass",
IF(AND(H312="O", P312&gt;=75%), "Pass", "Fail")))</f>
        <v/>
      </c>
      <c r="R312" s="104" t="n"/>
      <c r="S312" s="104" t="n">
        <v>11</v>
      </c>
      <c r="T312" s="104" t="n">
        <v>11</v>
      </c>
      <c r="U312" s="104">
        <f>SUM(S312:T312)</f>
        <v/>
      </c>
      <c r="V312" s="12">
        <f>U312/IF(H312="L",35,IF(H312="U",35,IF(H312="O",35,IF(H312="I",35,""))))</f>
        <v/>
      </c>
      <c r="W312" s="132">
        <f>IF(AND(H312="L", V312&gt;=50%), "Pass",
IF(AND(H312="U", V312&gt;=60%), "Pass",
IF(AND(H312="O", V312&gt;=75%), "Pass", "Fail")))</f>
        <v/>
      </c>
      <c r="X312" s="132">
        <f>IF(AND(Q312="Pass", W312="Pass"), "Pass", "Fail")</f>
        <v/>
      </c>
      <c r="Y312" s="15">
        <f>IF($X312="Pass",$H312,
IF(H312="L","I",
IF(H312="U","L",
IF(H312="O","U",
"I"))))</f>
        <v/>
      </c>
    </row>
    <row r="313">
      <c r="A313" s="147">
        <f>ROW()-2</f>
        <v/>
      </c>
      <c r="B313" s="127" t="inlineStr">
        <is>
          <t>PK0698</t>
        </is>
      </c>
      <c r="C313" s="128" t="inlineStr">
        <is>
          <t>VENKATESH M</t>
        </is>
      </c>
      <c r="D313" s="127" t="inlineStr">
        <is>
          <t>PRODUCTION</t>
        </is>
      </c>
      <c r="E313" s="129" t="inlineStr">
        <is>
          <t>TYRE BUILDING-P1</t>
        </is>
      </c>
      <c r="F313" s="130" t="n">
        <v>41582</v>
      </c>
      <c r="G313" s="131">
        <f>NOW()-F313</f>
        <v/>
      </c>
      <c r="H313" s="104" t="inlineStr">
        <is>
          <t>O</t>
        </is>
      </c>
      <c r="I313" s="104" t="inlineStr">
        <is>
          <t>U</t>
        </is>
      </c>
      <c r="J313" s="104" t="n">
        <v>10</v>
      </c>
      <c r="K313" s="104" t="n">
        <v>10</v>
      </c>
      <c r="L313" s="104" t="n">
        <v>8</v>
      </c>
      <c r="M313" s="104" t="n">
        <v>9</v>
      </c>
      <c r="N313" s="104" t="n"/>
      <c r="O313" s="104">
        <f>SUM(J313:N313)</f>
        <v/>
      </c>
      <c r="P313" s="12">
        <f>O313/IF(H313="L",20,IF(H313="U",30,IF(H313="O",40,IF(H313="I",20,""))))</f>
        <v/>
      </c>
      <c r="Q313" s="132">
        <f>IF(AND(H313="L", P313&gt;=50%), "Pass",
IF(AND(H313="U", P313&gt;=60%), "Pass",
IF(AND(H313="O", P313&gt;=75%), "Pass", "Fail")))</f>
        <v/>
      </c>
      <c r="R313" s="104" t="n"/>
      <c r="S313" s="104" t="n">
        <v>15</v>
      </c>
      <c r="T313" s="104" t="n">
        <v>15</v>
      </c>
      <c r="U313" s="104">
        <f>SUM(S313:T313)</f>
        <v/>
      </c>
      <c r="V313" s="12">
        <f>U313/IF(H313="L",35,IF(H313="U",35,IF(H313="O",35,IF(H313="I",35,""))))</f>
        <v/>
      </c>
      <c r="W313" s="132">
        <f>IF(AND(H313="L", V313&gt;=50%), "Pass",
IF(AND(H313="U", V313&gt;=60%), "Pass",
IF(AND(H313="O", V313&gt;=75%), "Pass", "Fail")))</f>
        <v/>
      </c>
      <c r="X313" s="132">
        <f>IF(AND(Q313="Pass", W313="Pass"), "Pass", "Fail")</f>
        <v/>
      </c>
      <c r="Y313" s="15">
        <f>IF($X313="Pass",$H313,
IF(H313="L","I",
IF(H313="U","L",
IF(H313="O","U",
"I"))))</f>
        <v/>
      </c>
    </row>
    <row r="314">
      <c r="A314" s="147">
        <f>ROW()-2</f>
        <v/>
      </c>
      <c r="B314" s="127" t="inlineStr">
        <is>
          <t>KK0067</t>
        </is>
      </c>
      <c r="C314" s="128" t="inlineStr">
        <is>
          <t>ESAKKI MUTHU M</t>
        </is>
      </c>
      <c r="D314" s="127" t="inlineStr">
        <is>
          <t>PRODUCTION</t>
        </is>
      </c>
      <c r="E314" s="129" t="inlineStr">
        <is>
          <t>TYRE BUILDING-P2</t>
        </is>
      </c>
      <c r="F314" s="130" t="n">
        <v>41585</v>
      </c>
      <c r="G314" s="131">
        <f>NOW()-F314</f>
        <v/>
      </c>
      <c r="H314" s="104" t="inlineStr">
        <is>
          <t>O</t>
        </is>
      </c>
      <c r="I314" s="104" t="inlineStr">
        <is>
          <t>U</t>
        </is>
      </c>
      <c r="J314" s="104" t="n">
        <v>9</v>
      </c>
      <c r="K314" s="104" t="n">
        <v>8</v>
      </c>
      <c r="L314" s="104" t="n">
        <v>9</v>
      </c>
      <c r="M314" s="104" t="n">
        <v>8</v>
      </c>
      <c r="N314" s="104" t="n"/>
      <c r="O314" s="104">
        <f>SUM(J314:N314)</f>
        <v/>
      </c>
      <c r="P314" s="12">
        <f>O314/IF(H314="L",20,IF(H314="U",30,IF(H314="O",40,IF(H314="I",20,""))))</f>
        <v/>
      </c>
      <c r="Q314" s="132">
        <f>IF(AND(H314="L", P314&gt;=50%), "Pass",
IF(AND(H314="U", P314&gt;=60%), "Pass",
IF(AND(H314="O", P314&gt;=75%), "Pass", "Fail")))</f>
        <v/>
      </c>
      <c r="R314" s="104" t="n"/>
      <c r="S314" s="104" t="n">
        <v>13</v>
      </c>
      <c r="T314" s="104" t="n">
        <v>8</v>
      </c>
      <c r="U314" s="104">
        <f>SUM(S314:T314)</f>
        <v/>
      </c>
      <c r="V314" s="12">
        <f>U314/IF(H314="L",35,IF(H314="U",35,IF(H314="O",35,IF(H314="I",35,""))))</f>
        <v/>
      </c>
      <c r="W314" s="132">
        <f>IF(AND(H314="L", V314&gt;=50%), "Pass",
IF(AND(H314="U", V314&gt;=60%), "Pass",
IF(AND(H314="O", V314&gt;=75%), "Pass", "Fail")))</f>
        <v/>
      </c>
      <c r="X314" s="132">
        <f>IF(AND(Q314="Pass", W314="Pass"), "Pass", "Fail")</f>
        <v/>
      </c>
      <c r="Y314" s="15">
        <f>IF($X314="Pass",$H314,
IF(H314="L","I",
IF(H314="U","L",
IF(H314="O","U",
"I"))))</f>
        <v/>
      </c>
    </row>
    <row r="315">
      <c r="A315" s="147">
        <f>ROW()-2</f>
        <v/>
      </c>
      <c r="B315" s="127" t="inlineStr">
        <is>
          <t>SK0945</t>
        </is>
      </c>
      <c r="C315" s="128" t="inlineStr">
        <is>
          <t>GANESAN M</t>
        </is>
      </c>
      <c r="D315" s="127" t="inlineStr">
        <is>
          <t>PRODUCTION</t>
        </is>
      </c>
      <c r="E315" s="129" t="inlineStr">
        <is>
          <t>RADIAL MARANGONI</t>
        </is>
      </c>
      <c r="F315" s="130" t="n">
        <v>41586</v>
      </c>
      <c r="G315" s="131">
        <f>NOW()-F315</f>
        <v/>
      </c>
      <c r="H315" s="104" t="inlineStr">
        <is>
          <t>O</t>
        </is>
      </c>
      <c r="I315" s="104" t="inlineStr">
        <is>
          <t>O</t>
        </is>
      </c>
      <c r="J315" s="104" t="n">
        <v>9</v>
      </c>
      <c r="K315" s="104" t="n">
        <v>9</v>
      </c>
      <c r="L315" s="104" t="n">
        <v>8</v>
      </c>
      <c r="M315" s="104" t="n">
        <v>8</v>
      </c>
      <c r="N315" s="104" t="n"/>
      <c r="O315" s="104">
        <f>SUM(J315:N315)</f>
        <v/>
      </c>
      <c r="P315" s="12">
        <f>O315/IF(H315="L",20,IF(H315="U",30,IF(H315="O",40,IF(H315="I",20,""))))</f>
        <v/>
      </c>
      <c r="Q315" s="132">
        <f>IF(AND(H315="L", P315&gt;=50%), "Pass",
IF(AND(H315="U", P315&gt;=60%), "Pass",
IF(AND(H315="O", P315&gt;=75%), "Pass", "Fail")))</f>
        <v/>
      </c>
      <c r="R315" s="104" t="n"/>
      <c r="S315" s="104" t="n">
        <v>15</v>
      </c>
      <c r="T315" s="104" t="n">
        <v>12</v>
      </c>
      <c r="U315" s="104">
        <f>SUM(S315:T315)</f>
        <v/>
      </c>
      <c r="V315" s="12">
        <f>U315/IF(H315="L",35,IF(H315="U",35,IF(H315="O",35,IF(H315="I",35,""))))</f>
        <v/>
      </c>
      <c r="W315" s="132">
        <f>IF(AND(H315="L", V315&gt;=50%), "Pass",
IF(AND(H315="U", V315&gt;=60%), "Pass",
IF(AND(H315="O", V315&gt;=75%), "Pass", "Fail")))</f>
        <v/>
      </c>
      <c r="X315" s="132">
        <f>IF(AND(Q315="Pass", W315="Pass"), "Pass", "Fail")</f>
        <v/>
      </c>
      <c r="Y315" s="15">
        <f>IF($X315="Pass",$H315,
IF(H315="L","I",
IF(H315="U","L",
IF(H315="O","U",
"I"))))</f>
        <v/>
      </c>
    </row>
    <row r="316">
      <c r="A316" s="147">
        <f>ROW()-2</f>
        <v/>
      </c>
      <c r="B316" s="127" t="inlineStr">
        <is>
          <t>SK2293</t>
        </is>
      </c>
      <c r="C316" s="128" t="inlineStr">
        <is>
          <t>ESAKKI P</t>
        </is>
      </c>
      <c r="D316" s="127" t="inlineStr">
        <is>
          <t>PRODUCTION</t>
        </is>
      </c>
      <c r="E316" s="129" t="inlineStr">
        <is>
          <t>EXTRUDER</t>
        </is>
      </c>
      <c r="F316" s="130" t="n">
        <v>41586</v>
      </c>
      <c r="G316" s="131">
        <f>NOW()-F316</f>
        <v/>
      </c>
      <c r="H316" s="104" t="inlineStr">
        <is>
          <t>O</t>
        </is>
      </c>
      <c r="I316" s="104" t="inlineStr">
        <is>
          <t>O</t>
        </is>
      </c>
      <c r="J316" s="104" t="n">
        <v>9</v>
      </c>
      <c r="K316" s="104" t="n">
        <v>8</v>
      </c>
      <c r="L316" s="104" t="n">
        <v>9</v>
      </c>
      <c r="M316" s="104" t="n">
        <v>10</v>
      </c>
      <c r="N316" s="104" t="n"/>
      <c r="O316" s="104">
        <f>SUM(J316:N316)</f>
        <v/>
      </c>
      <c r="P316" s="12">
        <f>O316/IF(H316="L",20,IF(H316="U",30,IF(H316="O",40,IF(H316="I",20,""))))</f>
        <v/>
      </c>
      <c r="Q316" s="132">
        <f>IF(AND(H316="L", P316&gt;=50%), "Pass",
IF(AND(H316="U", P316&gt;=60%), "Pass",
IF(AND(H316="O", P316&gt;=75%), "Pass", "Fail")))</f>
        <v/>
      </c>
      <c r="R316" s="104" t="n"/>
      <c r="S316" s="104" t="n">
        <v>17</v>
      </c>
      <c r="T316" s="104" t="n">
        <v>12</v>
      </c>
      <c r="U316" s="104">
        <f>SUM(S316:T316)</f>
        <v/>
      </c>
      <c r="V316" s="12">
        <f>U316/IF(H316="L",35,IF(H316="U",35,IF(H316="O",35,IF(H316="I",35,""))))</f>
        <v/>
      </c>
      <c r="W316" s="132">
        <f>IF(AND(H316="L", V316&gt;=50%), "Pass",
IF(AND(H316="U", V316&gt;=60%), "Pass",
IF(AND(H316="O", V316&gt;=75%), "Pass", "Fail")))</f>
        <v/>
      </c>
      <c r="X316" s="132">
        <f>IF(AND(Q316="Pass", W316="Pass"), "Pass", "Fail")</f>
        <v/>
      </c>
      <c r="Y316" s="15">
        <f>IF($X316="Pass",$H316,
IF(H316="L","I",
IF(H316="U","L",
IF(H316="O","U",
"I"))))</f>
        <v/>
      </c>
    </row>
    <row r="317">
      <c r="A317" s="147">
        <f>ROW()-2</f>
        <v/>
      </c>
      <c r="B317" s="133" t="inlineStr">
        <is>
          <t>AK0212</t>
        </is>
      </c>
      <c r="C317" s="148" t="inlineStr">
        <is>
          <t>SELVAM O</t>
        </is>
      </c>
      <c r="D317" s="127" t="inlineStr">
        <is>
          <t>PRODUCTION</t>
        </is>
      </c>
      <c r="E317" s="135" t="inlineStr">
        <is>
          <t>MIXING</t>
        </is>
      </c>
      <c r="F317" s="136" t="n">
        <v>41587</v>
      </c>
      <c r="G317" s="131">
        <f>NOW()-F317</f>
        <v/>
      </c>
      <c r="H317" s="104" t="inlineStr">
        <is>
          <t>O</t>
        </is>
      </c>
      <c r="I317" s="104" t="inlineStr">
        <is>
          <t>U</t>
        </is>
      </c>
      <c r="J317" s="104" t="inlineStr">
        <is>
          <t>NIL</t>
        </is>
      </c>
      <c r="K317" s="104" t="n"/>
      <c r="L317" s="104" t="n"/>
      <c r="M317" s="104" t="n"/>
      <c r="N317" s="104" t="n"/>
      <c r="O317" s="104" t="n"/>
      <c r="P317" s="12">
        <f>O317/IF(H317="L",20,IF(H317="U",30,IF(H317="O",40,IF(H317="I",20,""))))</f>
        <v/>
      </c>
      <c r="Q317" s="132">
        <f>IF(AND(H317="L", P317&gt;=50%), "Pass",
IF(AND(H317="U", P317&gt;=60%), "Pass",
IF(AND(H317="O", P317&gt;=75%), "Pass", "Fail")))</f>
        <v/>
      </c>
      <c r="R317" s="104" t="n"/>
      <c r="S317" s="104" t="n">
        <v>14</v>
      </c>
      <c r="T317" s="104" t="n">
        <v>11</v>
      </c>
      <c r="U317" s="104">
        <f>SUM(S317:T317)</f>
        <v/>
      </c>
      <c r="V317" s="12">
        <f>U317/IF(H317="L",35,IF(H317="U",35,IF(H317="O",35,IF(H317="I",35,""))))</f>
        <v/>
      </c>
      <c r="W317" s="132">
        <f>IF(AND(H317="L", V317&gt;=50%), "Pass",
IF(AND(H317="U", V317&gt;=60%), "Pass",
IF(AND(H317="O", V317&gt;=75%), "Pass", "Fail")))</f>
        <v/>
      </c>
      <c r="X317" s="132">
        <f>IF(AND(Q317="Pass", W317="Pass"), "Pass", "Fail")</f>
        <v/>
      </c>
      <c r="Y317" s="15">
        <f>IF($X317="Pass",$H317,
IF(H317="L","I",
IF(H317="U","L",
IF(H317="O","U",
"I"))))</f>
        <v/>
      </c>
    </row>
    <row r="318">
      <c r="A318" s="147">
        <f>ROW()-2</f>
        <v/>
      </c>
      <c r="B318" s="127" t="inlineStr">
        <is>
          <t>SK2292</t>
        </is>
      </c>
      <c r="C318" s="128" t="inlineStr">
        <is>
          <t>MURUGAN N</t>
        </is>
      </c>
      <c r="D318" s="127" t="inlineStr">
        <is>
          <t>PRODUCTION</t>
        </is>
      </c>
      <c r="E318" s="129" t="inlineStr">
        <is>
          <t>TYRE CURING</t>
        </is>
      </c>
      <c r="F318" s="130" t="n">
        <v>41587</v>
      </c>
      <c r="G318" s="131">
        <f>NOW()-F318</f>
        <v/>
      </c>
      <c r="H318" s="104" t="inlineStr">
        <is>
          <t>O</t>
        </is>
      </c>
      <c r="I318" s="104" t="inlineStr">
        <is>
          <t>U</t>
        </is>
      </c>
      <c r="J318" s="104" t="n">
        <v>9</v>
      </c>
      <c r="K318" s="104" t="n">
        <v>10</v>
      </c>
      <c r="L318" s="104" t="n">
        <v>8</v>
      </c>
      <c r="M318" s="104" t="n">
        <v>8</v>
      </c>
      <c r="N318" s="104" t="n"/>
      <c r="O318" s="104">
        <f>SUM(J318:N318)</f>
        <v/>
      </c>
      <c r="P318" s="12">
        <f>O318/IF(H318="L",20,IF(H318="U",30,IF(H318="O",40,IF(H318="I",20,""))))</f>
        <v/>
      </c>
      <c r="Q318" s="132">
        <f>IF(AND(H318="L", P318&gt;=50%), "Pass",
IF(AND(H318="U", P318&gt;=60%), "Pass",
IF(AND(H318="O", P318&gt;=75%), "Pass", "Fail")))</f>
        <v/>
      </c>
      <c r="R318" s="104" t="n"/>
      <c r="S318" s="104" t="n">
        <v>9</v>
      </c>
      <c r="T318" s="104" t="n">
        <v>8</v>
      </c>
      <c r="U318" s="104">
        <f>SUM(S318:T318)</f>
        <v/>
      </c>
      <c r="V318" s="12">
        <f>U318/IF(H318="L",35,IF(H318="U",35,IF(H318="O",35,IF(H318="I",35,""))))</f>
        <v/>
      </c>
      <c r="W318" s="132">
        <f>IF(AND(H318="L", V318&gt;=50%), "Pass",
IF(AND(H318="U", V318&gt;=60%), "Pass",
IF(AND(H318="O", V318&gt;=75%), "Pass", "Fail")))</f>
        <v/>
      </c>
      <c r="X318" s="132">
        <f>IF(AND(Q318="Pass", W318="Pass"), "Pass", "Fail")</f>
        <v/>
      </c>
      <c r="Y318" s="15">
        <f>IF($X318="Pass",$H318,
IF(H318="L","I",
IF(H318="U","L",
IF(H318="O","U",
"I"))))</f>
        <v/>
      </c>
    </row>
    <row r="319">
      <c r="A319" s="147">
        <f>ROW()-2</f>
        <v/>
      </c>
      <c r="B319" s="127" t="inlineStr">
        <is>
          <t>KK0071</t>
        </is>
      </c>
      <c r="C319" s="128" t="inlineStr">
        <is>
          <t>MURUGESAN S</t>
        </is>
      </c>
      <c r="D319" s="127" t="inlineStr">
        <is>
          <t>PRODUCTION</t>
        </is>
      </c>
      <c r="E319" s="129" t="inlineStr">
        <is>
          <t>TYRE BUILDING-P1</t>
        </is>
      </c>
      <c r="F319" s="130" t="n">
        <v>41589</v>
      </c>
      <c r="G319" s="131">
        <f>NOW()-F319</f>
        <v/>
      </c>
      <c r="H319" s="104" t="inlineStr">
        <is>
          <t>O</t>
        </is>
      </c>
      <c r="I319" s="104" t="inlineStr">
        <is>
          <t>U</t>
        </is>
      </c>
      <c r="J319" s="104" t="n">
        <v>10</v>
      </c>
      <c r="K319" s="104" t="n">
        <v>10</v>
      </c>
      <c r="L319" s="104" t="n">
        <v>8</v>
      </c>
      <c r="M319" s="104" t="n">
        <v>10</v>
      </c>
      <c r="N319" s="104" t="n"/>
      <c r="O319" s="104">
        <f>SUM(J319:N319)</f>
        <v/>
      </c>
      <c r="P319" s="12">
        <f>O319/IF(H319="L",20,IF(H319="U",30,IF(H319="O",40,IF(H319="I",20,""))))</f>
        <v/>
      </c>
      <c r="Q319" s="132">
        <f>IF(AND(H319="L", P319&gt;=50%), "Pass",
IF(AND(H319="U", P319&gt;=60%), "Pass",
IF(AND(H319="O", P319&gt;=75%), "Pass", "Fail")))</f>
        <v/>
      </c>
      <c r="R319" s="104" t="n"/>
      <c r="S319" s="104" t="n">
        <v>17</v>
      </c>
      <c r="T319" s="104" t="n">
        <v>15</v>
      </c>
      <c r="U319" s="104">
        <f>SUM(S319:T319)</f>
        <v/>
      </c>
      <c r="V319" s="12">
        <f>U319/IF(H319="L",35,IF(H319="U",35,IF(H319="O",35,IF(H319="I",35,""))))</f>
        <v/>
      </c>
      <c r="W319" s="132">
        <f>IF(AND(H319="L", V319&gt;=50%), "Pass",
IF(AND(H319="U", V319&gt;=60%), "Pass",
IF(AND(H319="O", V319&gt;=75%), "Pass", "Fail")))</f>
        <v/>
      </c>
      <c r="X319" s="132">
        <f>IF(AND(Q319="Pass", W319="Pass"), "Pass", "Fail")</f>
        <v/>
      </c>
      <c r="Y319" s="15">
        <f>IF($X319="Pass",$H319,
IF(H319="L","I",
IF(H319="U","L",
IF(H319="O","U",
"I"))))</f>
        <v/>
      </c>
    </row>
    <row r="320">
      <c r="A320" s="147">
        <f>ROW()-2</f>
        <v/>
      </c>
      <c r="B320" s="127" t="inlineStr">
        <is>
          <t>SK0954</t>
        </is>
      </c>
      <c r="C320" s="128" t="inlineStr">
        <is>
          <t>ILAYA RAJA P</t>
        </is>
      </c>
      <c r="D320" s="127" t="inlineStr">
        <is>
          <t>PRODUCTION</t>
        </is>
      </c>
      <c r="E320" s="129" t="inlineStr">
        <is>
          <t>TYRE CURING</t>
        </is>
      </c>
      <c r="F320" s="130" t="n">
        <v>41592</v>
      </c>
      <c r="G320" s="131">
        <f>NOW()-F320</f>
        <v/>
      </c>
      <c r="H320" s="104" t="inlineStr">
        <is>
          <t>O</t>
        </is>
      </c>
      <c r="I320" s="104" t="inlineStr">
        <is>
          <t>O</t>
        </is>
      </c>
      <c r="J320" s="104" t="n">
        <v>6</v>
      </c>
      <c r="K320" s="104" t="n">
        <v>6</v>
      </c>
      <c r="L320" s="104" t="n">
        <v>9</v>
      </c>
      <c r="M320" s="104" t="n">
        <v>3</v>
      </c>
      <c r="N320" s="104" t="n"/>
      <c r="O320" s="104">
        <f>SUM(J320:N320)</f>
        <v/>
      </c>
      <c r="P320" s="12">
        <f>O320/IF(H320="L",20,IF(H320="U",30,IF(H320="O",40,IF(H320="I",20,""))))</f>
        <v/>
      </c>
      <c r="Q320" s="132">
        <f>IF(AND(H320="L", P320&gt;=50%), "Pass",
IF(AND(H320="U", P320&gt;=60%), "Pass",
IF(AND(H320="O", P320&gt;=75%), "Pass", "Fail")))</f>
        <v/>
      </c>
      <c r="R320" s="104" t="n"/>
      <c r="S320" s="104" t="n">
        <v>18</v>
      </c>
      <c r="T320" s="104" t="n">
        <v>14</v>
      </c>
      <c r="U320" s="104">
        <f>SUM(S320:T320)</f>
        <v/>
      </c>
      <c r="V320" s="12">
        <f>U320/IF(H320="L",35,IF(H320="U",35,IF(H320="O",35,IF(H320="I",35,""))))</f>
        <v/>
      </c>
      <c r="W320" s="132">
        <f>IF(AND(H320="L", V320&gt;=50%), "Pass",
IF(AND(H320="U", V320&gt;=60%), "Pass",
IF(AND(H320="O", V320&gt;=75%), "Pass", "Fail")))</f>
        <v/>
      </c>
      <c r="X320" s="132">
        <f>IF(AND(Q320="Pass", W320="Pass"), "Pass", "Fail")</f>
        <v/>
      </c>
      <c r="Y320" s="15">
        <f>IF($X320="Pass",$H320,
IF(H320="L","I",
IF(H320="U","L",
IF(H320="O","U",
"I"))))</f>
        <v/>
      </c>
    </row>
    <row r="321">
      <c r="A321" s="147">
        <f>ROW()-2</f>
        <v/>
      </c>
      <c r="B321" s="127" t="inlineStr">
        <is>
          <t>AK0215</t>
        </is>
      </c>
      <c r="C321" s="128" t="inlineStr">
        <is>
          <t>ARUMUGAM S</t>
        </is>
      </c>
      <c r="D321" s="127" t="inlineStr">
        <is>
          <t>PRODUCTION</t>
        </is>
      </c>
      <c r="E321" s="129" t="inlineStr">
        <is>
          <t>EXTRUDER</t>
        </is>
      </c>
      <c r="F321" s="130" t="n">
        <v>41595</v>
      </c>
      <c r="G321" s="131">
        <f>NOW()-F321</f>
        <v/>
      </c>
      <c r="H321" s="104" t="inlineStr">
        <is>
          <t>O</t>
        </is>
      </c>
      <c r="I321" s="104" t="inlineStr">
        <is>
          <t>U</t>
        </is>
      </c>
      <c r="J321" s="104" t="n">
        <v>9</v>
      </c>
      <c r="K321" s="104" t="n">
        <v>7</v>
      </c>
      <c r="L321" s="104" t="n">
        <v>10</v>
      </c>
      <c r="M321" s="104" t="n">
        <v>7</v>
      </c>
      <c r="N321" s="104" t="n"/>
      <c r="O321" s="104">
        <f>SUM(J321:N321)</f>
        <v/>
      </c>
      <c r="P321" s="12">
        <f>O321/IF(H321="L",20,IF(H321="U",30,IF(H321="O",40,IF(H321="I",20,""))))</f>
        <v/>
      </c>
      <c r="Q321" s="132">
        <f>IF(AND(H321="L", P321&gt;=50%), "Pass",
IF(AND(H321="U", P321&gt;=60%), "Pass",
IF(AND(H321="O", P321&gt;=75%), "Pass", "Fail")))</f>
        <v/>
      </c>
      <c r="R321" s="104" t="n"/>
      <c r="S321" s="104" t="n">
        <v>13</v>
      </c>
      <c r="T321" s="104" t="n">
        <v>11</v>
      </c>
      <c r="U321" s="104">
        <f>SUM(S321:T321)</f>
        <v/>
      </c>
      <c r="V321" s="12">
        <f>U321/IF(H321="L",35,IF(H321="U",35,IF(H321="O",35,IF(H321="I",35,""))))</f>
        <v/>
      </c>
      <c r="W321" s="132">
        <f>IF(AND(H321="L", V321&gt;=50%), "Pass",
IF(AND(H321="U", V321&gt;=60%), "Pass",
IF(AND(H321="O", V321&gt;=75%), "Pass", "Fail")))</f>
        <v/>
      </c>
      <c r="X321" s="132">
        <f>IF(AND(Q321="Pass", W321="Pass"), "Pass", "Fail")</f>
        <v/>
      </c>
      <c r="Y321" s="15">
        <f>IF($X321="Pass",$H321,
IF(H321="L","I",
IF(H321="U","L",
IF(H321="O","U",
"I"))))</f>
        <v/>
      </c>
    </row>
    <row r="322">
      <c r="A322" s="147">
        <f>ROW()-2</f>
        <v/>
      </c>
      <c r="B322" s="127" t="inlineStr">
        <is>
          <t>PK0670</t>
        </is>
      </c>
      <c r="C322" s="128" t="inlineStr">
        <is>
          <t>MURUGIAH S</t>
        </is>
      </c>
      <c r="D322" s="127" t="inlineStr">
        <is>
          <t>PRODUCTION</t>
        </is>
      </c>
      <c r="E322" s="129" t="inlineStr">
        <is>
          <t>TYRE CURING</t>
        </is>
      </c>
      <c r="F322" s="130" t="n">
        <v>41596</v>
      </c>
      <c r="G322" s="131">
        <f>NOW()-F322</f>
        <v/>
      </c>
      <c r="H322" s="104" t="inlineStr">
        <is>
          <t>O</t>
        </is>
      </c>
      <c r="I322" s="104" t="inlineStr">
        <is>
          <t>U</t>
        </is>
      </c>
      <c r="J322" s="104" t="n">
        <v>9</v>
      </c>
      <c r="K322" s="104" t="n">
        <v>9</v>
      </c>
      <c r="L322" s="104" t="n">
        <v>9</v>
      </c>
      <c r="M322" s="104" t="n">
        <v>7</v>
      </c>
      <c r="N322" s="104" t="n"/>
      <c r="O322" s="104">
        <f>SUM(J322:N322)</f>
        <v/>
      </c>
      <c r="P322" s="12">
        <f>O322/IF(H322="L",20,IF(H322="U",30,IF(H322="O",40,IF(H322="I",20,""))))</f>
        <v/>
      </c>
      <c r="Q322" s="132">
        <f>IF(AND(H322="L", P322&gt;=50%), "Pass",
IF(AND(H322="U", P322&gt;=60%), "Pass",
IF(AND(H322="O", P322&gt;=75%), "Pass", "Fail")))</f>
        <v/>
      </c>
      <c r="R322" s="104" t="n"/>
      <c r="S322" s="104" t="n">
        <v>13</v>
      </c>
      <c r="T322" s="104" t="n">
        <v>9</v>
      </c>
      <c r="U322" s="104">
        <f>SUM(S322:T322)</f>
        <v/>
      </c>
      <c r="V322" s="12">
        <f>U322/IF(H322="L",35,IF(H322="U",35,IF(H322="O",35,IF(H322="I",35,""))))</f>
        <v/>
      </c>
      <c r="W322" s="132">
        <f>IF(AND(H322="L", V322&gt;=50%), "Pass",
IF(AND(H322="U", V322&gt;=60%), "Pass",
IF(AND(H322="O", V322&gt;=75%), "Pass", "Fail")))</f>
        <v/>
      </c>
      <c r="X322" s="132">
        <f>IF(AND(Q322="Pass", W322="Pass"), "Pass", "Fail")</f>
        <v/>
      </c>
      <c r="Y322" s="15">
        <f>IF($X322="Pass",$H322,
IF(H322="L","I",
IF(H322="U","L",
IF(H322="O","U",
"I"))))</f>
        <v/>
      </c>
    </row>
    <row r="323">
      <c r="A323" s="147">
        <f>ROW()-2</f>
        <v/>
      </c>
      <c r="B323" s="127" t="inlineStr">
        <is>
          <t>AK0216</t>
        </is>
      </c>
      <c r="C323" s="128" t="inlineStr">
        <is>
          <t>CHELLAPANDIAN S</t>
        </is>
      </c>
      <c r="D323" s="127" t="inlineStr">
        <is>
          <t>PRODUCTION</t>
        </is>
      </c>
      <c r="E323" s="129" t="inlineStr">
        <is>
          <t>BEAD WINDING</t>
        </is>
      </c>
      <c r="F323" s="130" t="n">
        <v>41597</v>
      </c>
      <c r="G323" s="131">
        <f>NOW()-F323</f>
        <v/>
      </c>
      <c r="H323" s="104" t="inlineStr">
        <is>
          <t>O</t>
        </is>
      </c>
      <c r="I323" s="104" t="inlineStr">
        <is>
          <t>U</t>
        </is>
      </c>
      <c r="J323" s="104" t="n">
        <v>7</v>
      </c>
      <c r="K323" s="104" t="n">
        <v>6</v>
      </c>
      <c r="L323" s="104" t="n">
        <v>6</v>
      </c>
      <c r="M323" s="104" t="n">
        <v>6</v>
      </c>
      <c r="N323" s="104" t="n"/>
      <c r="O323" s="104">
        <f>SUM(J323:N323)</f>
        <v/>
      </c>
      <c r="P323" s="12">
        <f>O323/IF(H323="L",20,IF(H323="U",30,IF(H323="O",40,IF(H323="I",20,""))))</f>
        <v/>
      </c>
      <c r="Q323" s="132">
        <f>IF(AND(H323="L", P323&gt;=50%), "Pass",
 IF(AND(H323="U", P323&gt;=60%), "Pass",
 IF(AND(H323="O", P323&gt;=75%), "Pass", "Fail")))</f>
        <v/>
      </c>
      <c r="R323" s="104" t="n"/>
      <c r="S323" s="104" t="n">
        <v>15</v>
      </c>
      <c r="T323" s="104" t="n">
        <v>8</v>
      </c>
      <c r="U323" s="104">
        <f>SUM(S323:T323)</f>
        <v/>
      </c>
      <c r="V323" s="12">
        <f>U323/IF(H323="L",35,IF(H323="U",35,IF(H323="O",35,IF(H323="I",35,""))))</f>
        <v/>
      </c>
      <c r="W323" s="132">
        <f>IF(AND(H323="L", V323&gt;=50%), "Pass",
 IF(AND(H323="U", V323&gt;=60%), "Pass",
 IF(AND(H323="O", V323&gt;=75%), "Pass", "Fail")))</f>
        <v/>
      </c>
      <c r="X323" s="132">
        <f>IF(AND(Q323="Pass", W323="Pass"), "Pass", "Fail")</f>
        <v/>
      </c>
      <c r="Y323" s="15">
        <f>IF($X323="Pass",$H323,
IF(H323="L","I",
IF(H323="U","L",
IF(H323="O","U",
"I"))))</f>
        <v/>
      </c>
    </row>
    <row r="324">
      <c r="A324" s="147">
        <f>ROW()-2</f>
        <v/>
      </c>
      <c r="B324" s="127" t="inlineStr">
        <is>
          <t>SR0079</t>
        </is>
      </c>
      <c r="C324" s="128" t="inlineStr">
        <is>
          <t>MURUGESAN S</t>
        </is>
      </c>
      <c r="D324" s="127" t="inlineStr">
        <is>
          <t>PRODUCTION</t>
        </is>
      </c>
      <c r="E324" s="129" t="inlineStr">
        <is>
          <t>TYRE BUILDING-P2</t>
        </is>
      </c>
      <c r="F324" s="130" t="n">
        <v>41597</v>
      </c>
      <c r="G324" s="131">
        <f>NOW()-F324</f>
        <v/>
      </c>
      <c r="H324" s="104" t="inlineStr">
        <is>
          <t>O</t>
        </is>
      </c>
      <c r="I324" s="104" t="inlineStr">
        <is>
          <t>U</t>
        </is>
      </c>
      <c r="J324" s="104" t="n">
        <v>9</v>
      </c>
      <c r="K324" s="104" t="n">
        <v>9</v>
      </c>
      <c r="L324" s="104" t="n">
        <v>8</v>
      </c>
      <c r="M324" s="104" t="n">
        <v>8</v>
      </c>
      <c r="N324" s="104" t="n"/>
      <c r="O324" s="104">
        <f>SUM(J324:N324)</f>
        <v/>
      </c>
      <c r="P324" s="12">
        <f>O324/IF(H324="L",20,IF(H324="U",30,IF(H324="O",40,IF(H324="I",20,""))))</f>
        <v/>
      </c>
      <c r="Q324" s="132">
        <f>IF(AND(H324="L", P324&gt;=50%), "Pass",
IF(AND(H324="U", P324&gt;=60%), "Pass",
IF(AND(H324="O", P324&gt;=75%), "Pass", "Fail")))</f>
        <v/>
      </c>
      <c r="R324" s="104" t="n"/>
      <c r="S324" s="104" t="n">
        <v>11</v>
      </c>
      <c r="T324" s="104" t="n">
        <v>8</v>
      </c>
      <c r="U324" s="104">
        <f>SUM(S324:T324)</f>
        <v/>
      </c>
      <c r="V324" s="12">
        <f>U324/IF(H324="L",35,IF(H324="U",35,IF(H324="O",35,IF(H324="I",35,""))))</f>
        <v/>
      </c>
      <c r="W324" s="132">
        <f>IF(AND(H324="L", V324&gt;=50%), "Pass",
IF(AND(H324="U", V324&gt;=60%), "Pass",
IF(AND(H324="O", V324&gt;=75%), "Pass", "Fail")))</f>
        <v/>
      </c>
      <c r="X324" s="132">
        <f>IF(AND(Q324="Pass", W324="Pass"), "Pass", "Fail")</f>
        <v/>
      </c>
      <c r="Y324" s="15">
        <f>IF($X324="Pass",$H324,
IF(H324="L","I",
IF(H324="U","L",
IF(H324="O","U",
"I"))))</f>
        <v/>
      </c>
    </row>
    <row r="325">
      <c r="A325" s="147">
        <f>ROW()-2</f>
        <v/>
      </c>
      <c r="B325" s="127" t="inlineStr">
        <is>
          <t>SK0985</t>
        </is>
      </c>
      <c r="C325" s="128" t="inlineStr">
        <is>
          <t>BAHADUR MAURYA</t>
        </is>
      </c>
      <c r="D325" s="127" t="inlineStr">
        <is>
          <t>PRODUCTION</t>
        </is>
      </c>
      <c r="E325" s="129" t="inlineStr">
        <is>
          <t>TYRE BUILDING-P2</t>
        </is>
      </c>
      <c r="F325" s="130" t="n">
        <v>41600</v>
      </c>
      <c r="G325" s="131">
        <f>NOW()-F325</f>
        <v/>
      </c>
      <c r="H325" s="104" t="inlineStr">
        <is>
          <t>O</t>
        </is>
      </c>
      <c r="I325" s="104" t="inlineStr">
        <is>
          <t>U</t>
        </is>
      </c>
      <c r="J325" s="104" t="n">
        <v>8</v>
      </c>
      <c r="K325" s="104" t="n">
        <v>9</v>
      </c>
      <c r="L325" s="104" t="n">
        <v>7</v>
      </c>
      <c r="M325" s="104" t="n">
        <v>8</v>
      </c>
      <c r="N325" s="104" t="n"/>
      <c r="O325" s="104">
        <f>SUM(J325:N325)</f>
        <v/>
      </c>
      <c r="P325" s="12">
        <f>O325/IF(H325="L",20,IF(H325="U",30,IF(H325="O",40,IF(H325="I",20,""))))</f>
        <v/>
      </c>
      <c r="Q325" s="132">
        <f>IF(AND(H325="L", P325&gt;=50%), "Pass",
IF(AND(H325="U", P325&gt;=60%), "Pass",
IF(AND(H325="O", P325&gt;=75%), "Pass", "Fail")))</f>
        <v/>
      </c>
      <c r="R325" s="104" t="n"/>
      <c r="S325" s="104" t="n">
        <v>9</v>
      </c>
      <c r="T325" s="104" t="n">
        <v>7</v>
      </c>
      <c r="U325" s="104">
        <f>SUM(S325:T325)</f>
        <v/>
      </c>
      <c r="V325" s="12">
        <f>U325/IF(H325="L",35,IF(H325="U",35,IF(H325="O",35,IF(H325="I",35,""))))</f>
        <v/>
      </c>
      <c r="W325" s="132">
        <f>IF(AND(H325="L", V325&gt;=50%), "Pass",
IF(AND(H325="U", V325&gt;=60%), "Pass",
IF(AND(H325="O", V325&gt;=75%), "Pass", "Fail")))</f>
        <v/>
      </c>
      <c r="X325" s="132">
        <f>IF(AND(Q325="Pass", W325="Pass"), "Pass", "Fail")</f>
        <v/>
      </c>
      <c r="Y325" s="15">
        <f>IF($X325="Pass",$H325,
IF(H325="L","I",
IF(H325="U","L",
IF(H325="O","U",
"I"))))</f>
        <v/>
      </c>
    </row>
    <row r="326">
      <c r="A326" s="147">
        <f>ROW()-2</f>
        <v/>
      </c>
      <c r="B326" s="127" t="inlineStr">
        <is>
          <t>KK0285</t>
        </is>
      </c>
      <c r="C326" s="128" t="inlineStr">
        <is>
          <t>THANGA PANDIAN N</t>
        </is>
      </c>
      <c r="D326" s="127" t="inlineStr">
        <is>
          <t>PRODUCTION</t>
        </is>
      </c>
      <c r="E326" s="129" t="inlineStr">
        <is>
          <t>BEAD WINDING</t>
        </is>
      </c>
      <c r="F326" s="130" t="n">
        <v>41601</v>
      </c>
      <c r="G326" s="131">
        <f>NOW()-F326</f>
        <v/>
      </c>
      <c r="H326" s="104" t="inlineStr">
        <is>
          <t>O</t>
        </is>
      </c>
      <c r="I326" s="104" t="inlineStr">
        <is>
          <t>U</t>
        </is>
      </c>
      <c r="J326" s="104" t="n">
        <v>8</v>
      </c>
      <c r="K326" s="104" t="n">
        <v>7</v>
      </c>
      <c r="L326" s="104" t="n">
        <v>7</v>
      </c>
      <c r="M326" s="104" t="n">
        <v>6</v>
      </c>
      <c r="N326" s="104" t="n"/>
      <c r="O326" s="104">
        <f>SUM(J326:N326)</f>
        <v/>
      </c>
      <c r="P326" s="12">
        <f>O326/IF(H326="L",20,IF(H326="U",30,IF(H326="O",40,IF(H326="I",20,""))))</f>
        <v/>
      </c>
      <c r="Q326" s="132">
        <f>IF(AND(H326="L", P326&gt;=50%), "Pass",
IF(AND(H326="U", P326&gt;=60%), "Pass",
IF(AND(H326="O", P326&gt;=75%), "Pass", "Fail")))</f>
        <v/>
      </c>
      <c r="R326" s="104" t="n"/>
      <c r="S326" s="104" t="n">
        <v>15</v>
      </c>
      <c r="T326" s="104" t="n">
        <v>11</v>
      </c>
      <c r="U326" s="104">
        <f>SUM(S326:T326)</f>
        <v/>
      </c>
      <c r="V326" s="12">
        <f>U326/IF(H326="L",35,IF(H326="U",35,IF(H326="O",35,IF(H326="I",35,""))))</f>
        <v/>
      </c>
      <c r="W326" s="132">
        <f>IF(AND(H326="L", V326&gt;=50%), "Pass",
IF(AND(H326="U", V326&gt;=60%), "Pass",
IF(AND(H326="O", V326&gt;=75%), "Pass", "Fail")))</f>
        <v/>
      </c>
      <c r="X326" s="132">
        <f>IF(AND(Q326="Pass", W326="Pass"), "Pass", "Fail")</f>
        <v/>
      </c>
      <c r="Y326" s="15">
        <f>IF($X326="Pass",$H326,
IF(H326="L","I",
IF(H326="U","L",
IF(H326="O","U",
"I"))))</f>
        <v/>
      </c>
    </row>
    <row r="327">
      <c r="A327" s="147">
        <f>ROW()-2</f>
        <v/>
      </c>
      <c r="B327" s="127" t="inlineStr">
        <is>
          <t>KK0098</t>
        </is>
      </c>
      <c r="C327" s="128" t="inlineStr">
        <is>
          <t>MADASAMY T</t>
        </is>
      </c>
      <c r="D327" s="127" t="inlineStr">
        <is>
          <t>PRODUCTION</t>
        </is>
      </c>
      <c r="E327" s="129" t="inlineStr">
        <is>
          <t>TYRE BUILDING-P3</t>
        </is>
      </c>
      <c r="F327" s="130" t="n">
        <v>41608</v>
      </c>
      <c r="G327" s="131">
        <f>NOW()-F327</f>
        <v/>
      </c>
      <c r="H327" s="104" t="inlineStr">
        <is>
          <t>O</t>
        </is>
      </c>
      <c r="I327" s="104" t="inlineStr">
        <is>
          <t>U</t>
        </is>
      </c>
      <c r="J327" s="104" t="n">
        <v>10</v>
      </c>
      <c r="K327" s="104" t="n">
        <v>10</v>
      </c>
      <c r="L327" s="104" t="n">
        <v>8</v>
      </c>
      <c r="M327" s="104" t="n">
        <v>10</v>
      </c>
      <c r="N327" s="104" t="n"/>
      <c r="O327" s="104">
        <f>SUM(J327:N327)</f>
        <v/>
      </c>
      <c r="P327" s="12">
        <f>O327/IF(H327="L",20,IF(H327="U",30,IF(H327="O",40,IF(H327="I",20,""))))</f>
        <v/>
      </c>
      <c r="Q327" s="132">
        <f>IF(AND(H327="L", P327&gt;=50%), "Pass",
IF(AND(H327="U", P327&gt;=60%), "Pass",
IF(AND(H327="O", P327&gt;=75%), "Pass", "Fail")))</f>
        <v/>
      </c>
      <c r="R327" s="104" t="n"/>
      <c r="S327" s="104" t="n">
        <v>19</v>
      </c>
      <c r="T327" s="104" t="n">
        <v>14</v>
      </c>
      <c r="U327" s="104">
        <f>SUM(S327:T327)</f>
        <v/>
      </c>
      <c r="V327" s="12">
        <f>U327/IF(H327="L",35,IF(H327="U",35,IF(H327="O",35,IF(H327="I",35,""))))</f>
        <v/>
      </c>
      <c r="W327" s="132">
        <f>IF(AND(H327="L", V327&gt;=50%), "Pass",
IF(AND(H327="U", V327&gt;=60%), "Pass",
IF(AND(H327="O", V327&gt;=75%), "Pass", "Fail")))</f>
        <v/>
      </c>
      <c r="X327" s="132">
        <f>IF(AND(Q327="Pass", W327="Pass"), "Pass", "Fail")</f>
        <v/>
      </c>
      <c r="Y327" s="15">
        <f>IF($X327="Pass",$H327,
IF(H327="L","I",
IF(H327="U","L",
IF(H327="O","U",
"I"))))</f>
        <v/>
      </c>
    </row>
    <row r="328">
      <c r="A328" s="147">
        <f>ROW()-2</f>
        <v/>
      </c>
      <c r="B328" s="127" t="inlineStr">
        <is>
          <t>KK0100</t>
        </is>
      </c>
      <c r="C328" s="128" t="inlineStr">
        <is>
          <t>ARUMUGAM S</t>
        </is>
      </c>
      <c r="D328" s="127" t="inlineStr">
        <is>
          <t>PRODUCTION</t>
        </is>
      </c>
      <c r="E328" s="129" t="inlineStr">
        <is>
          <t>TYRE CURING</t>
        </is>
      </c>
      <c r="F328" s="130" t="n">
        <v>41609</v>
      </c>
      <c r="G328" s="131">
        <f>NOW()-F328</f>
        <v/>
      </c>
      <c r="H328" s="104" t="inlineStr">
        <is>
          <t>O</t>
        </is>
      </c>
      <c r="I328" s="104" t="inlineStr">
        <is>
          <t>U</t>
        </is>
      </c>
      <c r="J328" s="104" t="n">
        <v>9</v>
      </c>
      <c r="K328" s="104" t="n">
        <v>9</v>
      </c>
      <c r="L328" s="104" t="n">
        <v>8</v>
      </c>
      <c r="M328" s="104" t="n">
        <v>6</v>
      </c>
      <c r="N328" s="104" t="n"/>
      <c r="O328" s="104">
        <f>SUM(J328:N328)</f>
        <v/>
      </c>
      <c r="P328" s="12">
        <f>O328/IF(H328="L",20,IF(H328="U",30,IF(H328="O",40,IF(H328="I",20,""))))</f>
        <v/>
      </c>
      <c r="Q328" s="132">
        <f>IF(AND(H328="L", P328&gt;=50%), "Pass",
IF(AND(H328="U", P328&gt;=60%), "Pass",
IF(AND(H328="O", P328&gt;=75%), "Pass", "Fail")))</f>
        <v/>
      </c>
      <c r="R328" s="104" t="n"/>
      <c r="S328" s="104" t="n">
        <v>11</v>
      </c>
      <c r="T328" s="104" t="n">
        <v>12</v>
      </c>
      <c r="U328" s="104">
        <f>SUM(S328:T328)</f>
        <v/>
      </c>
      <c r="V328" s="12">
        <f>U328/IF(H328="L",35,IF(H328="U",35,IF(H328="O",35,IF(H328="I",35,""))))</f>
        <v/>
      </c>
      <c r="W328" s="132">
        <f>IF(AND(H328="L", V328&gt;=50%), "Pass",
IF(AND(H328="U", V328&gt;=60%), "Pass",
IF(AND(H328="O", V328&gt;=75%), "Pass", "Fail")))</f>
        <v/>
      </c>
      <c r="X328" s="132">
        <f>IF(AND(Q328="Pass", W328="Pass"), "Pass", "Fail")</f>
        <v/>
      </c>
      <c r="Y328" s="15">
        <f>IF($X328="Pass",$H328,
IF(H328="L","I",
IF(H328="U","L",
IF(H328="O","U",
"I"))))</f>
        <v/>
      </c>
    </row>
    <row r="329">
      <c r="A329" s="147">
        <f>ROW()-2</f>
        <v/>
      </c>
      <c r="B329" s="127" t="inlineStr">
        <is>
          <t>SK1661</t>
        </is>
      </c>
      <c r="C329" s="128" t="inlineStr">
        <is>
          <t>SURESH G</t>
        </is>
      </c>
      <c r="D329" s="127" t="inlineStr">
        <is>
          <t>PRODUCTION</t>
        </is>
      </c>
      <c r="E329" s="129" t="inlineStr">
        <is>
          <t>TYRE BUILDING-P3</t>
        </is>
      </c>
      <c r="F329" s="130" t="n">
        <v>41612</v>
      </c>
      <c r="G329" s="131">
        <f>NOW()-F329</f>
        <v/>
      </c>
      <c r="H329" s="104" t="inlineStr">
        <is>
          <t>O</t>
        </is>
      </c>
      <c r="I329" s="104" t="inlineStr">
        <is>
          <t>U</t>
        </is>
      </c>
      <c r="J329" s="104" t="n">
        <v>10</v>
      </c>
      <c r="K329" s="104" t="n">
        <v>10</v>
      </c>
      <c r="L329" s="104" t="n">
        <v>8</v>
      </c>
      <c r="M329" s="104" t="n">
        <v>9</v>
      </c>
      <c r="N329" s="104" t="n"/>
      <c r="O329" s="104">
        <f>SUM(J329:N329)</f>
        <v/>
      </c>
      <c r="P329" s="12">
        <f>O329/IF(H329="L",20,IF(H329="U",30,IF(H329="O",40,IF(H329="I",20,""))))</f>
        <v/>
      </c>
      <c r="Q329" s="132">
        <f>IF(AND(H329="L", P329&gt;=50%), "Pass",
IF(AND(H329="U", P329&gt;=60%), "Pass",
IF(AND(H329="O", P329&gt;=75%), "Pass", "Fail")))</f>
        <v/>
      </c>
      <c r="R329" s="104" t="n"/>
      <c r="S329" s="104" t="n">
        <v>19</v>
      </c>
      <c r="T329" s="104" t="n">
        <v>15</v>
      </c>
      <c r="U329" s="104">
        <f>SUM(S329:T329)</f>
        <v/>
      </c>
      <c r="V329" s="12">
        <f>U329/IF(H329="L",35,IF(H329="U",35,IF(H329="O",35,IF(H329="I",35,""))))</f>
        <v/>
      </c>
      <c r="W329" s="132">
        <f>IF(AND(H329="L", V329&gt;=50%), "Pass",
IF(AND(H329="U", V329&gt;=60%), "Pass",
IF(AND(H329="O", V329&gt;=75%), "Pass", "Fail")))</f>
        <v/>
      </c>
      <c r="X329" s="132">
        <f>IF(AND(Q329="Pass", W329="Pass"), "Pass", "Fail")</f>
        <v/>
      </c>
      <c r="Y329" s="15">
        <f>IF($X329="Pass",$H329,
IF(H329="L","I",
IF(H329="U","L",
IF(H329="O","U",
"I"))))</f>
        <v/>
      </c>
    </row>
    <row r="330">
      <c r="A330" s="147">
        <f>ROW()-2</f>
        <v/>
      </c>
      <c r="B330" s="127" t="inlineStr">
        <is>
          <t>PK0220</t>
        </is>
      </c>
      <c r="C330" s="128" t="inlineStr">
        <is>
          <t>AMRENDRA KUMAR</t>
        </is>
      </c>
      <c r="D330" s="127" t="inlineStr">
        <is>
          <t>PRODUCTION</t>
        </is>
      </c>
      <c r="E330" s="129" t="inlineStr">
        <is>
          <t>TYRE BUILDING-P1</t>
        </is>
      </c>
      <c r="F330" s="130" t="n">
        <v>41614</v>
      </c>
      <c r="G330" s="131">
        <f>NOW()-F330</f>
        <v/>
      </c>
      <c r="H330" s="104" t="inlineStr">
        <is>
          <t>O</t>
        </is>
      </c>
      <c r="I330" s="104" t="inlineStr">
        <is>
          <t>U</t>
        </is>
      </c>
      <c r="J330" s="104" t="n">
        <v>10</v>
      </c>
      <c r="K330" s="104" t="n">
        <v>10</v>
      </c>
      <c r="L330" s="104" t="n">
        <v>9</v>
      </c>
      <c r="M330" s="104" t="n">
        <v>8</v>
      </c>
      <c r="N330" s="104" t="n"/>
      <c r="O330" s="104">
        <f>SUM(J330:N330)</f>
        <v/>
      </c>
      <c r="P330" s="12">
        <f>O330/IF(H330="L",20,IF(H330="U",30,IF(H330="O",40,IF(H330="I",20,""))))</f>
        <v/>
      </c>
      <c r="Q330" s="132">
        <f>IF(AND(H330="L", P330&gt;=50%), "Pass",
IF(AND(H330="U", P330&gt;=60%), "Pass",
IF(AND(H330="O", P330&gt;=75%), "Pass", "Fail")))</f>
        <v/>
      </c>
      <c r="R330" s="104" t="n"/>
      <c r="S330" s="104" t="n">
        <v>10</v>
      </c>
      <c r="T330" s="104" t="n">
        <v>8</v>
      </c>
      <c r="U330" s="104">
        <f>SUM(S330:T330)</f>
        <v/>
      </c>
      <c r="V330" s="12">
        <f>U330/IF(H330="L",35,IF(H330="U",35,IF(H330="O",35,IF(H330="I",35,""))))</f>
        <v/>
      </c>
      <c r="W330" s="132">
        <f>IF(AND(H330="L", V330&gt;=50%), "Pass",
IF(AND(H330="U", V330&gt;=60%), "Pass",
IF(AND(H330="O", V330&gt;=75%), "Pass", "Fail")))</f>
        <v/>
      </c>
      <c r="X330" s="132">
        <f>IF(AND(Q330="Pass", W330="Pass"), "Pass", "Fail")</f>
        <v/>
      </c>
      <c r="Y330" s="15">
        <f>IF($X330="Pass",$H330,
IF(H330="L","I",
IF(H330="U","L",
IF(H330="O","U",
"I"))))</f>
        <v/>
      </c>
    </row>
    <row r="331">
      <c r="A331" s="147">
        <f>ROW()-2</f>
        <v/>
      </c>
      <c r="B331" s="127" t="inlineStr">
        <is>
          <t>PK0222</t>
        </is>
      </c>
      <c r="C331" s="128" t="inlineStr">
        <is>
          <t>RANJEET KUMAR</t>
        </is>
      </c>
      <c r="D331" s="127" t="inlineStr">
        <is>
          <t>PRODUCTION</t>
        </is>
      </c>
      <c r="E331" s="129" t="inlineStr">
        <is>
          <t>TYRE BUILDING-P1</t>
        </is>
      </c>
      <c r="F331" s="130" t="n">
        <v>41614</v>
      </c>
      <c r="G331" s="131">
        <f>NOW()-F331</f>
        <v/>
      </c>
      <c r="H331" s="104" t="inlineStr">
        <is>
          <t>O</t>
        </is>
      </c>
      <c r="I331" s="104" t="inlineStr">
        <is>
          <t>O</t>
        </is>
      </c>
      <c r="J331" s="104" t="n">
        <v>10</v>
      </c>
      <c r="K331" s="104" t="n">
        <v>10</v>
      </c>
      <c r="L331" s="104" t="n">
        <v>7</v>
      </c>
      <c r="M331" s="104" t="n">
        <v>8</v>
      </c>
      <c r="N331" s="104" t="n"/>
      <c r="O331" s="104">
        <f>SUM(J331:N331)</f>
        <v/>
      </c>
      <c r="P331" s="12">
        <f>O331/IF(H331="L",20,IF(H331="U",30,IF(H331="O",40,IF(H331="I",20,""))))</f>
        <v/>
      </c>
      <c r="Q331" s="132">
        <f>IF(AND(H331="L", P331&gt;=50%), "Pass",
IF(AND(H331="U", P331&gt;=60%), "Pass",
IF(AND(H331="O", P331&gt;=75%), "Pass", "Fail")))</f>
        <v/>
      </c>
      <c r="R331" s="104" t="n"/>
      <c r="S331" s="104" t="n">
        <v>13</v>
      </c>
      <c r="T331" s="104" t="n">
        <v>15</v>
      </c>
      <c r="U331" s="104">
        <f>SUM(S331:T331)</f>
        <v/>
      </c>
      <c r="V331" s="12">
        <f>U331/IF(H331="L",35,IF(H331="U",35,IF(H331="O",35,IF(H331="I",35,""))))</f>
        <v/>
      </c>
      <c r="W331" s="132">
        <f>IF(AND(H331="L", V331&gt;=50%), "Pass",
IF(AND(H331="U", V331&gt;=60%), "Pass",
IF(AND(H331="O", V331&gt;=75%), "Pass", "Fail")))</f>
        <v/>
      </c>
      <c r="X331" s="132">
        <f>IF(AND(Q331="Pass", W331="Pass"), "Pass", "Fail")</f>
        <v/>
      </c>
      <c r="Y331" s="15">
        <f>IF($X331="Pass",$H331,
IF(H331="L","I",
IF(H331="U","L",
IF(H331="O","U",
"I"))))</f>
        <v/>
      </c>
    </row>
    <row r="332">
      <c r="A332" s="147">
        <f>ROW()-2</f>
        <v/>
      </c>
      <c r="B332" s="127" t="inlineStr">
        <is>
          <t>PK0802</t>
        </is>
      </c>
      <c r="C332" s="128" t="inlineStr">
        <is>
          <t>AROCKYARAJ C</t>
        </is>
      </c>
      <c r="D332" s="127" t="inlineStr">
        <is>
          <t>PRODUCTION</t>
        </is>
      </c>
      <c r="E332" s="129" t="inlineStr">
        <is>
          <t>TYRE BUILDING-P2</t>
        </is>
      </c>
      <c r="F332" s="130" t="n">
        <v>41617</v>
      </c>
      <c r="G332" s="131">
        <f>NOW()-F332</f>
        <v/>
      </c>
      <c r="H332" s="104" t="inlineStr">
        <is>
          <t>O</t>
        </is>
      </c>
      <c r="I332" s="104" t="inlineStr">
        <is>
          <t>U</t>
        </is>
      </c>
      <c r="J332" s="104" t="n">
        <v>10</v>
      </c>
      <c r="K332" s="104" t="n">
        <v>8</v>
      </c>
      <c r="L332" s="104" t="n">
        <v>8</v>
      </c>
      <c r="M332" s="104" t="n">
        <v>10</v>
      </c>
      <c r="N332" s="104" t="n"/>
      <c r="O332" s="104">
        <f>SUM(J332:N332)</f>
        <v/>
      </c>
      <c r="P332" s="12">
        <f>O332/IF(H332="L",20,IF(H332="U",30,IF(H332="O",40,IF(H332="I",20,""))))</f>
        <v/>
      </c>
      <c r="Q332" s="132">
        <f>IF(AND(H332="L", P332&gt;=50%), "Pass",
IF(AND(H332="U", P332&gt;=60%), "Pass",
IF(AND(H332="O", P332&gt;=75%), "Pass", "Fail")))</f>
        <v/>
      </c>
      <c r="R332" s="104" t="n"/>
      <c r="S332" s="104" t="n">
        <v>8</v>
      </c>
      <c r="T332" s="104" t="n">
        <v>7</v>
      </c>
      <c r="U332" s="104">
        <f>SUM(S332:T332)</f>
        <v/>
      </c>
      <c r="V332" s="12">
        <f>U332/IF(H332="L",35,IF(H332="U",35,IF(H332="O",35,IF(H332="I",35,""))))</f>
        <v/>
      </c>
      <c r="W332" s="132">
        <f>IF(AND(H332="L", V332&gt;=50%), "Pass",
IF(AND(H332="U", V332&gt;=60%), "Pass",
IF(AND(H332="O", V332&gt;=75%), "Pass", "Fail")))</f>
        <v/>
      </c>
      <c r="X332" s="132">
        <f>IF(AND(Q332="Pass", W332="Pass"), "Pass", "Fail")</f>
        <v/>
      </c>
      <c r="Y332" s="15">
        <f>IF($X332="Pass",$H332,
IF(H332="L","I",
IF(H332="U","L",
IF(H332="O","U",
"I"))))</f>
        <v/>
      </c>
    </row>
    <row r="333">
      <c r="A333" s="147">
        <f>ROW()-2</f>
        <v/>
      </c>
      <c r="B333" s="127" t="inlineStr">
        <is>
          <t>SR0106</t>
        </is>
      </c>
      <c r="C333" s="128" t="inlineStr">
        <is>
          <t>NAMBI RAJAN M</t>
        </is>
      </c>
      <c r="D333" s="127" t="inlineStr">
        <is>
          <t>PRODUCTION</t>
        </is>
      </c>
      <c r="E333" s="129" t="inlineStr">
        <is>
          <t>BIAS MARANGONI&amp;BESTRY</t>
        </is>
      </c>
      <c r="F333" s="130" t="n">
        <v>41625</v>
      </c>
      <c r="G333" s="131">
        <f>NOW()-F333</f>
        <v/>
      </c>
      <c r="H333" s="104" t="inlineStr">
        <is>
          <t>O</t>
        </is>
      </c>
      <c r="I333" s="104" t="inlineStr">
        <is>
          <t>U</t>
        </is>
      </c>
      <c r="J333" s="104" t="n">
        <v>9</v>
      </c>
      <c r="K333" s="104" t="n">
        <v>9</v>
      </c>
      <c r="L333" s="104" t="n">
        <v>9</v>
      </c>
      <c r="M333" s="104" t="n">
        <v>7</v>
      </c>
      <c r="N333" s="104" t="n"/>
      <c r="O333" s="104">
        <f>SUM(J333:N333)</f>
        <v/>
      </c>
      <c r="P333" s="12">
        <f>O333/IF(H333="L",20,IF(H333="U",30,IF(H333="O",40,IF(H333="I",20,""))))</f>
        <v/>
      </c>
      <c r="Q333" s="132">
        <f>IF(AND(H333="L", P333&gt;=50%), "Pass",
IF(AND(H333="U", P333&gt;=60%), "Pass",
IF(AND(H333="O", P333&gt;=75%), "Pass", "Fail")))</f>
        <v/>
      </c>
      <c r="R333" s="104" t="n"/>
      <c r="S333" s="104" t="n">
        <v>16</v>
      </c>
      <c r="T333" s="104" t="n">
        <v>12</v>
      </c>
      <c r="U333" s="104">
        <f>SUM(S333:T333)</f>
        <v/>
      </c>
      <c r="V333" s="12">
        <f>U333/IF(H333="L",35,IF(H333="U",35,IF(H333="O",35,IF(H333="I",35,""))))</f>
        <v/>
      </c>
      <c r="W333" s="132">
        <f>IF(AND(H333="L", V333&gt;=50%), "Pass",
IF(AND(H333="U", V333&gt;=60%), "Pass",
IF(AND(H333="O", V333&gt;=75%), "Pass", "Fail")))</f>
        <v/>
      </c>
      <c r="X333" s="132">
        <f>IF(AND(Q333="Pass", W333="Pass"), "Pass", "Fail")</f>
        <v/>
      </c>
      <c r="Y333" s="15">
        <f>IF($X333="Pass",$H333,
IF(H333="L","I",
IF(H333="U","L",
IF(H333="O","U",
"I"))))</f>
        <v/>
      </c>
    </row>
    <row r="334">
      <c r="A334" s="147">
        <f>ROW()-2</f>
        <v/>
      </c>
      <c r="B334" s="127" t="inlineStr">
        <is>
          <t>SK1559</t>
        </is>
      </c>
      <c r="C334" s="128" t="inlineStr">
        <is>
          <t>MAHARAJAN R</t>
        </is>
      </c>
      <c r="D334" s="127" t="inlineStr">
        <is>
          <t>PRODUCTION</t>
        </is>
      </c>
      <c r="E334" s="129" t="inlineStr">
        <is>
          <t>BIAS CUTTING-4</t>
        </is>
      </c>
      <c r="F334" s="130" t="n">
        <v>41626</v>
      </c>
      <c r="G334" s="131">
        <f>NOW()-F334</f>
        <v/>
      </c>
      <c r="H334" s="104" t="inlineStr">
        <is>
          <t>O</t>
        </is>
      </c>
      <c r="I334" s="104" t="inlineStr">
        <is>
          <t>O</t>
        </is>
      </c>
      <c r="J334" s="104" t="n">
        <v>7</v>
      </c>
      <c r="K334" s="104" t="n">
        <v>6</v>
      </c>
      <c r="L334" s="104" t="n">
        <v>9</v>
      </c>
      <c r="M334" s="104" t="n">
        <v>8</v>
      </c>
      <c r="N334" s="104" t="n"/>
      <c r="O334" s="104">
        <f>SUM(J334:N334)</f>
        <v/>
      </c>
      <c r="P334" s="12">
        <f>O334/IF(H334="L",20,IF(H334="U",30,IF(H334="O",40,IF(H334="I",20,""))))</f>
        <v/>
      </c>
      <c r="Q334" s="132">
        <f>IF(AND(H334="L", P334&gt;=50%), "Pass",
IF(AND(H334="U", P334&gt;=60%), "Pass",
IF(AND(H334="O", P334&gt;=75%), "Pass", "Fail")))</f>
        <v/>
      </c>
      <c r="R334" s="104" t="n"/>
      <c r="S334" s="104" t="n">
        <v>16</v>
      </c>
      <c r="T334" s="104" t="n">
        <v>11</v>
      </c>
      <c r="U334" s="104">
        <f>SUM(S334:T334)</f>
        <v/>
      </c>
      <c r="V334" s="12">
        <f>U334/IF(H334="L",35,IF(H334="U",35,IF(H334="O",35,IF(H334="I",35,""))))</f>
        <v/>
      </c>
      <c r="W334" s="132">
        <f>IF(AND(H334="L", V334&gt;=50%), "Pass",
IF(AND(H334="U", V334&gt;=60%), "Pass",
IF(AND(H334="O", V334&gt;=75%), "Pass", "Fail")))</f>
        <v/>
      </c>
      <c r="X334" s="132">
        <f>IF(AND(Q334="Pass", W334="Pass"), "Pass", "Fail")</f>
        <v/>
      </c>
      <c r="Y334" s="15">
        <f>IF($X334="Pass",$H334,
IF(H334="L","I",
IF(H334="U","L",
IF(H334="O","U",
"I"))))</f>
        <v/>
      </c>
    </row>
    <row r="335">
      <c r="A335" s="147">
        <f>ROW()-2</f>
        <v/>
      </c>
      <c r="B335" s="133" t="n">
        <v>905536</v>
      </c>
      <c r="C335" s="148" t="inlineStr">
        <is>
          <t>J VINOTHKUMAR</t>
        </is>
      </c>
      <c r="D335" s="127" t="inlineStr">
        <is>
          <t>PRODUCTION</t>
        </is>
      </c>
      <c r="E335" s="135" t="inlineStr">
        <is>
          <t>MIXING</t>
        </is>
      </c>
      <c r="F335" s="136" t="n">
        <v>41627</v>
      </c>
      <c r="G335" s="131">
        <f>NOW()-F335</f>
        <v/>
      </c>
      <c r="H335" s="104" t="inlineStr">
        <is>
          <t>O</t>
        </is>
      </c>
      <c r="I335" s="104" t="inlineStr">
        <is>
          <t>O</t>
        </is>
      </c>
      <c r="J335" s="104" t="inlineStr">
        <is>
          <t>NIL</t>
        </is>
      </c>
      <c r="K335" s="104" t="n"/>
      <c r="L335" s="104" t="n"/>
      <c r="M335" s="104" t="n"/>
      <c r="N335" s="104" t="n"/>
      <c r="O335" s="104" t="n"/>
      <c r="P335" s="12">
        <f>O335/IF(H335="L",20,IF(H335="U",30,IF(H335="O",40,IF(H335="I",20,""))))</f>
        <v/>
      </c>
      <c r="Q335" s="132">
        <f>IF(AND(H335="L", P335&gt;=50%), "Pass",
IF(AND(H335="U", P335&gt;=60%), "Pass",
IF(AND(H335="O", P335&gt;=75%), "Pass", "Fail")))</f>
        <v/>
      </c>
      <c r="R335" s="104" t="n"/>
      <c r="S335" s="104" t="n">
        <v>14</v>
      </c>
      <c r="T335" s="104" t="n">
        <v>11</v>
      </c>
      <c r="U335" s="104">
        <f>SUM(S335:T335)</f>
        <v/>
      </c>
      <c r="V335" s="12">
        <f>U335/IF(H335="L",35,IF(H335="U",35,IF(H335="O",35,IF(H335="I",35,""))))</f>
        <v/>
      </c>
      <c r="W335" s="132">
        <f>IF(AND(H335="L", V335&gt;=50%), "Pass",
IF(AND(H335="U", V335&gt;=60%), "Pass",
IF(AND(H335="O", V335&gt;=75%), "Pass", "Fail")))</f>
        <v/>
      </c>
      <c r="X335" s="132">
        <f>IF(AND(Q335="Pass", W335="Pass"), "Pass", "Fail")</f>
        <v/>
      </c>
      <c r="Y335" s="15">
        <f>IF($X335="Pass",$H335,
IF(H335="L","I",
IF(H335="U","L",
IF(H335="O","U",
"I"))))</f>
        <v/>
      </c>
    </row>
    <row r="336">
      <c r="A336" s="147">
        <f>ROW()-2</f>
        <v/>
      </c>
      <c r="B336" s="127" t="inlineStr">
        <is>
          <t>KK0123</t>
        </is>
      </c>
      <c r="C336" s="128" t="inlineStr">
        <is>
          <t>KARTHIKEYAN S</t>
        </is>
      </c>
      <c r="D336" s="127" t="inlineStr">
        <is>
          <t>PRODUCTION</t>
        </is>
      </c>
      <c r="E336" s="129" t="inlineStr">
        <is>
          <t>TYRE CURING</t>
        </is>
      </c>
      <c r="F336" s="130" t="n">
        <v>41632</v>
      </c>
      <c r="G336" s="131">
        <f>NOW()-F336</f>
        <v/>
      </c>
      <c r="H336" s="104" t="inlineStr">
        <is>
          <t>O</t>
        </is>
      </c>
      <c r="I336" s="104" t="inlineStr">
        <is>
          <t>O</t>
        </is>
      </c>
      <c r="J336" s="104" t="n">
        <v>10</v>
      </c>
      <c r="K336" s="104" t="n">
        <v>9</v>
      </c>
      <c r="L336" s="104" t="n">
        <v>9</v>
      </c>
      <c r="M336" s="104" t="n">
        <v>9</v>
      </c>
      <c r="N336" s="104" t="n"/>
      <c r="O336" s="104">
        <f>SUM(J336:N336)</f>
        <v/>
      </c>
      <c r="P336" s="12">
        <f>O336/IF(H336="L",20,IF(H336="U",30,IF(H336="O",40,IF(H336="I",20,""))))</f>
        <v/>
      </c>
      <c r="Q336" s="132">
        <f>IF(AND(H336="L", P336&gt;=50%), "Pass",
IF(AND(H336="U", P336&gt;=60%), "Pass",
IF(AND(H336="O", P336&gt;=75%), "Pass", "Fail")))</f>
        <v/>
      </c>
      <c r="R336" s="104" t="n"/>
      <c r="S336" s="104" t="n">
        <v>15</v>
      </c>
      <c r="T336" s="104" t="n">
        <v>12</v>
      </c>
      <c r="U336" s="104">
        <f>SUM(S336:T336)</f>
        <v/>
      </c>
      <c r="V336" s="12">
        <f>U336/IF(H336="L",35,IF(H336="U",35,IF(H336="O",35,IF(H336="I",35,""))))</f>
        <v/>
      </c>
      <c r="W336" s="132">
        <f>IF(AND(H336="L", V336&gt;=50%), "Pass",
IF(AND(H336="U", V336&gt;=60%), "Pass",
IF(AND(H336="O", V336&gt;=75%), "Pass", "Fail")))</f>
        <v/>
      </c>
      <c r="X336" s="132">
        <f>IF(AND(Q336="Pass", W336="Pass"), "Pass", "Fail")</f>
        <v/>
      </c>
      <c r="Y336" s="15">
        <f>IF($X336="Pass",$H336,
IF(H336="L","I",
IF(H336="U","L",
IF(H336="O","U",
"I"))))</f>
        <v/>
      </c>
    </row>
    <row r="337">
      <c r="A337" s="147">
        <f>ROW()-2</f>
        <v/>
      </c>
      <c r="B337" s="127" t="inlineStr">
        <is>
          <t>SK1044</t>
        </is>
      </c>
      <c r="C337" s="128" t="inlineStr">
        <is>
          <t>SHASHIKANT KUSHWAHA</t>
        </is>
      </c>
      <c r="D337" s="127" t="inlineStr">
        <is>
          <t>PRODUCTION</t>
        </is>
      </c>
      <c r="E337" s="129" t="inlineStr">
        <is>
          <t>TYRE BUILDING-P3</t>
        </is>
      </c>
      <c r="F337" s="130" t="n">
        <v>41640</v>
      </c>
      <c r="G337" s="131">
        <f>NOW()-F337</f>
        <v/>
      </c>
      <c r="H337" s="104" t="inlineStr">
        <is>
          <t>O</t>
        </is>
      </c>
      <c r="I337" s="104" t="inlineStr">
        <is>
          <t>O</t>
        </is>
      </c>
      <c r="J337" s="104" t="n">
        <v>10</v>
      </c>
      <c r="K337" s="104" t="n">
        <v>7</v>
      </c>
      <c r="L337" s="104" t="n">
        <v>5</v>
      </c>
      <c r="M337" s="104" t="n">
        <v>10</v>
      </c>
      <c r="N337" s="104" t="n"/>
      <c r="O337" s="104">
        <f>SUM(J337:N337)</f>
        <v/>
      </c>
      <c r="P337" s="12">
        <f>O337/IF(H337="L",20,IF(H337="U",30,IF(H337="O",40,IF(H337="I",20,""))))</f>
        <v/>
      </c>
      <c r="Q337" s="132">
        <f>IF(AND(H337="L", P337&gt;=50%), "Pass",
IF(AND(H337="U", P337&gt;=60%), "Pass",
IF(AND(H337="O", P337&gt;=75%), "Pass", "Fail")))</f>
        <v/>
      </c>
      <c r="R337" s="104" t="n"/>
      <c r="S337" s="104" t="n">
        <v>17</v>
      </c>
      <c r="T337" s="104" t="n">
        <v>14</v>
      </c>
      <c r="U337" s="104">
        <f>SUM(S337:T337)</f>
        <v/>
      </c>
      <c r="V337" s="12">
        <f>U337/IF(H337="L",35,IF(H337="U",35,IF(H337="O",35,IF(H337="I",35,""))))</f>
        <v/>
      </c>
      <c r="W337" s="132">
        <f>IF(AND(H337="L", V337&gt;=50%), "Pass",
IF(AND(H337="U", V337&gt;=60%), "Pass",
IF(AND(H337="O", V337&gt;=75%), "Pass", "Fail")))</f>
        <v/>
      </c>
      <c r="X337" s="132">
        <f>IF(AND(Q337="Pass", W337="Pass"), "Pass", "Fail")</f>
        <v/>
      </c>
      <c r="Y337" s="15">
        <f>IF($X337="Pass",$H337,
IF(H337="L","I",
IF(H337="U","L",
IF(H337="O","U",
"I"))))</f>
        <v/>
      </c>
    </row>
    <row r="338">
      <c r="A338" s="147">
        <f>ROW()-2</f>
        <v/>
      </c>
      <c r="B338" s="127" t="inlineStr">
        <is>
          <t>KK0131</t>
        </is>
      </c>
      <c r="C338" s="128" t="inlineStr">
        <is>
          <t>SURESH A</t>
        </is>
      </c>
      <c r="D338" s="127" t="inlineStr">
        <is>
          <t>PRODUCTION</t>
        </is>
      </c>
      <c r="E338" s="129" t="inlineStr">
        <is>
          <t>RADIAL MARANGONI</t>
        </is>
      </c>
      <c r="F338" s="130" t="n">
        <v>41645</v>
      </c>
      <c r="G338" s="131">
        <f>NOW()-F338</f>
        <v/>
      </c>
      <c r="H338" s="104" t="inlineStr">
        <is>
          <t>O</t>
        </is>
      </c>
      <c r="I338" s="104" t="inlineStr">
        <is>
          <t>O</t>
        </is>
      </c>
      <c r="J338" s="104" t="n">
        <v>10</v>
      </c>
      <c r="K338" s="104" t="n">
        <v>10</v>
      </c>
      <c r="L338" s="104" t="n">
        <v>10</v>
      </c>
      <c r="M338" s="104" t="n">
        <v>9</v>
      </c>
      <c r="N338" s="104" t="n"/>
      <c r="O338" s="104">
        <f>SUM(J338:N338)</f>
        <v/>
      </c>
      <c r="P338" s="12">
        <f>O338/IF(H338="L",20,IF(H338="U",30,IF(H338="O",40,IF(H338="I",20,""))))</f>
        <v/>
      </c>
      <c r="Q338" s="132">
        <f>IF(AND(H338="L", P338&gt;=50%), "Pass",
IF(AND(H338="U", P338&gt;=60%), "Pass",
IF(AND(H338="O", P338&gt;=75%), "Pass", "Fail")))</f>
        <v/>
      </c>
      <c r="R338" s="104" t="n"/>
      <c r="S338" s="104" t="n">
        <v>15</v>
      </c>
      <c r="T338" s="104" t="n">
        <v>12</v>
      </c>
      <c r="U338" s="104">
        <f>SUM(S338:T338)</f>
        <v/>
      </c>
      <c r="V338" s="12">
        <f>U338/IF(H338="L",35,IF(H338="U",35,IF(H338="O",35,IF(H338="I",35,""))))</f>
        <v/>
      </c>
      <c r="W338" s="132">
        <f>IF(AND(H338="L", V338&gt;=50%), "Pass",
IF(AND(H338="U", V338&gt;=60%), "Pass",
IF(AND(H338="O", V338&gt;=75%), "Pass", "Fail")))</f>
        <v/>
      </c>
      <c r="X338" s="132">
        <f>IF(AND(Q338="Pass", W338="Pass"), "Pass", "Fail")</f>
        <v/>
      </c>
      <c r="Y338" s="15">
        <f>IF($X338="Pass",$H338,
IF(H338="L","I",
IF(H338="U","L",
IF(H338="O","U",
"I"))))</f>
        <v/>
      </c>
      <c r="Z338" s="82">
        <f>V338-75%</f>
        <v/>
      </c>
    </row>
    <row r="339">
      <c r="A339" s="147">
        <f>ROW()-2</f>
        <v/>
      </c>
      <c r="B339" s="127" t="inlineStr">
        <is>
          <t>AK0223</t>
        </is>
      </c>
      <c r="C339" s="128" t="inlineStr">
        <is>
          <t>SELVAN P</t>
        </is>
      </c>
      <c r="D339" s="127" t="inlineStr">
        <is>
          <t>PRODUCTION</t>
        </is>
      </c>
      <c r="E339" s="129" t="inlineStr">
        <is>
          <t>SOLID TYRE</t>
        </is>
      </c>
      <c r="F339" s="130" t="n">
        <v>41661</v>
      </c>
      <c r="G339" s="131">
        <f>NOW()-F339</f>
        <v/>
      </c>
      <c r="H339" s="104" t="inlineStr">
        <is>
          <t>O</t>
        </is>
      </c>
      <c r="I339" s="104" t="inlineStr">
        <is>
          <t>O</t>
        </is>
      </c>
      <c r="J339" s="104" t="n">
        <v>8</v>
      </c>
      <c r="K339" s="104" t="n">
        <v>8</v>
      </c>
      <c r="L339" s="104" t="n">
        <v>8</v>
      </c>
      <c r="M339" s="104" t="n">
        <v>6</v>
      </c>
      <c r="N339" s="104" t="n"/>
      <c r="O339" s="104">
        <f>SUM(J339:N339)</f>
        <v/>
      </c>
      <c r="P339" s="12">
        <f>O339/IF(H339="L",20,IF(H339="U",30,IF(H339="O",40,IF(H339="I",20,""))))</f>
        <v/>
      </c>
      <c r="Q339" s="132">
        <f>IF(AND(H339="L", P339&gt;=50%), "Pass",
IF(AND(H339="U", P339&gt;=60%), "Pass",
IF(AND(H339="O", P339&gt;=75%), "Pass", "Fail")))</f>
        <v/>
      </c>
      <c r="R339" s="104" t="n"/>
      <c r="S339" s="104" t="n">
        <v>17</v>
      </c>
      <c r="T339" s="104" t="n">
        <v>11</v>
      </c>
      <c r="U339" s="104">
        <f>SUM(S339:T339)</f>
        <v/>
      </c>
      <c r="V339" s="12">
        <f>U339/IF(H339="L",35,IF(H339="U",35,IF(H339="O",35,IF(H339="I",35,""))))</f>
        <v/>
      </c>
      <c r="W339" s="132">
        <f>IF(AND(H339="L", V339&gt;=50%), "Pass",
IF(AND(H339="U", V339&gt;=60%), "Pass",
IF(AND(H339="O", V339&gt;=75%), "Pass", "Fail")))</f>
        <v/>
      </c>
      <c r="X339" s="132">
        <f>IF(AND(Q339="Pass", W339="Pass"), "Pass", "Fail")</f>
        <v/>
      </c>
      <c r="Y339" s="15">
        <f>IF($X339="Pass",$H339,
IF(H339="L","I",
IF(H339="U","L",
IF(H339="O","U",
"I"))))</f>
        <v/>
      </c>
      <c r="Z339" s="82" t="n"/>
    </row>
    <row r="340">
      <c r="A340" s="147">
        <f>ROW()-2</f>
        <v/>
      </c>
      <c r="B340" s="127" t="inlineStr">
        <is>
          <t>SK2338</t>
        </is>
      </c>
      <c r="C340" s="128" t="inlineStr">
        <is>
          <t>MANIKANDAN G</t>
        </is>
      </c>
      <c r="D340" s="127" t="inlineStr">
        <is>
          <t>PRODUCTION</t>
        </is>
      </c>
      <c r="E340" s="129" t="inlineStr">
        <is>
          <t>BEAD WINDING</t>
        </is>
      </c>
      <c r="F340" s="130" t="n">
        <v>41664</v>
      </c>
      <c r="G340" s="131">
        <f>NOW()-F340</f>
        <v/>
      </c>
      <c r="H340" s="104" t="inlineStr">
        <is>
          <t>O</t>
        </is>
      </c>
      <c r="I340" s="104" t="inlineStr">
        <is>
          <t>U</t>
        </is>
      </c>
      <c r="J340" s="104" t="n">
        <v>4</v>
      </c>
      <c r="K340" s="104" t="n">
        <v>5</v>
      </c>
      <c r="L340" s="104" t="n">
        <v>3</v>
      </c>
      <c r="M340" s="104" t="n">
        <v>2</v>
      </c>
      <c r="N340" s="104" t="n"/>
      <c r="O340" s="104">
        <f>SUM(J340:N340)</f>
        <v/>
      </c>
      <c r="P340" s="12">
        <f>O340/IF(H340="L",20,IF(H340="U",30,IF(H340="O",40,IF(H340="I",20,""))))</f>
        <v/>
      </c>
      <c r="Q340" s="132">
        <f>IF(AND(H340="L", P340&gt;=50%), "Pass",
IF(AND(H340="U", P340&gt;=60%), "Pass",
IF(AND(H340="O", P340&gt;=75%), "Pass", "Fail")))</f>
        <v/>
      </c>
      <c r="R340" s="104" t="n"/>
      <c r="S340" s="104" t="n">
        <v>12</v>
      </c>
      <c r="T340" s="104" t="n">
        <v>6</v>
      </c>
      <c r="U340" s="104">
        <f>SUM(S340:T340)</f>
        <v/>
      </c>
      <c r="V340" s="12">
        <f>U340/IF(H340="L",35,IF(H340="U",35,IF(H340="O",35,IF(H340="I",35,""))))</f>
        <v/>
      </c>
      <c r="W340" s="132">
        <f>IF(AND(H340="L", V340&gt;=50%), "Pass",
IF(AND(H340="U", V340&gt;=60%), "Pass",
IF(AND(H340="O", V340&gt;=75%), "Pass", "Fail")))</f>
        <v/>
      </c>
      <c r="X340" s="132">
        <f>IF(AND(Q340="Pass", W340="Pass"), "Pass", "Fail")</f>
        <v/>
      </c>
      <c r="Y340" s="15">
        <f>IF($X340="Pass",$H340,
IF(H340="L","I",
IF(H340="U","L",
IF(H340="O","U",
"I"))))</f>
        <v/>
      </c>
      <c r="Z340" s="82" t="n"/>
    </row>
    <row r="341">
      <c r="A341" s="147">
        <f>ROW()-2</f>
        <v/>
      </c>
      <c r="B341" s="127" t="inlineStr">
        <is>
          <t>SR0117</t>
        </is>
      </c>
      <c r="C341" s="128" t="inlineStr">
        <is>
          <t>POOSAI PANDI S</t>
        </is>
      </c>
      <c r="D341" s="127" t="inlineStr">
        <is>
          <t>PRODUCTION</t>
        </is>
      </c>
      <c r="E341" s="129" t="inlineStr">
        <is>
          <t>3 ROLL-P2</t>
        </is>
      </c>
      <c r="F341" s="130" t="n">
        <v>41666</v>
      </c>
      <c r="G341" s="131">
        <f>NOW()-F341</f>
        <v/>
      </c>
      <c r="H341" s="104" t="inlineStr">
        <is>
          <t>O</t>
        </is>
      </c>
      <c r="I341" s="104" t="inlineStr">
        <is>
          <t>U</t>
        </is>
      </c>
      <c r="J341" s="104" t="n">
        <v>7</v>
      </c>
      <c r="K341" s="104" t="n">
        <v>6</v>
      </c>
      <c r="L341" s="104" t="n">
        <v>5</v>
      </c>
      <c r="M341" s="104" t="n">
        <v>6</v>
      </c>
      <c r="N341" s="104" t="n"/>
      <c r="O341" s="104">
        <f>SUM(J341:N341)</f>
        <v/>
      </c>
      <c r="P341" s="12">
        <f>O341/IF(H341="L",20,IF(H341="U",30,IF(H341="O",40,IF(H341="I",20,""))))</f>
        <v/>
      </c>
      <c r="Q341" s="132">
        <f>IF(AND(H341="L", P341&gt;=50%), "Pass",
IF(AND(H341="U", P341&gt;=60%), "Pass",
IF(AND(H341="O", P341&gt;=75%), "Pass", "Fail")))</f>
        <v/>
      </c>
      <c r="R341" s="104" t="n"/>
      <c r="S341" s="104" t="n">
        <v>16</v>
      </c>
      <c r="T341" s="104" t="n">
        <v>8</v>
      </c>
      <c r="U341" s="104">
        <f>SUM(S341:T341)</f>
        <v/>
      </c>
      <c r="V341" s="12">
        <f>U341/IF(H341="L",35,IF(H341="U",35,IF(H341="O",35,IF(H341="I",35,""))))</f>
        <v/>
      </c>
      <c r="W341" s="132">
        <f>IF(AND(H341="L", V341&gt;=50%), "Pass",
IF(AND(H341="U", V341&gt;=60%), "Pass",
IF(AND(H341="O", V341&gt;=75%), "Pass", "Fail")))</f>
        <v/>
      </c>
      <c r="X341" s="132">
        <f>IF(AND(Q341="Pass", W341="Pass"), "Pass", "Fail")</f>
        <v/>
      </c>
      <c r="Y341" s="15">
        <f>IF($X341="Pass",$H341,
IF(H341="L","I",
IF(H341="U","L",
IF(H341="O","U",
"I"))))</f>
        <v/>
      </c>
    </row>
    <row r="342">
      <c r="A342" s="147">
        <f>ROW()-2</f>
        <v/>
      </c>
      <c r="B342" s="127" t="inlineStr">
        <is>
          <t>AK0225</t>
        </is>
      </c>
      <c r="C342" s="128" t="inlineStr">
        <is>
          <t>ARUMUGAM K</t>
        </is>
      </c>
      <c r="D342" s="127" t="inlineStr">
        <is>
          <t>PRODUCTION</t>
        </is>
      </c>
      <c r="E342" s="129" t="inlineStr">
        <is>
          <t>TYRE CURING</t>
        </is>
      </c>
      <c r="F342" s="130" t="n">
        <v>41668</v>
      </c>
      <c r="G342" s="131">
        <f>NOW()-F342</f>
        <v/>
      </c>
      <c r="H342" s="104" t="inlineStr">
        <is>
          <t>O</t>
        </is>
      </c>
      <c r="I342" s="104" t="inlineStr">
        <is>
          <t>O</t>
        </is>
      </c>
      <c r="J342" s="104" t="n">
        <v>10</v>
      </c>
      <c r="K342" s="104" t="n">
        <v>9</v>
      </c>
      <c r="L342" s="104" t="n">
        <v>8</v>
      </c>
      <c r="M342" s="104" t="n">
        <v>6</v>
      </c>
      <c r="N342" s="104" t="n"/>
      <c r="O342" s="104">
        <f>SUM(J342:N342)</f>
        <v/>
      </c>
      <c r="P342" s="12">
        <f>O342/IF(H342="L",20,IF(H342="U",30,IF(H342="O",40,IF(H342="I",20,""))))</f>
        <v/>
      </c>
      <c r="Q342" s="132">
        <f>IF(AND(H342="L", P342&gt;=50%), "Pass",
IF(AND(H342="U", P342&gt;=60%), "Pass",
IF(AND(H342="O", P342&gt;=75%), "Pass", "Fail")))</f>
        <v/>
      </c>
      <c r="R342" s="104" t="n"/>
      <c r="S342" s="104" t="n">
        <v>13</v>
      </c>
      <c r="T342" s="104" t="n">
        <v>9</v>
      </c>
      <c r="U342" s="104">
        <f>SUM(S342:T342)</f>
        <v/>
      </c>
      <c r="V342" s="12">
        <f>U342/IF(H342="L",35,IF(H342="U",35,IF(H342="O",35,IF(H342="I",35,""))))</f>
        <v/>
      </c>
      <c r="W342" s="132">
        <f>IF(AND(H342="L", V342&gt;=50%), "Pass",
IF(AND(H342="U", V342&gt;=60%), "Pass",
IF(AND(H342="O", V342&gt;=75%), "Pass", "Fail")))</f>
        <v/>
      </c>
      <c r="X342" s="132">
        <f>IF(AND(Q342="Pass", W342="Pass"), "Pass", "Fail")</f>
        <v/>
      </c>
      <c r="Y342" s="15">
        <f>IF($X342="Pass",$H342,
IF(H342="L","I",
IF(H342="U","L",
IF(H342="O","U",
"I"))))</f>
        <v/>
      </c>
    </row>
    <row r="343">
      <c r="A343" s="147">
        <f>ROW()-2</f>
        <v/>
      </c>
      <c r="B343" s="127" t="inlineStr">
        <is>
          <t>PK0674</t>
        </is>
      </c>
      <c r="C343" s="128" t="inlineStr">
        <is>
          <t>BALAKRISHNAN K</t>
        </is>
      </c>
      <c r="D343" s="127" t="inlineStr">
        <is>
          <t>PRODUCTION</t>
        </is>
      </c>
      <c r="E343" s="129" t="inlineStr">
        <is>
          <t>BIAS CUTTING-4</t>
        </is>
      </c>
      <c r="F343" s="130" t="n">
        <v>41685</v>
      </c>
      <c r="G343" s="131">
        <f>NOW()-F343</f>
        <v/>
      </c>
      <c r="H343" s="104" t="inlineStr">
        <is>
          <t>O</t>
        </is>
      </c>
      <c r="I343" s="104" t="inlineStr">
        <is>
          <t>O</t>
        </is>
      </c>
      <c r="J343" s="104" t="n">
        <v>9</v>
      </c>
      <c r="K343" s="104" t="n">
        <v>8</v>
      </c>
      <c r="L343" s="104" t="n">
        <v>8</v>
      </c>
      <c r="M343" s="104" t="n">
        <v>8</v>
      </c>
      <c r="N343" s="104" t="n"/>
      <c r="O343" s="104">
        <f>SUM(J343:N343)</f>
        <v/>
      </c>
      <c r="P343" s="12">
        <f>O343/IF(H343="L",20,IF(H343="U",30,IF(H343="O",40,IF(H343="I",20,""))))</f>
        <v/>
      </c>
      <c r="Q343" s="132">
        <f>IF(AND(H343="L", P343&gt;=50%), "Pass",
IF(AND(H343="U", P343&gt;=60%), "Pass",
IF(AND(H343="O", P343&gt;=75%), "Pass", "Fail")))</f>
        <v/>
      </c>
      <c r="R343" s="104" t="n"/>
      <c r="S343" s="104" t="n">
        <v>19</v>
      </c>
      <c r="T343" s="104" t="n">
        <v>12</v>
      </c>
      <c r="U343" s="104">
        <f>SUM(S343:T343)</f>
        <v/>
      </c>
      <c r="V343" s="12">
        <f>U343/IF(H343="L",35,IF(H343="U",35,IF(H343="O",35,IF(H343="I",35,""))))</f>
        <v/>
      </c>
      <c r="W343" s="132">
        <f>IF(AND(H343="L", V343&gt;=50%), "Pass",
IF(AND(H343="U", V343&gt;=60%), "Pass",
IF(AND(H343="O", V343&gt;=75%), "Pass", "Fail")))</f>
        <v/>
      </c>
      <c r="X343" s="132">
        <f>IF(AND(Q343="Pass", W343="Pass"), "Pass", "Fail")</f>
        <v/>
      </c>
      <c r="Y343" s="15">
        <f>IF($X343="Pass",$H343,
IF(H343="L","I",
IF(H343="U","L",
IF(H343="O","U",
"I"))))</f>
        <v/>
      </c>
    </row>
    <row r="344">
      <c r="A344" s="147">
        <f>ROW()-2</f>
        <v/>
      </c>
      <c r="B344" s="127" t="inlineStr">
        <is>
          <t>SR0127</t>
        </is>
      </c>
      <c r="C344" s="128" t="inlineStr">
        <is>
          <t>LAKSHMANAN M</t>
        </is>
      </c>
      <c r="D344" s="127" t="inlineStr">
        <is>
          <t>PRODUCTION</t>
        </is>
      </c>
      <c r="E344" s="129" t="inlineStr">
        <is>
          <t>BIAS CUTTING-5</t>
        </is>
      </c>
      <c r="F344" s="130" t="n">
        <v>41688</v>
      </c>
      <c r="G344" s="131">
        <f>NOW()-F344</f>
        <v/>
      </c>
      <c r="H344" s="104" t="inlineStr">
        <is>
          <t>O</t>
        </is>
      </c>
      <c r="I344" s="104" t="inlineStr">
        <is>
          <t>U</t>
        </is>
      </c>
      <c r="J344" s="104" t="n">
        <v>8</v>
      </c>
      <c r="K344" s="104" t="n">
        <v>8</v>
      </c>
      <c r="L344" s="104" t="n">
        <v>7</v>
      </c>
      <c r="M344" s="104" t="n">
        <v>8</v>
      </c>
      <c r="N344" s="104" t="n"/>
      <c r="O344" s="104">
        <f>SUM(J344:N344)</f>
        <v/>
      </c>
      <c r="P344" s="12">
        <f>O344/IF(H344="L",20,IF(H344="U",30,IF(H344="O",40,IF(H344="I",20,""))))</f>
        <v/>
      </c>
      <c r="Q344" s="132">
        <f>IF(AND(H344="L", P344&gt;=50%), "Pass",
IF(AND(H344="U", P344&gt;=60%), "Pass",
IF(AND(H344="O", P344&gt;=75%), "Pass", "Fail")))</f>
        <v/>
      </c>
      <c r="R344" s="104" t="n"/>
      <c r="S344" s="104" t="n">
        <v>17</v>
      </c>
      <c r="T344" s="104" t="n">
        <v>14</v>
      </c>
      <c r="U344" s="104">
        <f>SUM(S344:T344)</f>
        <v/>
      </c>
      <c r="V344" s="12">
        <f>U344/IF(H344="L",35,IF(H344="U",35,IF(H344="O",35,IF(H344="I",35,""))))</f>
        <v/>
      </c>
      <c r="W344" s="132">
        <f>IF(AND(H344="L", V344&gt;=50%), "Pass",
IF(AND(H344="U", V344&gt;=60%), "Pass",
IF(AND(H344="O", V344&gt;=75%), "Pass", "Fail")))</f>
        <v/>
      </c>
      <c r="X344" s="132">
        <f>IF(AND(Q344="Pass", W344="Pass"), "Pass", "Fail")</f>
        <v/>
      </c>
      <c r="Y344" s="15">
        <f>IF($X344="Pass",$H344,
IF(H344="L","I",
IF(H344="U","L",
IF(H344="O","U",
"I"))))</f>
        <v/>
      </c>
    </row>
    <row r="345">
      <c r="A345" s="147">
        <f>ROW()-2</f>
        <v/>
      </c>
      <c r="B345" s="127" t="inlineStr">
        <is>
          <t>KK0164</t>
        </is>
      </c>
      <c r="C345" s="128" t="inlineStr">
        <is>
          <t>SANKAR NARAYANAN B</t>
        </is>
      </c>
      <c r="D345" s="127" t="inlineStr">
        <is>
          <t>PRODUCTION</t>
        </is>
      </c>
      <c r="E345" s="129" t="inlineStr">
        <is>
          <t>TYRE BUILDING-P2</t>
        </is>
      </c>
      <c r="F345" s="130" t="n">
        <v>41691</v>
      </c>
      <c r="G345" s="131">
        <f>NOW()-F345</f>
        <v/>
      </c>
      <c r="H345" s="104" t="inlineStr">
        <is>
          <t>O</t>
        </is>
      </c>
      <c r="I345" s="104" t="inlineStr">
        <is>
          <t>O</t>
        </is>
      </c>
      <c r="J345" s="104" t="n">
        <v>10</v>
      </c>
      <c r="K345" s="104" t="n">
        <v>9</v>
      </c>
      <c r="L345" s="104" t="n">
        <v>8</v>
      </c>
      <c r="M345" s="104" t="n">
        <v>9</v>
      </c>
      <c r="N345" s="104" t="n"/>
      <c r="O345" s="104">
        <f>SUM(J345:N345)</f>
        <v/>
      </c>
      <c r="P345" s="12">
        <f>O345/IF(H345="L",20,IF(H345="U",30,IF(H345="O",40,IF(H345="I",20,""))))</f>
        <v/>
      </c>
      <c r="Q345" s="132">
        <f>IF(AND(H345="L", P345&gt;=50%), "Pass",
IF(AND(H345="U", P345&gt;=60%), "Pass",
IF(AND(H345="O", P345&gt;=75%), "Pass", "Fail")))</f>
        <v/>
      </c>
      <c r="R345" s="104" t="n"/>
      <c r="S345" s="104" t="n">
        <v>16</v>
      </c>
      <c r="T345" s="104" t="n">
        <v>11</v>
      </c>
      <c r="U345" s="104">
        <f>SUM(S345:T345)</f>
        <v/>
      </c>
      <c r="V345" s="12">
        <f>U345/IF(H345="L",35,IF(H345="U",35,IF(H345="O",35,IF(H345="I",35,""))))</f>
        <v/>
      </c>
      <c r="W345" s="132">
        <f>IF(AND(H345="L", V345&gt;=50%), "Pass",
IF(AND(H345="U", V345&gt;=60%), "Pass",
IF(AND(H345="O", V345&gt;=75%), "Pass", "Fail")))</f>
        <v/>
      </c>
      <c r="X345" s="132">
        <f>IF(AND(Q345="Pass", W345="Pass"), "Pass", "Fail")</f>
        <v/>
      </c>
      <c r="Y345" s="15">
        <f>IF($X345="Pass",$H345,
IF(H345="L","I",
IF(H345="U","L",
IF(H345="O","U",
"I"))))</f>
        <v/>
      </c>
    </row>
    <row r="346">
      <c r="A346" s="147">
        <f>ROW()-2</f>
        <v/>
      </c>
      <c r="B346" s="127" t="inlineStr">
        <is>
          <t>SK2343</t>
        </is>
      </c>
      <c r="C346" s="128" t="inlineStr">
        <is>
          <t>VEIL MUTHU M</t>
        </is>
      </c>
      <c r="D346" s="127" t="inlineStr">
        <is>
          <t>PRODUCTION</t>
        </is>
      </c>
      <c r="E346" s="129" t="inlineStr">
        <is>
          <t>BIAS MARANGONI&amp;BESTRY</t>
        </is>
      </c>
      <c r="F346" s="130" t="n">
        <v>41692</v>
      </c>
      <c r="G346" s="131">
        <f>NOW()-F346</f>
        <v/>
      </c>
      <c r="H346" s="104" t="inlineStr">
        <is>
          <t>O</t>
        </is>
      </c>
      <c r="I346" s="104" t="inlineStr">
        <is>
          <t>U</t>
        </is>
      </c>
      <c r="J346" s="104" t="n">
        <v>10</v>
      </c>
      <c r="K346" s="104" t="n">
        <v>9</v>
      </c>
      <c r="L346" s="104" t="n">
        <v>10</v>
      </c>
      <c r="M346" s="104" t="n">
        <v>10</v>
      </c>
      <c r="N346" s="104" t="n"/>
      <c r="O346" s="104">
        <f>SUM(J346:N346)</f>
        <v/>
      </c>
      <c r="P346" s="12">
        <f>O346/IF(H346="L",20,IF(H346="U",30,IF(H346="O",40,IF(H346="I",20,""))))</f>
        <v/>
      </c>
      <c r="Q346" s="132">
        <f>IF(AND(H346="L", P346&gt;=50%), "Pass",
IF(AND(H346="U", P346&gt;=60%), "Pass",
IF(AND(H346="O", P346&gt;=75%), "Pass", "Fail")))</f>
        <v/>
      </c>
      <c r="R346" s="104" t="n"/>
      <c r="S346" s="104" t="n">
        <v>16</v>
      </c>
      <c r="T346" s="104" t="n">
        <v>12</v>
      </c>
      <c r="U346" s="104">
        <f>SUM(S346:T346)</f>
        <v/>
      </c>
      <c r="V346" s="12">
        <f>U346/IF(H346="L",35,IF(H346="U",35,IF(H346="O",35,IF(H346="I",35,""))))</f>
        <v/>
      </c>
      <c r="W346" s="132">
        <f>IF(AND(H346="L", V346&gt;=50%), "Pass",
IF(AND(H346="U", V346&gt;=60%), "Pass",
IF(AND(H346="O", V346&gt;=75%), "Pass", "Fail")))</f>
        <v/>
      </c>
      <c r="X346" s="132">
        <f>IF(AND(Q346="Pass", W346="Pass"), "Pass", "Fail")</f>
        <v/>
      </c>
      <c r="Y346" s="15">
        <f>IF($X346="Pass",$H346,
IF(H346="L","I",
IF(H346="U","L",
IF(H346="O","U",
"I"))))</f>
        <v/>
      </c>
      <c r="Z346" s="82">
        <f>V346-75%</f>
        <v/>
      </c>
    </row>
    <row r="347">
      <c r="A347" s="147">
        <f>ROW()-2</f>
        <v/>
      </c>
      <c r="B347" s="127" t="inlineStr">
        <is>
          <t>MG0463</t>
        </is>
      </c>
      <c r="C347" s="128" t="inlineStr">
        <is>
          <t>MUTHURAJ T</t>
        </is>
      </c>
      <c r="D347" s="127" t="inlineStr">
        <is>
          <t>PRODUCTION</t>
        </is>
      </c>
      <c r="E347" s="129" t="inlineStr">
        <is>
          <t>EXTRUDER</t>
        </is>
      </c>
      <c r="F347" s="130" t="n">
        <v>41702</v>
      </c>
      <c r="G347" s="131">
        <f>NOW()-F347</f>
        <v/>
      </c>
      <c r="H347" s="104" t="inlineStr">
        <is>
          <t>O</t>
        </is>
      </c>
      <c r="I347" s="104" t="inlineStr">
        <is>
          <t>O</t>
        </is>
      </c>
      <c r="J347" s="104" t="n">
        <v>7</v>
      </c>
      <c r="K347" s="104" t="n">
        <v>8</v>
      </c>
      <c r="L347" s="104" t="n">
        <v>10</v>
      </c>
      <c r="M347" s="104" t="n">
        <v>9</v>
      </c>
      <c r="N347" s="104" t="n"/>
      <c r="O347" s="104">
        <f>SUM(J347:N347)</f>
        <v/>
      </c>
      <c r="P347" s="12">
        <f>O347/IF(H347="L",20,IF(H347="U",30,IF(H347="O",40,IF(H347="I",20,""))))</f>
        <v/>
      </c>
      <c r="Q347" s="132">
        <f>IF(AND(H347="L", P347&gt;=50%), "Pass",
IF(AND(H347="U", P347&gt;=60%), "Pass",
IF(AND(H347="O", P347&gt;=75%), "Pass", "Fail")))</f>
        <v/>
      </c>
      <c r="R347" s="104" t="n"/>
      <c r="S347" s="104" t="n">
        <v>16</v>
      </c>
      <c r="T347" s="104" t="n">
        <v>12</v>
      </c>
      <c r="U347" s="104">
        <f>SUM(S347:T347)</f>
        <v/>
      </c>
      <c r="V347" s="12">
        <f>U347/IF(H347="L",35,IF(H347="U",35,IF(H347="O",35,IF(H347="I",35,""))))</f>
        <v/>
      </c>
      <c r="W347" s="132">
        <f>IF(AND(H347="L", V347&gt;=50%), "Pass",
IF(AND(H347="U", V347&gt;=60%), "Pass",
IF(AND(H347="O", V347&gt;=75%), "Pass", "Fail")))</f>
        <v/>
      </c>
      <c r="X347" s="132">
        <f>IF(AND(Q347="Pass", W347="Pass"), "Pass", "Fail")</f>
        <v/>
      </c>
      <c r="Y347" s="15">
        <f>IF($X347="Pass",$H347,
IF(H347="L","I",
IF(H347="U","L",
IF(H347="O","U",
"I"))))</f>
        <v/>
      </c>
    </row>
    <row r="348">
      <c r="A348" s="147">
        <f>ROW()-2</f>
        <v/>
      </c>
      <c r="B348" s="127" t="inlineStr">
        <is>
          <t>KK0185</t>
        </is>
      </c>
      <c r="C348" s="128" t="inlineStr">
        <is>
          <t>SELVARAJ G</t>
        </is>
      </c>
      <c r="D348" s="127" t="inlineStr">
        <is>
          <t>PRODUCTION</t>
        </is>
      </c>
      <c r="E348" s="129" t="inlineStr">
        <is>
          <t>TYRE CURING</t>
        </is>
      </c>
      <c r="F348" s="130" t="n">
        <v>41706</v>
      </c>
      <c r="G348" s="131">
        <f>NOW()-F348</f>
        <v/>
      </c>
      <c r="H348" s="104" t="inlineStr">
        <is>
          <t>O</t>
        </is>
      </c>
      <c r="I348" s="104" t="inlineStr">
        <is>
          <t>U</t>
        </is>
      </c>
      <c r="J348" s="104" t="n">
        <v>9</v>
      </c>
      <c r="K348" s="104" t="n">
        <v>9</v>
      </c>
      <c r="L348" s="104" t="n">
        <v>8</v>
      </c>
      <c r="M348" s="104" t="n">
        <v>9</v>
      </c>
      <c r="N348" s="104" t="n"/>
      <c r="O348" s="104">
        <f>SUM(J348:N348)</f>
        <v/>
      </c>
      <c r="P348" s="12">
        <f>O348/IF(H348="L",20,IF(H348="U",30,IF(H348="O",40,IF(H348="I",20,""))))</f>
        <v/>
      </c>
      <c r="Q348" s="132">
        <f>IF(AND(H348="L", P348&gt;=50%), "Pass",
IF(AND(H348="U", P348&gt;=60%), "Pass",
IF(AND(H348="O", P348&gt;=75%), "Pass", "Fail")))</f>
        <v/>
      </c>
      <c r="R348" s="104" t="n"/>
      <c r="S348" s="104" t="n">
        <v>17</v>
      </c>
      <c r="T348" s="104" t="n">
        <v>13</v>
      </c>
      <c r="U348" s="104">
        <f>SUM(S348:T348)</f>
        <v/>
      </c>
      <c r="V348" s="12">
        <f>U348/IF(H348="L",35,IF(H348="U",35,IF(H348="O",35,IF(H348="I",35,""))))</f>
        <v/>
      </c>
      <c r="W348" s="132">
        <f>IF(AND(H348="L", V348&gt;=50%), "Pass",
IF(AND(H348="U", V348&gt;=60%), "Pass",
IF(AND(H348="O", V348&gt;=75%), "Pass", "Fail")))</f>
        <v/>
      </c>
      <c r="X348" s="132">
        <f>IF(AND(Q348="Pass", W348="Pass"), "Pass", "Fail")</f>
        <v/>
      </c>
      <c r="Y348" s="15">
        <f>IF($X348="Pass",$H348,
IF(H348="L","I",
IF(H348="U","L",
IF(H348="O","U",
"I"))))</f>
        <v/>
      </c>
    </row>
    <row r="349">
      <c r="A349" s="147">
        <f>ROW()-2</f>
        <v/>
      </c>
      <c r="B349" s="127" t="inlineStr">
        <is>
          <t>KK0186</t>
        </is>
      </c>
      <c r="C349" s="128" t="inlineStr">
        <is>
          <t>RAMA LAKSHMANAN N</t>
        </is>
      </c>
      <c r="D349" s="127" t="inlineStr">
        <is>
          <t>PRODUCTION</t>
        </is>
      </c>
      <c r="E349" s="129" t="inlineStr">
        <is>
          <t>RADIAL MARANGONI</t>
        </is>
      </c>
      <c r="F349" s="130" t="n">
        <v>41707</v>
      </c>
      <c r="G349" s="131">
        <f>NOW()-F349</f>
        <v/>
      </c>
      <c r="H349" s="104" t="inlineStr">
        <is>
          <t>O</t>
        </is>
      </c>
      <c r="I349" s="104" t="inlineStr">
        <is>
          <t>O</t>
        </is>
      </c>
      <c r="J349" s="104" t="n">
        <v>9</v>
      </c>
      <c r="K349" s="104" t="n">
        <v>9</v>
      </c>
      <c r="L349" s="104" t="n">
        <v>9</v>
      </c>
      <c r="M349" s="104" t="n">
        <v>10</v>
      </c>
      <c r="N349" s="104" t="n"/>
      <c r="O349" s="104">
        <f>SUM(J349:N349)</f>
        <v/>
      </c>
      <c r="P349" s="12">
        <f>O349/IF(H349="L",20,IF(H349="U",30,IF(H349="O",40,IF(H349="I",20,""))))</f>
        <v/>
      </c>
      <c r="Q349" s="132">
        <f>IF(AND(H349="L", P349&gt;=50%), "Pass",
IF(AND(H349="U", P349&gt;=60%), "Pass",
IF(AND(H349="O", P349&gt;=75%), "Pass", "Fail")))</f>
        <v/>
      </c>
      <c r="R349" s="104" t="n"/>
      <c r="S349" s="104" t="n">
        <v>15</v>
      </c>
      <c r="T349" s="104" t="n">
        <v>12</v>
      </c>
      <c r="U349" s="104">
        <f>SUM(S349:T349)</f>
        <v/>
      </c>
      <c r="V349" s="12">
        <f>U349/IF(H349="L",35,IF(H349="U",35,IF(H349="O",35,IF(H349="I",35,""))))</f>
        <v/>
      </c>
      <c r="W349" s="132">
        <f>IF(AND(H349="L", V349&gt;=50%), "Pass",
IF(AND(H349="U", V349&gt;=60%), "Pass",
IF(AND(H349="O", V349&gt;=75%), "Pass", "Fail")))</f>
        <v/>
      </c>
      <c r="X349" s="132">
        <f>IF(AND(Q349="Pass", W349="Pass"), "Pass", "Fail")</f>
        <v/>
      </c>
      <c r="Y349" s="15">
        <f>IF($X349="Pass",$H349,
IF(H349="L","I",
IF(H349="U","L",
IF(H349="O","U",
"I"))))</f>
        <v/>
      </c>
    </row>
    <row r="350">
      <c r="A350" s="147">
        <f>ROW()-2</f>
        <v/>
      </c>
      <c r="B350" s="133" t="inlineStr">
        <is>
          <t>KK0187</t>
        </is>
      </c>
      <c r="C350" s="148" t="inlineStr">
        <is>
          <t>THALAVAI K</t>
        </is>
      </c>
      <c r="D350" s="127" t="inlineStr">
        <is>
          <t>PRODUCTION</t>
        </is>
      </c>
      <c r="E350" s="135" t="inlineStr">
        <is>
          <t>MIXING</t>
        </is>
      </c>
      <c r="F350" s="136" t="n">
        <v>41708</v>
      </c>
      <c r="G350" s="131">
        <f>NOW()-F350</f>
        <v/>
      </c>
      <c r="H350" s="104" t="inlineStr">
        <is>
          <t>O</t>
        </is>
      </c>
      <c r="I350" s="104" t="inlineStr">
        <is>
          <t>O</t>
        </is>
      </c>
      <c r="J350" s="104" t="inlineStr">
        <is>
          <t>NIL</t>
        </is>
      </c>
      <c r="K350" s="104" t="n"/>
      <c r="L350" s="104" t="n"/>
      <c r="M350" s="104" t="n"/>
      <c r="N350" s="104" t="n"/>
      <c r="O350" s="104" t="n"/>
      <c r="P350" s="12">
        <f>O350/IF(H350="L",20,IF(H350="U",30,IF(H350="O",40,IF(H350="I",20,""))))</f>
        <v/>
      </c>
      <c r="Q350" s="132">
        <f>IF(AND(H350="L", P350&gt;=50%), "Pass",
IF(AND(H350="U", P350&gt;=60%), "Pass",
IF(AND(H350="O", P350&gt;=75%), "Pass", "Fail")))</f>
        <v/>
      </c>
      <c r="R350" s="104" t="n"/>
      <c r="S350" s="104" t="n">
        <v>14</v>
      </c>
      <c r="T350" s="104" t="n">
        <v>12</v>
      </c>
      <c r="U350" s="104">
        <f>SUM(S350:T350)</f>
        <v/>
      </c>
      <c r="V350" s="12">
        <f>U350/IF(H350="L",35,IF(H350="U",35,IF(H350="O",35,IF(H350="I",35,""))))</f>
        <v/>
      </c>
      <c r="W350" s="132">
        <f>IF(AND(H350="L", V350&gt;=50%), "Pass",
IF(AND(H350="U", V350&gt;=60%), "Pass",
IF(AND(H350="O", V350&gt;=75%), "Pass", "Fail")))</f>
        <v/>
      </c>
      <c r="X350" s="132">
        <f>IF(AND(Q350="Pass", W350="Pass"), "Pass", "Fail")</f>
        <v/>
      </c>
      <c r="Y350" s="15">
        <f>IF($X350="Pass",$H350,
IF(H350="L","I",
IF(H350="U","L",
IF(H350="O","U",
"I"))))</f>
        <v/>
      </c>
    </row>
    <row r="351">
      <c r="A351" s="147">
        <f>ROW()-2</f>
        <v/>
      </c>
      <c r="B351" s="127" t="inlineStr">
        <is>
          <t>SK2346</t>
        </is>
      </c>
      <c r="C351" s="128" t="inlineStr">
        <is>
          <t>THANGARAJ E</t>
        </is>
      </c>
      <c r="D351" s="127" t="inlineStr">
        <is>
          <t>PRODUCTION</t>
        </is>
      </c>
      <c r="E351" s="129" t="inlineStr">
        <is>
          <t>BIAS CUTTING-5</t>
        </is>
      </c>
      <c r="F351" s="130" t="n">
        <v>41717</v>
      </c>
      <c r="G351" s="131">
        <f>NOW()-F351</f>
        <v/>
      </c>
      <c r="H351" s="104" t="inlineStr">
        <is>
          <t>O</t>
        </is>
      </c>
      <c r="I351" s="104" t="inlineStr">
        <is>
          <t>U</t>
        </is>
      </c>
      <c r="J351" s="104" t="n">
        <v>6</v>
      </c>
      <c r="K351" s="104" t="n">
        <v>6</v>
      </c>
      <c r="L351" s="104" t="n">
        <v>6</v>
      </c>
      <c r="M351" s="104" t="n">
        <v>6</v>
      </c>
      <c r="N351" s="104" t="n"/>
      <c r="O351" s="104">
        <f>SUM(J351:N351)</f>
        <v/>
      </c>
      <c r="P351" s="12">
        <f>O351/IF(H351="L",20,IF(H351="U",30,IF(H351="O",40,IF(H351="I",20,""))))</f>
        <v/>
      </c>
      <c r="Q351" s="132">
        <f>IF(AND(H351="L", P351&gt;=50%), "Pass",
IF(AND(H351="U", P351&gt;=60%), "Pass",
IF(AND(H351="O", P351&gt;=75%), "Pass", "Fail")))</f>
        <v/>
      </c>
      <c r="R351" s="104" t="n"/>
      <c r="S351" s="104" t="n">
        <v>18</v>
      </c>
      <c r="T351" s="104" t="n">
        <v>14</v>
      </c>
      <c r="U351" s="104">
        <f>SUM(S351:T351)</f>
        <v/>
      </c>
      <c r="V351" s="12">
        <f>U351/IF(H351="L",35,IF(H351="U",35,IF(H351="O",35,IF(H351="I",35,""))))</f>
        <v/>
      </c>
      <c r="W351" s="132">
        <f>IF(AND(H351="L", V351&gt;=50%), "Pass",
IF(AND(H351="U", V351&gt;=60%), "Pass",
IF(AND(H351="O", V351&gt;=75%), "Pass", "Fail")))</f>
        <v/>
      </c>
      <c r="X351" s="132">
        <f>IF(AND(Q351="Pass", W351="Pass"), "Pass", "Fail")</f>
        <v/>
      </c>
      <c r="Y351" s="15">
        <f>IF($X351="Pass",$H351,
IF(H351="L","I",
IF(H351="U","L",
IF(H351="O","U",
"I"))))</f>
        <v/>
      </c>
      <c r="Z351" s="82">
        <f>V351-75%</f>
        <v/>
      </c>
    </row>
    <row r="352">
      <c r="A352" s="147">
        <f>ROW()-2</f>
        <v/>
      </c>
      <c r="B352" s="127" t="inlineStr">
        <is>
          <t>AK0634</t>
        </is>
      </c>
      <c r="C352" s="128" t="inlineStr">
        <is>
          <t>SANKAR M</t>
        </is>
      </c>
      <c r="D352" s="127" t="inlineStr">
        <is>
          <t>PRODUCTION</t>
        </is>
      </c>
      <c r="E352" s="129" t="inlineStr">
        <is>
          <t>TYRE CURING</t>
        </is>
      </c>
      <c r="F352" s="130" t="n">
        <v>41719</v>
      </c>
      <c r="G352" s="131">
        <f>NOW()-F352</f>
        <v/>
      </c>
      <c r="H352" s="104" t="inlineStr">
        <is>
          <t>O</t>
        </is>
      </c>
      <c r="I352" s="104" t="inlineStr">
        <is>
          <t>U</t>
        </is>
      </c>
      <c r="J352" s="104" t="n">
        <v>9</v>
      </c>
      <c r="K352" s="104" t="n">
        <v>9</v>
      </c>
      <c r="L352" s="104" t="n">
        <v>8</v>
      </c>
      <c r="M352" s="104" t="n">
        <v>7</v>
      </c>
      <c r="N352" s="104" t="n"/>
      <c r="O352" s="104">
        <f>SUM(J352:N352)</f>
        <v/>
      </c>
      <c r="P352" s="12">
        <f>O352/IF(H352="L",20,IF(H352="U",30,IF(H352="O",40,IF(H352="I",20,""))))</f>
        <v/>
      </c>
      <c r="Q352" s="132">
        <f>IF(AND(H352="L", P352&gt;=50%), "Pass",
IF(AND(H352="U", P352&gt;=60%), "Pass",
IF(AND(H352="O", P352&gt;=75%), "Pass", "Fail")))</f>
        <v/>
      </c>
      <c r="R352" s="104" t="n"/>
      <c r="S352" s="104" t="n">
        <v>12</v>
      </c>
      <c r="T352" s="104" t="n">
        <v>8</v>
      </c>
      <c r="U352" s="104">
        <f>SUM(S352:T352)</f>
        <v/>
      </c>
      <c r="V352" s="12">
        <f>U352/IF(H352="L",35,IF(H352="U",35,IF(H352="O",35,IF(H352="I",35,""))))</f>
        <v/>
      </c>
      <c r="W352" s="132">
        <f>IF(AND(H352="L", V352&gt;=50%), "Pass",
IF(AND(H352="U", V352&gt;=60%), "Pass",
IF(AND(H352="O", V352&gt;=75%), "Pass", "Fail")))</f>
        <v/>
      </c>
      <c r="X352" s="132">
        <f>IF(AND(Q352="Pass", W352="Pass"), "Pass", "Fail")</f>
        <v/>
      </c>
      <c r="Y352" s="15">
        <f>IF($X352="Pass",$H352,
IF(H352="L","I",
IF(H352="U","L",
IF(H352="O","U",
"I"))))</f>
        <v/>
      </c>
    </row>
    <row r="353">
      <c r="A353" s="147">
        <f>ROW()-2</f>
        <v/>
      </c>
      <c r="B353" s="127" t="inlineStr">
        <is>
          <t>SK1190</t>
        </is>
      </c>
      <c r="C353" s="128" t="inlineStr">
        <is>
          <t>RAJKUMAR</t>
        </is>
      </c>
      <c r="D353" s="127" t="inlineStr">
        <is>
          <t>PRODUCTION</t>
        </is>
      </c>
      <c r="E353" s="129" t="inlineStr">
        <is>
          <t>TYRE CURING</t>
        </is>
      </c>
      <c r="F353" s="130" t="n">
        <v>41723</v>
      </c>
      <c r="G353" s="131">
        <f>NOW()-F353</f>
        <v/>
      </c>
      <c r="H353" s="104" t="inlineStr">
        <is>
          <t>O</t>
        </is>
      </c>
      <c r="I353" s="104" t="inlineStr">
        <is>
          <t>O</t>
        </is>
      </c>
      <c r="J353" s="104" t="n">
        <v>10</v>
      </c>
      <c r="K353" s="104" t="n">
        <v>9</v>
      </c>
      <c r="L353" s="104" t="n">
        <v>9</v>
      </c>
      <c r="M353" s="104" t="n">
        <v>6</v>
      </c>
      <c r="N353" s="104" t="n"/>
      <c r="O353" s="104">
        <f>SUM(J353:N353)</f>
        <v/>
      </c>
      <c r="P353" s="12">
        <f>O353/IF(H353="L",20,IF(H353="U",30,IF(H353="O",40,IF(H353="I",20,""))))</f>
        <v/>
      </c>
      <c r="Q353" s="132">
        <f>IF(AND(H353="L", P353&gt;=50%), "Pass",
IF(AND(H353="U", P353&gt;=60%), "Pass",
IF(AND(H353="O", P353&gt;=75%), "Pass", "Fail")))</f>
        <v/>
      </c>
      <c r="R353" s="104" t="n"/>
      <c r="S353" s="104" t="n">
        <v>12</v>
      </c>
      <c r="T353" s="104" t="n">
        <v>7</v>
      </c>
      <c r="U353" s="104">
        <f>SUM(S353:T353)</f>
        <v/>
      </c>
      <c r="V353" s="12">
        <f>U353/IF(H353="L",35,IF(H353="U",35,IF(H353="O",35,IF(H353="I",35,""))))</f>
        <v/>
      </c>
      <c r="W353" s="132">
        <f>IF(AND(H353="L", V353&gt;=50%), "Pass",
IF(AND(H353="U", V353&gt;=60%), "Pass",
IF(AND(H353="O", V353&gt;=75%), "Pass", "Fail")))</f>
        <v/>
      </c>
      <c r="X353" s="132">
        <f>IF(AND(Q353="Pass", W353="Pass"), "Pass", "Fail")</f>
        <v/>
      </c>
      <c r="Y353" s="15">
        <f>IF($X353="Pass",$H353,
IF(H353="L","I",
IF(H353="U","L",
IF(H353="O","U",
"I"))))</f>
        <v/>
      </c>
    </row>
    <row r="354">
      <c r="A354" s="147">
        <f>ROW()-2</f>
        <v/>
      </c>
      <c r="B354" s="127" t="inlineStr">
        <is>
          <t>SK2347</t>
        </is>
      </c>
      <c r="C354" s="128" t="inlineStr">
        <is>
          <t>KRISHNAN M</t>
        </is>
      </c>
      <c r="D354" s="127" t="inlineStr">
        <is>
          <t>PRODUCTION</t>
        </is>
      </c>
      <c r="E354" s="129" t="inlineStr">
        <is>
          <t>RADIAL MARANGONI</t>
        </is>
      </c>
      <c r="F354" s="130" t="n">
        <v>41725</v>
      </c>
      <c r="G354" s="131">
        <f>NOW()-F354</f>
        <v/>
      </c>
      <c r="H354" s="104" t="inlineStr">
        <is>
          <t>O</t>
        </is>
      </c>
      <c r="I354" s="104" t="inlineStr">
        <is>
          <t>U</t>
        </is>
      </c>
      <c r="J354" s="104" t="n">
        <v>9</v>
      </c>
      <c r="K354" s="104" t="n">
        <v>8</v>
      </c>
      <c r="L354" s="104" t="n">
        <v>8</v>
      </c>
      <c r="M354" s="104" t="n">
        <v>8</v>
      </c>
      <c r="N354" s="104" t="n"/>
      <c r="O354" s="104">
        <f>SUM(J354:N354)</f>
        <v/>
      </c>
      <c r="P354" s="12">
        <f>O354/IF(H354="L",20,IF(H354="U",30,IF(H354="O",40,IF(H354="I",20,""))))</f>
        <v/>
      </c>
      <c r="Q354" s="132">
        <f>IF(AND(H354="L", P354&gt;=50%), "Pass",
IF(AND(H354="U", P354&gt;=60%), "Pass",
IF(AND(H354="O", P354&gt;=75%), "Pass", "Fail")))</f>
        <v/>
      </c>
      <c r="R354" s="104" t="n"/>
      <c r="S354" s="104" t="n">
        <v>13</v>
      </c>
      <c r="T354" s="104" t="n">
        <v>10</v>
      </c>
      <c r="U354" s="104">
        <f>SUM(S354:T354)</f>
        <v/>
      </c>
      <c r="V354" s="12">
        <f>U354/IF(H354="L",35,IF(H354="U",35,IF(H354="O",35,IF(H354="I",35,""))))</f>
        <v/>
      </c>
      <c r="W354" s="132">
        <f>IF(AND(H354="L", V354&gt;=50%), "Pass",
IF(AND(H354="U", V354&gt;=60%), "Pass",
IF(AND(H354="O", V354&gt;=75%), "Pass", "Fail")))</f>
        <v/>
      </c>
      <c r="X354" s="132">
        <f>IF(AND(Q354="Pass", W354="Pass"), "Pass", "Fail")</f>
        <v/>
      </c>
      <c r="Y354" s="15">
        <f>IF($X354="Pass",$H354,
IF(H354="L","I",
IF(H354="U","L",
IF(H354="O","U",
"I"))))</f>
        <v/>
      </c>
    </row>
    <row r="355">
      <c r="A355" s="147">
        <f>ROW()-2</f>
        <v/>
      </c>
      <c r="B355" s="127" t="inlineStr">
        <is>
          <t>SK2409</t>
        </is>
      </c>
      <c r="C355" s="128" t="inlineStr">
        <is>
          <t>RAJA RAMAN A</t>
        </is>
      </c>
      <c r="D355" s="127" t="inlineStr">
        <is>
          <t>PRODUCTION</t>
        </is>
      </c>
      <c r="E355" s="129" t="inlineStr">
        <is>
          <t>TYRE BUILDING-P2</t>
        </is>
      </c>
      <c r="F355" s="130" t="n">
        <v>41740</v>
      </c>
      <c r="G355" s="131">
        <f>NOW()-F355</f>
        <v/>
      </c>
      <c r="H355" s="104" t="inlineStr">
        <is>
          <t>O</t>
        </is>
      </c>
      <c r="I355" s="104" t="inlineStr">
        <is>
          <t>O</t>
        </is>
      </c>
      <c r="J355" s="104" t="n">
        <v>10</v>
      </c>
      <c r="K355" s="104" t="n">
        <v>10</v>
      </c>
      <c r="L355" s="104" t="n">
        <v>8</v>
      </c>
      <c r="M355" s="104" t="n">
        <v>8</v>
      </c>
      <c r="N355" s="104" t="n"/>
      <c r="O355" s="104">
        <f>SUM(J355:N355)</f>
        <v/>
      </c>
      <c r="P355" s="12">
        <f>O355/IF(H355="L",20,IF(H355="U",30,IF(H355="O",40,IF(H355="I",20,""))))</f>
        <v/>
      </c>
      <c r="Q355" s="132">
        <f>IF(AND(H355="L", P355&gt;=50%), "Pass",
IF(AND(H355="U", P355&gt;=60%), "Pass",
IF(AND(H355="O", P355&gt;=75%), "Pass", "Fail")))</f>
        <v/>
      </c>
      <c r="R355" s="104" t="n"/>
      <c r="S355" s="104" t="n">
        <v>11</v>
      </c>
      <c r="T355" s="104" t="n">
        <v>11</v>
      </c>
      <c r="U355" s="104">
        <f>SUM(S355:T355)</f>
        <v/>
      </c>
      <c r="V355" s="12">
        <f>U355/IF(H355="L",35,IF(H355="U",35,IF(H355="O",35,IF(H355="I",35,""))))</f>
        <v/>
      </c>
      <c r="W355" s="132">
        <f>IF(AND(H355="L", V355&gt;=50%), "Pass",
IF(AND(H355="U", V355&gt;=60%), "Pass",
IF(AND(H355="O", V355&gt;=75%), "Pass", "Fail")))</f>
        <v/>
      </c>
      <c r="X355" s="132">
        <f>IF(AND(Q355="Pass", W355="Pass"), "Pass", "Fail")</f>
        <v/>
      </c>
      <c r="Y355" s="15">
        <f>IF($X355="Pass",$H355,
IF(H355="L","I",
IF(H355="U","L",
IF(H355="O","U",
"I"))))</f>
        <v/>
      </c>
    </row>
    <row r="356">
      <c r="A356" s="147">
        <f>ROW()-2</f>
        <v/>
      </c>
      <c r="B356" s="127" t="inlineStr">
        <is>
          <t>SK2298</t>
        </is>
      </c>
      <c r="C356" s="128" t="inlineStr">
        <is>
          <t>ARIKRISHNAN M</t>
        </is>
      </c>
      <c r="D356" s="127" t="inlineStr">
        <is>
          <t>PRODUCTION</t>
        </is>
      </c>
      <c r="E356" s="129" t="inlineStr">
        <is>
          <t>TYRE CURING</t>
        </is>
      </c>
      <c r="F356" s="130" t="n">
        <v>41741</v>
      </c>
      <c r="G356" s="131">
        <f>NOW()-F356</f>
        <v/>
      </c>
      <c r="H356" s="104" t="inlineStr">
        <is>
          <t>O</t>
        </is>
      </c>
      <c r="I356" s="104" t="inlineStr">
        <is>
          <t>O</t>
        </is>
      </c>
      <c r="J356" s="104" t="n">
        <v>10</v>
      </c>
      <c r="K356" s="104" t="n">
        <v>9</v>
      </c>
      <c r="L356" s="104" t="n">
        <v>8</v>
      </c>
      <c r="M356" s="104" t="n">
        <v>7</v>
      </c>
      <c r="N356" s="104" t="n"/>
      <c r="O356" s="104">
        <f>SUM(J356:N356)</f>
        <v/>
      </c>
      <c r="P356" s="12">
        <f>O356/IF(H356="L",20,IF(H356="U",30,IF(H356="O",40,IF(H356="I",20,""))))</f>
        <v/>
      </c>
      <c r="Q356" s="132">
        <f>IF(AND(H356="L", P356&gt;=50%), "Pass",
IF(AND(H356="U", P356&gt;=60%), "Pass",
IF(AND(H356="O", P356&gt;=75%), "Pass", "Fail")))</f>
        <v/>
      </c>
      <c r="R356" s="104" t="n"/>
      <c r="S356" s="104" t="n">
        <v>16</v>
      </c>
      <c r="T356" s="104" t="n">
        <v>13</v>
      </c>
      <c r="U356" s="104">
        <f>SUM(S356:T356)</f>
        <v/>
      </c>
      <c r="V356" s="12">
        <f>U356/IF(H356="L",35,IF(H356="U",35,IF(H356="O",35,IF(H356="I",35,""))))</f>
        <v/>
      </c>
      <c r="W356" s="132">
        <f>IF(AND(H356="L", V356&gt;=50%), "Pass",
IF(AND(H356="U", V356&gt;=60%), "Pass",
IF(AND(H356="O", V356&gt;=75%), "Pass", "Fail")))</f>
        <v/>
      </c>
      <c r="X356" s="132">
        <f>IF(AND(Q356="Pass", W356="Pass"), "Pass", "Fail")</f>
        <v/>
      </c>
      <c r="Y356" s="15">
        <f>IF($X356="Pass",$H356,
IF(H356="L","I",
IF(H356="U","L",
IF(H356="O","U",
"I"))))</f>
        <v/>
      </c>
    </row>
    <row r="357">
      <c r="A357" s="147">
        <f>ROW()-2</f>
        <v/>
      </c>
      <c r="B357" s="133" t="inlineStr">
        <is>
          <t>SK2352</t>
        </is>
      </c>
      <c r="C357" s="148" t="inlineStr">
        <is>
          <t>SELVAM S</t>
        </is>
      </c>
      <c r="D357" s="127" t="inlineStr">
        <is>
          <t>PRODUCTION</t>
        </is>
      </c>
      <c r="E357" s="135" t="inlineStr">
        <is>
          <t>MIXING</t>
        </is>
      </c>
      <c r="F357" s="136" t="n">
        <v>41745</v>
      </c>
      <c r="G357" s="131">
        <f>NOW()-F357</f>
        <v/>
      </c>
      <c r="H357" s="104" t="inlineStr">
        <is>
          <t>O</t>
        </is>
      </c>
      <c r="I357" s="104" t="inlineStr">
        <is>
          <t>U</t>
        </is>
      </c>
      <c r="J357" s="104" t="inlineStr">
        <is>
          <t>NIL</t>
        </is>
      </c>
      <c r="K357" s="104" t="n"/>
      <c r="L357" s="104" t="n"/>
      <c r="M357" s="104" t="n"/>
      <c r="N357" s="104" t="n"/>
      <c r="O357" s="104" t="n"/>
      <c r="P357" s="12">
        <f>O357/IF(H357="L",20,IF(H357="U",30,IF(H357="O",40,IF(H357="I",20,""))))</f>
        <v/>
      </c>
      <c r="Q357" s="132">
        <f>IF(AND(H357="L", P357&gt;=50%), "Pass",
IF(AND(H357="U", P357&gt;=60%), "Pass",
IF(AND(H357="O", P357&gt;=75%), "Pass", "Fail")))</f>
        <v/>
      </c>
      <c r="R357" s="104" t="n"/>
      <c r="S357" s="104" t="n">
        <v>15</v>
      </c>
      <c r="T357" s="104" t="n">
        <v>12</v>
      </c>
      <c r="U357" s="104">
        <f>SUM(S357:T357)</f>
        <v/>
      </c>
      <c r="V357" s="12">
        <f>U357/IF(H357="L",35,IF(H357="U",35,IF(H357="O",35,IF(H357="I",35,""))))</f>
        <v/>
      </c>
      <c r="W357" s="132">
        <f>IF(AND(H357="L", V357&gt;=50%), "Pass",
IF(AND(H357="U", V357&gt;=60%), "Pass",
IF(AND(H357="O", V357&gt;=75%), "Pass", "Fail")))</f>
        <v/>
      </c>
      <c r="X357" s="132">
        <f>IF(AND(Q357="Pass", W357="Pass"), "Pass", "Fail")</f>
        <v/>
      </c>
      <c r="Y357" s="15">
        <f>IF($X357="Pass",$H357,
IF(H357="L","I",
IF(H357="U","L",
IF(H357="O","U",
"I"))))</f>
        <v/>
      </c>
    </row>
    <row r="358">
      <c r="A358" s="147">
        <f>ROW()-2</f>
        <v/>
      </c>
      <c r="B358" s="127" t="inlineStr">
        <is>
          <t>SK1258</t>
        </is>
      </c>
      <c r="C358" s="128" t="inlineStr">
        <is>
          <t>RAMESH S</t>
        </is>
      </c>
      <c r="D358" s="127" t="inlineStr">
        <is>
          <t>PRODUCTION</t>
        </is>
      </c>
      <c r="E358" s="129" t="inlineStr">
        <is>
          <t>TYRE CURING</t>
        </is>
      </c>
      <c r="F358" s="130" t="n">
        <v>41746</v>
      </c>
      <c r="G358" s="131">
        <f>NOW()-F358</f>
        <v/>
      </c>
      <c r="H358" s="104" t="inlineStr">
        <is>
          <t>O</t>
        </is>
      </c>
      <c r="I358" s="104" t="inlineStr">
        <is>
          <t>O</t>
        </is>
      </c>
      <c r="J358" s="104" t="n">
        <v>9</v>
      </c>
      <c r="K358" s="104" t="n">
        <v>9</v>
      </c>
      <c r="L358" s="104" t="n">
        <v>9</v>
      </c>
      <c r="M358" s="104" t="n">
        <v>7</v>
      </c>
      <c r="N358" s="104" t="n"/>
      <c r="O358" s="104">
        <f>SUM(J358:N358)</f>
        <v/>
      </c>
      <c r="P358" s="12">
        <f>O358/IF(H358="L",20,IF(H358="U",30,IF(H358="O",40,IF(H358="I",20,""))))</f>
        <v/>
      </c>
      <c r="Q358" s="132">
        <f>IF(AND(H358="L", P358&gt;=50%), "Pass",
IF(AND(H358="U", P358&gt;=60%), "Pass",
IF(AND(H358="O", P358&gt;=75%), "Pass", "Fail")))</f>
        <v/>
      </c>
      <c r="R358" s="104" t="n"/>
      <c r="S358" s="104" t="n">
        <v>16</v>
      </c>
      <c r="T358" s="104" t="n">
        <v>14</v>
      </c>
      <c r="U358" s="104">
        <f>SUM(S358:T358)</f>
        <v/>
      </c>
      <c r="V358" s="12">
        <f>U358/IF(H358="L",35,IF(H358="U",35,IF(H358="O",35,IF(H358="I",35,""))))</f>
        <v/>
      </c>
      <c r="W358" s="132">
        <f>IF(AND(H358="L", V358&gt;=50%), "Pass",
IF(AND(H358="U", V358&gt;=60%), "Pass",
IF(AND(H358="O", V358&gt;=75%), "Pass", "Fail")))</f>
        <v/>
      </c>
      <c r="X358" s="132">
        <f>IF(AND(Q358="Pass", W358="Pass"), "Pass", "Fail")</f>
        <v/>
      </c>
      <c r="Y358" s="15">
        <f>IF($X358="Pass",$H358,
IF(H358="L","I",
IF(H358="U","L",
IF(H358="O","U",
"I"))))</f>
        <v/>
      </c>
    </row>
    <row r="359">
      <c r="A359" s="147">
        <f>ROW()-2</f>
        <v/>
      </c>
      <c r="B359" s="127" t="inlineStr">
        <is>
          <t>SR0166</t>
        </is>
      </c>
      <c r="C359" s="128" t="inlineStr">
        <is>
          <t>SUBBU RAJ A</t>
        </is>
      </c>
      <c r="D359" s="127" t="inlineStr">
        <is>
          <t>PRODUCTION</t>
        </is>
      </c>
      <c r="E359" s="129" t="inlineStr">
        <is>
          <t>EXTRUDER</t>
        </is>
      </c>
      <c r="F359" s="130" t="n">
        <v>41747</v>
      </c>
      <c r="G359" s="131">
        <f>NOW()-F359</f>
        <v/>
      </c>
      <c r="H359" s="104" t="inlineStr">
        <is>
          <t>O</t>
        </is>
      </c>
      <c r="I359" s="104" t="inlineStr">
        <is>
          <t>U</t>
        </is>
      </c>
      <c r="J359" s="104" t="n">
        <v>9</v>
      </c>
      <c r="K359" s="104" t="n">
        <v>5</v>
      </c>
      <c r="L359" s="104" t="n">
        <v>9</v>
      </c>
      <c r="M359" s="104" t="n">
        <v>4</v>
      </c>
      <c r="N359" s="104" t="n"/>
      <c r="O359" s="104">
        <f>SUM(J359:N359)</f>
        <v/>
      </c>
      <c r="P359" s="12">
        <f>O359/IF(H359="L",20,IF(H359="U",30,IF(H359="O",40,IF(H359="I",20,""))))</f>
        <v/>
      </c>
      <c r="Q359" s="132">
        <f>IF(AND(H359="L", P359&gt;=50%), "Pass",
IF(AND(H359="U", P359&gt;=60%), "Pass",
IF(AND(H359="O", P359&gt;=75%), "Pass", "Fail")))</f>
        <v/>
      </c>
      <c r="R359" s="104" t="n"/>
      <c r="S359" s="104" t="n">
        <v>10</v>
      </c>
      <c r="T359" s="104" t="n">
        <v>11</v>
      </c>
      <c r="U359" s="104">
        <f>SUM(S359:T359)</f>
        <v/>
      </c>
      <c r="V359" s="12">
        <f>U359/IF(H359="L",35,IF(H359="U",35,IF(H359="O",35,IF(H359="I",35,""))))</f>
        <v/>
      </c>
      <c r="W359" s="132">
        <f>IF(AND(H359="L", V359&gt;=50%), "Pass",
IF(AND(H359="U", V359&gt;=60%), "Pass",
IF(AND(H359="O", V359&gt;=75%), "Pass", "Fail")))</f>
        <v/>
      </c>
      <c r="X359" s="132">
        <f>IF(AND(Q359="Pass", W359="Pass"), "Pass", "Fail")</f>
        <v/>
      </c>
      <c r="Y359" s="15">
        <f>IF($X359="Pass",$H359,
IF(H359="L","I",
IF(H359="U","L",
IF(H359="O","U",
"I"))))</f>
        <v/>
      </c>
    </row>
    <row r="360">
      <c r="A360" s="147">
        <f>ROW()-2</f>
        <v/>
      </c>
      <c r="B360" s="127" t="inlineStr">
        <is>
          <t>KK0214</t>
        </is>
      </c>
      <c r="C360" s="128" t="inlineStr">
        <is>
          <t>KANNAN M</t>
        </is>
      </c>
      <c r="D360" s="127" t="inlineStr">
        <is>
          <t>PRODUCTION</t>
        </is>
      </c>
      <c r="E360" s="129" t="inlineStr">
        <is>
          <t>BEAD WINDING</t>
        </is>
      </c>
      <c r="F360" s="130" t="n">
        <v>41755</v>
      </c>
      <c r="G360" s="131">
        <f>NOW()-F360</f>
        <v/>
      </c>
      <c r="H360" s="104" t="inlineStr">
        <is>
          <t>O</t>
        </is>
      </c>
      <c r="I360" s="104" t="inlineStr">
        <is>
          <t>U</t>
        </is>
      </c>
      <c r="J360" s="104" t="n">
        <v>10</v>
      </c>
      <c r="K360" s="104" t="n">
        <v>7</v>
      </c>
      <c r="L360" s="104" t="n">
        <v>6</v>
      </c>
      <c r="M360" s="104" t="n">
        <v>8</v>
      </c>
      <c r="N360" s="104" t="n"/>
      <c r="O360" s="104">
        <f>SUM(J360:N360)</f>
        <v/>
      </c>
      <c r="P360" s="12">
        <f>O360/IF(H360="L",20,IF(H360="U",30,IF(H360="O",40,IF(H360="I",20,""))))</f>
        <v/>
      </c>
      <c r="Q360" s="132">
        <f>IF(AND(H360="L", P360&gt;=50%), "Pass",
IF(AND(H360="U", P360&gt;=60%), "Pass",
IF(AND(H360="O", P360&gt;=75%), "Pass", "Fail")))</f>
        <v/>
      </c>
      <c r="R360" s="104" t="n"/>
      <c r="S360" s="104" t="n">
        <v>15</v>
      </c>
      <c r="T360" s="104" t="n">
        <v>12</v>
      </c>
      <c r="U360" s="104">
        <f>SUM(S360:T360)</f>
        <v/>
      </c>
      <c r="V360" s="12">
        <f>U360/IF(H360="L",35,IF(H360="U",35,IF(H360="O",35,IF(H360="I",35,""))))</f>
        <v/>
      </c>
      <c r="W360" s="132">
        <f>IF(AND(H360="L", V360&gt;=50%), "Pass",
IF(AND(H360="U", V360&gt;=60%), "Pass",
IF(AND(H360="O", V360&gt;=75%), "Pass", "Fail")))</f>
        <v/>
      </c>
      <c r="X360" s="132">
        <f>IF(AND(Q360="Pass", W360="Pass"), "Pass", "Fail")</f>
        <v/>
      </c>
      <c r="Y360" s="15">
        <f>IF($X360="Pass",$H360,
IF(H360="L","I",
IF(H360="U","L",
IF(H360="O","U",
"I"))))</f>
        <v/>
      </c>
    </row>
    <row r="361">
      <c r="A361" s="147">
        <f>ROW()-2</f>
        <v/>
      </c>
      <c r="B361" s="133" t="inlineStr">
        <is>
          <t>PK0061</t>
        </is>
      </c>
      <c r="C361" s="148" t="inlineStr">
        <is>
          <t>RAMJEET ORAON</t>
        </is>
      </c>
      <c r="D361" s="127" t="inlineStr">
        <is>
          <t>PRODUCTION</t>
        </is>
      </c>
      <c r="E361" s="135" t="inlineStr">
        <is>
          <t>MIXING</t>
        </is>
      </c>
      <c r="F361" s="136" t="n">
        <v>41761</v>
      </c>
      <c r="G361" s="131">
        <f>NOW()-F361</f>
        <v/>
      </c>
      <c r="H361" s="104" t="inlineStr">
        <is>
          <t>O</t>
        </is>
      </c>
      <c r="I361" s="104" t="inlineStr">
        <is>
          <t>U</t>
        </is>
      </c>
      <c r="J361" s="104" t="inlineStr">
        <is>
          <t>NIL</t>
        </is>
      </c>
      <c r="K361" s="104" t="n"/>
      <c r="L361" s="104" t="n"/>
      <c r="M361" s="104" t="n"/>
      <c r="N361" s="104" t="n"/>
      <c r="O361" s="104" t="n"/>
      <c r="P361" s="12">
        <f>O361/IF(H361="L",20,IF(H361="U",30,IF(H361="O",40,IF(H361="I",20,""))))</f>
        <v/>
      </c>
      <c r="Q361" s="132">
        <f>IF(AND(H361="L", P361&gt;=50%), "Pass",
IF(AND(H361="U", P361&gt;=60%), "Pass",
IF(AND(H361="O", P361&gt;=75%), "Pass", "Fail")))</f>
        <v/>
      </c>
      <c r="R361" s="104" t="n"/>
      <c r="S361" s="104" t="n">
        <v>14</v>
      </c>
      <c r="T361" s="104" t="n">
        <v>11</v>
      </c>
      <c r="U361" s="104">
        <f>SUM(S361:T361)</f>
        <v/>
      </c>
      <c r="V361" s="12">
        <f>U361/IF(H361="L",35,IF(H361="U",35,IF(H361="O",35,IF(H361="I",35,""))))</f>
        <v/>
      </c>
      <c r="W361" s="132">
        <f>IF(AND(H361="L", V361&gt;=50%), "Pass",
IF(AND(H361="U", V361&gt;=60%), "Pass",
IF(AND(H361="O", V361&gt;=75%), "Pass", "Fail")))</f>
        <v/>
      </c>
      <c r="X361" s="132">
        <f>IF(AND(Q361="Pass", W361="Pass"), "Pass", "Fail")</f>
        <v/>
      </c>
      <c r="Y361" s="15">
        <f>IF($X361="Pass",$H361,
IF(H361="L","I",
IF(H361="U","L",
IF(H361="O","U",
"I"))))</f>
        <v/>
      </c>
    </row>
    <row r="362">
      <c r="A362" s="147">
        <f>ROW()-2</f>
        <v/>
      </c>
      <c r="B362" s="127" t="inlineStr">
        <is>
          <t>PK0677</t>
        </is>
      </c>
      <c r="C362" s="128" t="inlineStr">
        <is>
          <t>MUTHU A</t>
        </is>
      </c>
      <c r="D362" s="127" t="inlineStr">
        <is>
          <t>PRODUCTION</t>
        </is>
      </c>
      <c r="E362" s="129" t="inlineStr">
        <is>
          <t>TYRE BUILDING-P2</t>
        </is>
      </c>
      <c r="F362" s="130" t="n">
        <v>41761</v>
      </c>
      <c r="G362" s="131">
        <f>NOW()-F362</f>
        <v/>
      </c>
      <c r="H362" s="104" t="inlineStr">
        <is>
          <t>O</t>
        </is>
      </c>
      <c r="I362" s="104" t="inlineStr">
        <is>
          <t>O</t>
        </is>
      </c>
      <c r="J362" s="104" t="n">
        <v>9</v>
      </c>
      <c r="K362" s="104" t="n">
        <v>8</v>
      </c>
      <c r="L362" s="104" t="n">
        <v>7</v>
      </c>
      <c r="M362" s="104" t="n">
        <v>10</v>
      </c>
      <c r="N362" s="104" t="n"/>
      <c r="O362" s="104">
        <f>SUM(J362:N362)</f>
        <v/>
      </c>
      <c r="P362" s="12">
        <f>O362/IF(H362="L",20,IF(H362="U",30,IF(H362="O",40,IF(H362="I",20,""))))</f>
        <v/>
      </c>
      <c r="Q362" s="132">
        <f>IF(AND(H362="L", P362&gt;=50%), "Pass",
IF(AND(H362="U", P362&gt;=60%), "Pass",
IF(AND(H362="O", P362&gt;=75%), "Pass", "Fail")))</f>
        <v/>
      </c>
      <c r="R362" s="104" t="n"/>
      <c r="S362" s="104" t="n">
        <v>15</v>
      </c>
      <c r="T362" s="104" t="n">
        <v>12</v>
      </c>
      <c r="U362" s="104">
        <f>SUM(S362:T362)</f>
        <v/>
      </c>
      <c r="V362" s="12">
        <f>U362/IF(H362="L",35,IF(H362="U",35,IF(H362="O",35,IF(H362="I",35,""))))</f>
        <v/>
      </c>
      <c r="W362" s="132">
        <f>IF(AND(H362="L", V362&gt;=50%), "Pass",
IF(AND(H362="U", V362&gt;=60%), "Pass",
IF(AND(H362="O", V362&gt;=75%), "Pass", "Fail")))</f>
        <v/>
      </c>
      <c r="X362" s="132">
        <f>IF(AND(Q362="Pass", W362="Pass"), "Pass", "Fail")</f>
        <v/>
      </c>
      <c r="Y362" s="15">
        <f>IF($X362="Pass",$H362,
IF(H362="L","I",
IF(H362="U","L",
IF(H362="O","U",
"I"))))</f>
        <v/>
      </c>
    </row>
    <row r="363">
      <c r="A363" s="147">
        <f>ROW()-2</f>
        <v/>
      </c>
      <c r="B363" s="127" t="inlineStr">
        <is>
          <t>SK2354</t>
        </is>
      </c>
      <c r="C363" s="128" t="inlineStr">
        <is>
          <t>SUDALAI MUTHU S</t>
        </is>
      </c>
      <c r="D363" s="127" t="inlineStr">
        <is>
          <t>PRODUCTION</t>
        </is>
      </c>
      <c r="E363" s="129" t="inlineStr">
        <is>
          <t>RADIAL MARANGONI</t>
        </is>
      </c>
      <c r="F363" s="130" t="n">
        <v>41761</v>
      </c>
      <c r="G363" s="131">
        <f>NOW()-F363</f>
        <v/>
      </c>
      <c r="H363" s="104" t="inlineStr">
        <is>
          <t>O</t>
        </is>
      </c>
      <c r="I363" s="104" t="inlineStr">
        <is>
          <t>U</t>
        </is>
      </c>
      <c r="J363" s="104" t="n">
        <v>7</v>
      </c>
      <c r="K363" s="104" t="n">
        <v>8</v>
      </c>
      <c r="L363" s="104" t="n">
        <v>6</v>
      </c>
      <c r="M363" s="104" t="n">
        <v>9</v>
      </c>
      <c r="N363" s="104" t="n"/>
      <c r="O363" s="104">
        <f>SUM(J363:N363)</f>
        <v/>
      </c>
      <c r="P363" s="12">
        <f>O363/IF(H363="L",20,IF(H363="U",30,IF(H363="O",40,IF(H363="I",20,""))))</f>
        <v/>
      </c>
      <c r="Q363" s="132">
        <f>IF(AND(H363="L", P363&gt;=50%), "Pass",
IF(AND(H363="U", P363&gt;=60%), "Pass",
IF(AND(H363="O", P363&gt;=75%), "Pass", "Fail")))</f>
        <v/>
      </c>
      <c r="R363" s="104" t="n"/>
      <c r="S363" s="104" t="n">
        <v>15</v>
      </c>
      <c r="T363" s="104" t="n">
        <v>12</v>
      </c>
      <c r="U363" s="104">
        <f>SUM(S363:T363)</f>
        <v/>
      </c>
      <c r="V363" s="12">
        <f>U363/IF(H363="L",35,IF(H363="U",35,IF(H363="O",35,IF(H363="I",35,""))))</f>
        <v/>
      </c>
      <c r="W363" s="132">
        <f>IF(AND(H363="L", V363&gt;=50%), "Pass",
IF(AND(H363="U", V363&gt;=60%), "Pass",
IF(AND(H363="O", V363&gt;=75%), "Pass", "Fail")))</f>
        <v/>
      </c>
      <c r="X363" s="132">
        <f>IF(AND(Q363="Pass", W363="Pass"), "Pass", "Fail")</f>
        <v/>
      </c>
      <c r="Y363" s="15">
        <f>IF($X363="Pass",$H363,
IF(H363="L","I",
IF(H363="U","L",
IF(H363="O","U",
"I"))))</f>
        <v/>
      </c>
    </row>
    <row r="364">
      <c r="A364" s="147">
        <f>ROW()-2</f>
        <v/>
      </c>
      <c r="B364" s="127" t="inlineStr">
        <is>
          <t>SK2357</t>
        </is>
      </c>
      <c r="C364" s="128" t="inlineStr">
        <is>
          <t>RAMAKRISHNAN C</t>
        </is>
      </c>
      <c r="D364" s="127" t="inlineStr">
        <is>
          <t>PRODUCTION</t>
        </is>
      </c>
      <c r="E364" s="129" t="inlineStr">
        <is>
          <t>TYRE CURING</t>
        </is>
      </c>
      <c r="F364" s="130" t="n">
        <v>41761</v>
      </c>
      <c r="G364" s="131">
        <f>NOW()-F364</f>
        <v/>
      </c>
      <c r="H364" s="104" t="inlineStr">
        <is>
          <t>O</t>
        </is>
      </c>
      <c r="I364" s="104" t="inlineStr">
        <is>
          <t>O</t>
        </is>
      </c>
      <c r="J364" s="104" t="n">
        <v>9</v>
      </c>
      <c r="K364" s="104" t="n">
        <v>9</v>
      </c>
      <c r="L364" s="104" t="n">
        <v>6</v>
      </c>
      <c r="M364" s="104" t="n">
        <v>6</v>
      </c>
      <c r="N364" s="104" t="n"/>
      <c r="O364" s="104">
        <f>SUM(J364:N364)</f>
        <v/>
      </c>
      <c r="P364" s="12">
        <f>O364/IF(H364="L",20,IF(H364="U",30,IF(H364="O",40,IF(H364="I",20,""))))</f>
        <v/>
      </c>
      <c r="Q364" s="132">
        <f>IF(AND(H364="L", P364&gt;=50%), "Pass",
IF(AND(H364="U", P364&gt;=60%), "Pass",
IF(AND(H364="O", P364&gt;=75%), "Pass", "Fail")))</f>
        <v/>
      </c>
      <c r="R364" s="104" t="n"/>
      <c r="S364" s="104" t="n">
        <v>12</v>
      </c>
      <c r="T364" s="104" t="n">
        <v>11</v>
      </c>
      <c r="U364" s="104">
        <f>SUM(S364:T364)</f>
        <v/>
      </c>
      <c r="V364" s="12">
        <f>U364/IF(H364="L",35,IF(H364="U",35,IF(H364="O",35,IF(H364="I",35,""))))</f>
        <v/>
      </c>
      <c r="W364" s="132">
        <f>IF(AND(H364="L", V364&gt;=50%), "Pass",
IF(AND(H364="U", V364&gt;=60%), "Pass",
IF(AND(H364="O", V364&gt;=75%), "Pass", "Fail")))</f>
        <v/>
      </c>
      <c r="X364" s="132">
        <f>IF(AND(Q364="Pass", W364="Pass"), "Pass", "Fail")</f>
        <v/>
      </c>
      <c r="Y364" s="15">
        <f>IF($X364="Pass",$H364,
IF(H364="L","I",
IF(H364="U","L",
IF(H364="O","U",
"I"))))</f>
        <v/>
      </c>
    </row>
    <row r="365">
      <c r="A365" s="147">
        <f>ROW()-2</f>
        <v/>
      </c>
      <c r="B365" s="127" t="inlineStr">
        <is>
          <t>SK1281</t>
        </is>
      </c>
      <c r="C365" s="128" t="inlineStr">
        <is>
          <t>MUPPIDATHI M</t>
        </is>
      </c>
      <c r="D365" s="127" t="inlineStr">
        <is>
          <t>PRODUCTION</t>
        </is>
      </c>
      <c r="E365" s="129" t="inlineStr">
        <is>
          <t>BIAS MARANGONI&amp;BESTRY</t>
        </is>
      </c>
      <c r="F365" s="130" t="n">
        <v>41764</v>
      </c>
      <c r="G365" s="131">
        <f>NOW()-F365</f>
        <v/>
      </c>
      <c r="H365" s="104" t="inlineStr">
        <is>
          <t>O</t>
        </is>
      </c>
      <c r="I365" s="104" t="inlineStr">
        <is>
          <t>U</t>
        </is>
      </c>
      <c r="J365" s="104" t="n">
        <v>6</v>
      </c>
      <c r="K365" s="104" t="n">
        <v>10</v>
      </c>
      <c r="L365" s="104" t="n">
        <v>9</v>
      </c>
      <c r="M365" s="104" t="n">
        <v>9</v>
      </c>
      <c r="N365" s="104" t="n"/>
      <c r="O365" s="104">
        <f>SUM(J365:N365)</f>
        <v/>
      </c>
      <c r="P365" s="12">
        <f>O365/IF(H365="L",20,IF(H365="U",30,IF(H365="O",40,IF(H365="I",20,""))))</f>
        <v/>
      </c>
      <c r="Q365" s="132">
        <f>IF(AND(H365="L", P365&gt;=50%), "Pass",
IF(AND(H365="U", P365&gt;=60%), "Pass",
IF(AND(H365="O", P365&gt;=75%), "Pass", "Fail")))</f>
        <v/>
      </c>
      <c r="R365" s="104" t="n"/>
      <c r="S365" s="104" t="n">
        <v>15</v>
      </c>
      <c r="T365" s="104" t="n">
        <v>12</v>
      </c>
      <c r="U365" s="104">
        <f>SUM(S365:T365)</f>
        <v/>
      </c>
      <c r="V365" s="12">
        <f>U365/IF(H365="L",35,IF(H365="U",35,IF(H365="O",35,IF(H365="I",35,""))))</f>
        <v/>
      </c>
      <c r="W365" s="132">
        <f>IF(AND(H365="L", V365&gt;=50%), "Pass",
IF(AND(H365="U", V365&gt;=60%), "Pass",
IF(AND(H365="O", V365&gt;=75%), "Pass", "Fail")))</f>
        <v/>
      </c>
      <c r="X365" s="132">
        <f>IF(AND(Q365="Pass", W365="Pass"), "Pass", "Fail")</f>
        <v/>
      </c>
      <c r="Y365" s="15">
        <f>IF($X365="Pass",$H365,
IF(H365="L","I",
IF(H365="U","L",
IF(H365="O","U",
"I"))))</f>
        <v/>
      </c>
    </row>
    <row r="366">
      <c r="A366" s="147">
        <f>ROW()-2</f>
        <v/>
      </c>
      <c r="B366" s="127" t="inlineStr">
        <is>
          <t>SK1282</t>
        </is>
      </c>
      <c r="C366" s="128" t="inlineStr">
        <is>
          <t>BALAKRISHNAN P</t>
        </is>
      </c>
      <c r="D366" s="127" t="inlineStr">
        <is>
          <t>PRODUCTION</t>
        </is>
      </c>
      <c r="E366" s="129" t="inlineStr">
        <is>
          <t>TYRE CURING</t>
        </is>
      </c>
      <c r="F366" s="130" t="n">
        <v>41765</v>
      </c>
      <c r="G366" s="131">
        <f>NOW()-F366</f>
        <v/>
      </c>
      <c r="H366" s="104" t="inlineStr">
        <is>
          <t>O</t>
        </is>
      </c>
      <c r="I366" s="104" t="inlineStr">
        <is>
          <t>U</t>
        </is>
      </c>
      <c r="J366" s="104" t="n">
        <v>9</v>
      </c>
      <c r="K366" s="104" t="n">
        <v>9</v>
      </c>
      <c r="L366" s="104" t="n">
        <v>8</v>
      </c>
      <c r="M366" s="104" t="n">
        <v>6</v>
      </c>
      <c r="N366" s="104" t="n"/>
      <c r="O366" s="104">
        <f>SUM(J366:N366)</f>
        <v/>
      </c>
      <c r="P366" s="12">
        <f>O366/IF(H366="L",20,IF(H366="U",30,IF(H366="O",40,IF(H366="I",20,""))))</f>
        <v/>
      </c>
      <c r="Q366" s="132">
        <f>IF(AND(H366="L", P366&gt;=50%), "Pass",
IF(AND(H366="U", P366&gt;=60%), "Pass",
IF(AND(H366="O", P366&gt;=75%), "Pass", "Fail")))</f>
        <v/>
      </c>
      <c r="R366" s="104" t="n"/>
      <c r="S366" s="104" t="n">
        <v>18</v>
      </c>
      <c r="T366" s="104" t="n">
        <v>13</v>
      </c>
      <c r="U366" s="104">
        <f>SUM(S366:T366)</f>
        <v/>
      </c>
      <c r="V366" s="12">
        <f>U366/IF(H366="L",35,IF(H366="U",35,IF(H366="O",35,IF(H366="I",35,""))))</f>
        <v/>
      </c>
      <c r="W366" s="132">
        <f>IF(AND(H366="L", V366&gt;=50%), "Pass",
IF(AND(H366="U", V366&gt;=60%), "Pass",
IF(AND(H366="O", V366&gt;=75%), "Pass", "Fail")))</f>
        <v/>
      </c>
      <c r="X366" s="132">
        <f>IF(AND(Q366="Pass", W366="Pass"), "Pass", "Fail")</f>
        <v/>
      </c>
      <c r="Y366" s="15">
        <f>IF($X366="Pass",$H366,
IF(H366="L","I",
IF(H366="U","L",
IF(H366="O","U",
"I"))))</f>
        <v/>
      </c>
    </row>
    <row r="367">
      <c r="A367" s="147">
        <f>ROW()-2</f>
        <v/>
      </c>
      <c r="B367" s="127" t="inlineStr">
        <is>
          <t>SK2362</t>
        </is>
      </c>
      <c r="C367" s="128" t="inlineStr">
        <is>
          <t>TITIN C</t>
        </is>
      </c>
      <c r="D367" s="127" t="inlineStr">
        <is>
          <t>PRODUCTION</t>
        </is>
      </c>
      <c r="E367" s="129" t="inlineStr">
        <is>
          <t>TYRE CURING</t>
        </is>
      </c>
      <c r="F367" s="130" t="n">
        <v>41766</v>
      </c>
      <c r="G367" s="131">
        <f>NOW()-F367</f>
        <v/>
      </c>
      <c r="H367" s="104" t="inlineStr">
        <is>
          <t>O</t>
        </is>
      </c>
      <c r="I367" s="104" t="inlineStr">
        <is>
          <t>O</t>
        </is>
      </c>
      <c r="J367" s="104" t="n">
        <v>9</v>
      </c>
      <c r="K367" s="104" t="n">
        <v>9</v>
      </c>
      <c r="L367" s="104" t="n">
        <v>8</v>
      </c>
      <c r="M367" s="104" t="n">
        <v>9</v>
      </c>
      <c r="N367" s="104" t="n"/>
      <c r="O367" s="104">
        <f>SUM(J367:N367)</f>
        <v/>
      </c>
      <c r="P367" s="12">
        <f>O367/IF(H367="L",20,IF(H367="U",30,IF(H367="O",40,IF(H367="I",20,""))))</f>
        <v/>
      </c>
      <c r="Q367" s="132">
        <f>IF(AND(H367="L", P367&gt;=50%), "Pass",
IF(AND(H367="U", P367&gt;=60%), "Pass",
IF(AND(H367="O", P367&gt;=75%), "Pass", "Fail")))</f>
        <v/>
      </c>
      <c r="R367" s="104" t="n"/>
      <c r="S367" s="104" t="n">
        <v>16</v>
      </c>
      <c r="T367" s="104" t="n">
        <v>11</v>
      </c>
      <c r="U367" s="104">
        <f>SUM(S367:T367)</f>
        <v/>
      </c>
      <c r="V367" s="12">
        <f>U367/IF(H367="L",35,IF(H367="U",35,IF(H367="O",35,IF(H367="I",35,""))))</f>
        <v/>
      </c>
      <c r="W367" s="132">
        <f>IF(AND(H367="L", V367&gt;=50%), "Pass",
IF(AND(H367="U", V367&gt;=60%), "Pass",
IF(AND(H367="O", V367&gt;=75%), "Pass", "Fail")))</f>
        <v/>
      </c>
      <c r="X367" s="132">
        <f>IF(AND(Q367="Pass", W367="Pass"), "Pass", "Fail")</f>
        <v/>
      </c>
      <c r="Y367" s="15">
        <f>IF($X367="Pass",$H367,
IF(H367="L","I",
IF(H367="U","L",
IF(H367="O","U",
"I"))))</f>
        <v/>
      </c>
    </row>
    <row r="368">
      <c r="A368" s="147">
        <f>ROW()-2</f>
        <v/>
      </c>
      <c r="B368" s="127" t="inlineStr">
        <is>
          <t>SR0179</t>
        </is>
      </c>
      <c r="C368" s="128" t="inlineStr">
        <is>
          <t>MURUGESAN T</t>
        </is>
      </c>
      <c r="D368" s="127" t="inlineStr">
        <is>
          <t>PRODUCTION</t>
        </is>
      </c>
      <c r="E368" s="129" t="inlineStr">
        <is>
          <t>TYRE CURING</t>
        </is>
      </c>
      <c r="F368" s="130" t="n">
        <v>41767</v>
      </c>
      <c r="G368" s="131">
        <f>NOW()-F368</f>
        <v/>
      </c>
      <c r="H368" s="104" t="inlineStr">
        <is>
          <t>O</t>
        </is>
      </c>
      <c r="I368" s="104" t="inlineStr">
        <is>
          <t>O</t>
        </is>
      </c>
      <c r="J368" s="104" t="n">
        <v>8</v>
      </c>
      <c r="K368" s="104" t="n">
        <v>9</v>
      </c>
      <c r="L368" s="104" t="n">
        <v>9</v>
      </c>
      <c r="M368" s="104" t="n">
        <v>7</v>
      </c>
      <c r="N368" s="104" t="n"/>
      <c r="O368" s="104">
        <f>SUM(J368:N368)</f>
        <v/>
      </c>
      <c r="P368" s="12">
        <f>O368/IF(H368="L",20,IF(H368="U",30,IF(H368="O",40,IF(H368="I",20,""))))</f>
        <v/>
      </c>
      <c r="Q368" s="132">
        <f>IF(AND(H368="L", P368&gt;=50%), "Pass",
IF(AND(H368="U", P368&gt;=60%), "Pass",
IF(AND(H368="O", P368&gt;=75%), "Pass", "Fail")))</f>
        <v/>
      </c>
      <c r="R368" s="104" t="n"/>
      <c r="S368" s="104" t="n">
        <v>15</v>
      </c>
      <c r="T368" s="104" t="n">
        <v>12</v>
      </c>
      <c r="U368" s="104">
        <f>SUM(S368:T368)</f>
        <v/>
      </c>
      <c r="V368" s="12">
        <f>U368/IF(H368="L",35,IF(H368="U",35,IF(H368="O",35,IF(H368="I",35,""))))</f>
        <v/>
      </c>
      <c r="W368" s="132">
        <f>IF(AND(H368="L", V368&gt;=50%), "Pass",
IF(AND(H368="U", V368&gt;=60%), "Pass",
IF(AND(H368="O", V368&gt;=75%), "Pass", "Fail")))</f>
        <v/>
      </c>
      <c r="X368" s="132">
        <f>IF(AND(Q368="Pass", W368="Pass"), "Pass", "Fail")</f>
        <v/>
      </c>
      <c r="Y368" s="15">
        <f>IF($X368="Pass",$H368,
IF(H368="L","I",
IF(H368="U","L",
IF(H368="O","U",
"I"))))</f>
        <v/>
      </c>
    </row>
    <row r="369">
      <c r="A369" s="147">
        <f>ROW()-2</f>
        <v/>
      </c>
      <c r="B369" s="127" t="inlineStr">
        <is>
          <t>KK0490</t>
        </is>
      </c>
      <c r="C369" s="128" t="inlineStr">
        <is>
          <t>SURESH S</t>
        </is>
      </c>
      <c r="D369" s="127" t="inlineStr">
        <is>
          <t>PRODUCTION</t>
        </is>
      </c>
      <c r="E369" s="129" t="inlineStr">
        <is>
          <t>TYRE BUILDING-P2</t>
        </is>
      </c>
      <c r="F369" s="130" t="n">
        <v>41772</v>
      </c>
      <c r="G369" s="131">
        <f>NOW()-F369</f>
        <v/>
      </c>
      <c r="H369" s="104" t="inlineStr">
        <is>
          <t>O</t>
        </is>
      </c>
      <c r="I369" s="104" t="inlineStr">
        <is>
          <t>U</t>
        </is>
      </c>
      <c r="J369" s="104" t="n">
        <v>10</v>
      </c>
      <c r="K369" s="104" t="n">
        <v>10</v>
      </c>
      <c r="L369" s="104" t="n">
        <v>9</v>
      </c>
      <c r="M369" s="104" t="n">
        <v>8</v>
      </c>
      <c r="N369" s="104" t="n"/>
      <c r="O369" s="104">
        <f>SUM(J369:N369)</f>
        <v/>
      </c>
      <c r="P369" s="12">
        <f>O369/IF(H369="L",20,IF(H369="U",30,IF(H369="O",40,IF(H369="I",20,""))))</f>
        <v/>
      </c>
      <c r="Q369" s="132">
        <f>IF(AND(H369="L", P369&gt;=50%), "Pass",
IF(AND(H369="U", P369&gt;=60%), "Pass",
IF(AND(H369="O", P369&gt;=75%), "Pass", "Fail")))</f>
        <v/>
      </c>
      <c r="R369" s="104" t="n"/>
      <c r="S369" s="104" t="n">
        <v>13</v>
      </c>
      <c r="T369" s="104" t="n">
        <v>8</v>
      </c>
      <c r="U369" s="104">
        <f>SUM(S369:T369)</f>
        <v/>
      </c>
      <c r="V369" s="12">
        <f>U369/IF(H369="L",35,IF(H369="U",35,IF(H369="O",35,IF(H369="I",35,""))))</f>
        <v/>
      </c>
      <c r="W369" s="132">
        <f>IF(AND(H369="L", V369&gt;=50%), "Pass",
IF(AND(H369="U", V369&gt;=60%), "Pass",
IF(AND(H369="O", V369&gt;=75%), "Pass", "Fail")))</f>
        <v/>
      </c>
      <c r="X369" s="132">
        <f>IF(AND(Q369="Pass", W369="Pass"), "Pass", "Fail")</f>
        <v/>
      </c>
      <c r="Y369" s="15">
        <f>IF($X369="Pass",$H369,
IF(H369="L","I",
IF(H369="U","L",
IF(H369="O","U",
"I"))))</f>
        <v/>
      </c>
    </row>
    <row r="370">
      <c r="A370" s="147">
        <f>ROW()-2</f>
        <v/>
      </c>
      <c r="B370" s="133" t="inlineStr">
        <is>
          <t>PK0678</t>
        </is>
      </c>
      <c r="C370" s="148" t="inlineStr">
        <is>
          <t>SURESH A ARUNKUMAR J</t>
        </is>
      </c>
      <c r="D370" s="127" t="inlineStr">
        <is>
          <t>PRODUCTION</t>
        </is>
      </c>
      <c r="E370" s="135" t="inlineStr">
        <is>
          <t>MIXING</t>
        </is>
      </c>
      <c r="F370" s="136" t="n">
        <v>41774</v>
      </c>
      <c r="G370" s="131">
        <f>NOW()-F370</f>
        <v/>
      </c>
      <c r="H370" s="104" t="inlineStr">
        <is>
          <t>O</t>
        </is>
      </c>
      <c r="I370" s="104" t="inlineStr">
        <is>
          <t>U</t>
        </is>
      </c>
      <c r="J370" s="104" t="inlineStr">
        <is>
          <t>NIL</t>
        </is>
      </c>
      <c r="K370" s="104" t="n"/>
      <c r="L370" s="104" t="n"/>
      <c r="M370" s="104" t="n"/>
      <c r="N370" s="104" t="n"/>
      <c r="O370" s="104" t="n"/>
      <c r="P370" s="12">
        <f>O370/IF(H370="L",20,IF(H370="U",30,IF(H370="O",40,IF(H370="I",20,""))))</f>
        <v/>
      </c>
      <c r="Q370" s="132">
        <f>IF(AND(H370="L", P370&gt;=50%), "Pass",
IF(AND(H370="U", P370&gt;=60%), "Pass",
IF(AND(H370="O", P370&gt;=75%), "Pass", "Fail")))</f>
        <v/>
      </c>
      <c r="R370" s="104" t="n"/>
      <c r="S370" s="104" t="n">
        <v>14</v>
      </c>
      <c r="T370" s="104" t="n">
        <v>12</v>
      </c>
      <c r="U370" s="104">
        <f>SUM(S370:T370)</f>
        <v/>
      </c>
      <c r="V370" s="12">
        <f>U370/IF(H370="L",35,IF(H370="U",35,IF(H370="O",35,IF(H370="I",35,""))))</f>
        <v/>
      </c>
      <c r="W370" s="132">
        <f>IF(AND(H370="L", V370&gt;=50%), "Pass",
IF(AND(H370="U", V370&gt;=60%), "Pass",
IF(AND(H370="O", V370&gt;=75%), "Pass", "Fail")))</f>
        <v/>
      </c>
      <c r="X370" s="132">
        <f>IF(AND(Q370="Pass", W370="Pass"), "Pass", "Fail")</f>
        <v/>
      </c>
      <c r="Y370" s="15">
        <f>IF($X370="Pass",$H370,
IF(H370="L","I",
IF(H370="U","L",
IF(H370="O","U",
"I"))))</f>
        <v/>
      </c>
    </row>
    <row r="371">
      <c r="A371" s="147">
        <f>ROW()-2</f>
        <v/>
      </c>
      <c r="B371" s="127" t="n">
        <v>900736</v>
      </c>
      <c r="C371" s="128" t="inlineStr">
        <is>
          <t>HARIHARAN M</t>
        </is>
      </c>
      <c r="D371" s="127" t="inlineStr">
        <is>
          <t>PRODUCTION</t>
        </is>
      </c>
      <c r="E371" s="129" t="inlineStr">
        <is>
          <t>TYRE BUILDING-P1</t>
        </is>
      </c>
      <c r="F371" s="130" t="n">
        <v>41821</v>
      </c>
      <c r="G371" s="131">
        <f>NOW()-F371</f>
        <v/>
      </c>
      <c r="H371" s="104" t="inlineStr">
        <is>
          <t>O</t>
        </is>
      </c>
      <c r="I371" s="104" t="inlineStr">
        <is>
          <t>U</t>
        </is>
      </c>
      <c r="J371" s="104" t="n">
        <v>7</v>
      </c>
      <c r="K371" s="104" t="n">
        <v>5</v>
      </c>
      <c r="L371" s="104" t="n">
        <v>5</v>
      </c>
      <c r="M371" s="104" t="n">
        <v>5</v>
      </c>
      <c r="N371" s="104" t="n"/>
      <c r="O371" s="104">
        <f>SUM(J371:N371)</f>
        <v/>
      </c>
      <c r="P371" s="12">
        <f>O371/IF(H371="L",20,IF(H371="U",30,IF(H371="O",40,IF(H371="I",20,""))))</f>
        <v/>
      </c>
      <c r="Q371" s="132">
        <f>IF(AND(H371="L", P371&gt;=50%), "Pass",
IF(AND(H371="U", P371&gt;=60%), "Pass",
IF(AND(H371="O", P371&gt;=75%), "Pass", "Fail")))</f>
        <v/>
      </c>
      <c r="R371" s="104" t="n"/>
      <c r="S371" s="104" t="n">
        <v>13</v>
      </c>
      <c r="T371" s="104" t="n">
        <v>15</v>
      </c>
      <c r="U371" s="104">
        <f>SUM(S371:T371)</f>
        <v/>
      </c>
      <c r="V371" s="12">
        <f>U371/IF(H371="L",35,IF(H371="U",35,IF(H371="O",35,IF(H371="I",35,""))))</f>
        <v/>
      </c>
      <c r="W371" s="132">
        <f>IF(AND(H371="L", V371&gt;=50%), "Pass",
IF(AND(H371="U", V371&gt;=60%), "Pass",
IF(AND(H371="O", V371&gt;=75%), "Pass", "Fail")))</f>
        <v/>
      </c>
      <c r="X371" s="132">
        <f>IF(AND(Q371="Pass", W371="Pass"), "Pass", "Fail")</f>
        <v/>
      </c>
      <c r="Y371" s="15">
        <f>IF($X371="Pass",$H371,
IF(H371="L","I",
IF(H371="U","L",
IF(H371="O","U",
"I"))))</f>
        <v/>
      </c>
    </row>
    <row r="372">
      <c r="A372" s="147">
        <f>ROW()-2</f>
        <v/>
      </c>
      <c r="B372" s="127" t="n">
        <v>900737</v>
      </c>
      <c r="C372" s="128" t="inlineStr">
        <is>
          <t>THANGA NAINAR M</t>
        </is>
      </c>
      <c r="D372" s="127" t="inlineStr">
        <is>
          <t>PRODUCTION</t>
        </is>
      </c>
      <c r="E372" s="129" t="inlineStr">
        <is>
          <t>TYRE BUILDING-P1</t>
        </is>
      </c>
      <c r="F372" s="130" t="n">
        <v>41821</v>
      </c>
      <c r="G372" s="131">
        <f>NOW()-F372</f>
        <v/>
      </c>
      <c r="H372" s="104" t="inlineStr">
        <is>
          <t>O</t>
        </is>
      </c>
      <c r="I372" s="104" t="inlineStr">
        <is>
          <t>O</t>
        </is>
      </c>
      <c r="J372" s="104" t="n">
        <v>10</v>
      </c>
      <c r="K372" s="104" t="n">
        <v>9</v>
      </c>
      <c r="L372" s="104" t="n">
        <v>8</v>
      </c>
      <c r="M372" s="104" t="n">
        <v>9</v>
      </c>
      <c r="N372" s="104" t="n"/>
      <c r="O372" s="104">
        <f>SUM(J372:N372)</f>
        <v/>
      </c>
      <c r="P372" s="12">
        <f>O372/IF(H372="L",20,IF(H372="U",30,IF(H372="O",40,IF(H372="I",20,""))))</f>
        <v/>
      </c>
      <c r="Q372" s="132">
        <f>IF(AND(H372="L", P372&gt;=50%), "Pass",
IF(AND(H372="U", P372&gt;=60%), "Pass",
IF(AND(H372="O", P372&gt;=75%), "Pass", "Fail")))</f>
        <v/>
      </c>
      <c r="R372" s="104" t="n"/>
      <c r="S372" s="104" t="n">
        <v>14</v>
      </c>
      <c r="T372" s="104" t="n">
        <v>15</v>
      </c>
      <c r="U372" s="104">
        <f>SUM(S372:T372)</f>
        <v/>
      </c>
      <c r="V372" s="12">
        <f>U372/IF(H372="L",35,IF(H372="U",35,IF(H372="O",35,IF(H372="I",35,""))))</f>
        <v/>
      </c>
      <c r="W372" s="132">
        <f>IF(AND(H372="L", V372&gt;=50%), "Pass",
IF(AND(H372="U", V372&gt;=60%), "Pass",
IF(AND(H372="O", V372&gt;=75%), "Pass", "Fail")))</f>
        <v/>
      </c>
      <c r="X372" s="132">
        <f>IF(AND(Q372="Pass", W372="Pass"), "Pass", "Fail")</f>
        <v/>
      </c>
      <c r="Y372" s="15">
        <f>IF($X372="Pass",$H372,
IF(H372="L","I",
IF(H372="U","L",
IF(H372="O","U",
"I"))))</f>
        <v/>
      </c>
    </row>
    <row r="373">
      <c r="A373" s="147">
        <f>ROW()-2</f>
        <v/>
      </c>
      <c r="B373" s="127" t="n">
        <v>900738</v>
      </c>
      <c r="C373" s="128" t="inlineStr">
        <is>
          <t>ARUN PANDI D</t>
        </is>
      </c>
      <c r="D373" s="127" t="inlineStr">
        <is>
          <t>PRODUCTION</t>
        </is>
      </c>
      <c r="E373" s="129" t="inlineStr">
        <is>
          <t>TYRE CURING</t>
        </is>
      </c>
      <c r="F373" s="130" t="n">
        <v>41821</v>
      </c>
      <c r="G373" s="131">
        <f>NOW()-F373</f>
        <v/>
      </c>
      <c r="H373" s="104" t="inlineStr">
        <is>
          <t>O</t>
        </is>
      </c>
      <c r="I373" s="104" t="inlineStr">
        <is>
          <t>O</t>
        </is>
      </c>
      <c r="J373" s="104" t="n">
        <v>8</v>
      </c>
      <c r="K373" s="104" t="n">
        <v>8</v>
      </c>
      <c r="L373" s="104" t="n">
        <v>8</v>
      </c>
      <c r="M373" s="104" t="n">
        <v>9</v>
      </c>
      <c r="N373" s="104" t="n"/>
      <c r="O373" s="104">
        <f>SUM(J373:N373)</f>
        <v/>
      </c>
      <c r="P373" s="12">
        <f>O373/IF(H373="L",20,IF(H373="U",30,IF(H373="O",40,IF(H373="I",20,""))))</f>
        <v/>
      </c>
      <c r="Q373" s="132">
        <f>IF(AND(H373="L", P373&gt;=50%), "Pass",
IF(AND(H373="U", P373&gt;=60%), "Pass",
IF(AND(H373="O", P373&gt;=75%), "Pass", "Fail")))</f>
        <v/>
      </c>
      <c r="R373" s="104" t="n"/>
      <c r="S373" s="104" t="n">
        <v>16</v>
      </c>
      <c r="T373" s="104" t="n">
        <v>14</v>
      </c>
      <c r="U373" s="104">
        <f>SUM(S373:T373)</f>
        <v/>
      </c>
      <c r="V373" s="12">
        <f>U373/IF(H373="L",35,IF(H373="U",35,IF(H373="O",35,IF(H373="I",35,""))))</f>
        <v/>
      </c>
      <c r="W373" s="132">
        <f>IF(AND(H373="L", V373&gt;=50%), "Pass",
IF(AND(H373="U", V373&gt;=60%), "Pass",
IF(AND(H373="O", V373&gt;=75%), "Pass", "Fail")))</f>
        <v/>
      </c>
      <c r="X373" s="132">
        <f>IF(AND(Q373="Pass", W373="Pass"), "Pass", "Fail")</f>
        <v/>
      </c>
      <c r="Y373" s="15">
        <f>IF($X373="Pass",$H373,
IF(H373="L","I",
IF(H373="U","L",
IF(H373="O","U",
"I"))))</f>
        <v/>
      </c>
    </row>
    <row r="374">
      <c r="A374" s="147">
        <f>ROW()-2</f>
        <v/>
      </c>
      <c r="B374" s="127" t="n">
        <v>900754</v>
      </c>
      <c r="C374" s="128" t="inlineStr">
        <is>
          <t>MASILA MANI P</t>
        </is>
      </c>
      <c r="D374" s="127" t="inlineStr">
        <is>
          <t>PRODUCTION</t>
        </is>
      </c>
      <c r="E374" s="129" t="inlineStr">
        <is>
          <t>4 ROLL</t>
        </is>
      </c>
      <c r="F374" s="130" t="n">
        <v>41821</v>
      </c>
      <c r="G374" s="131">
        <f>NOW()-F374</f>
        <v/>
      </c>
      <c r="H374" s="104" t="inlineStr">
        <is>
          <t>O</t>
        </is>
      </c>
      <c r="I374" s="104" t="inlineStr">
        <is>
          <t>U</t>
        </is>
      </c>
      <c r="J374" s="104" t="n">
        <v>8</v>
      </c>
      <c r="K374" s="104" t="n">
        <v>6</v>
      </c>
      <c r="L374" s="104" t="n">
        <v>7</v>
      </c>
      <c r="M374" s="104" t="n">
        <v>8</v>
      </c>
      <c r="N374" s="104" t="n"/>
      <c r="O374" s="104">
        <f>SUM(J374:N374)</f>
        <v/>
      </c>
      <c r="P374" s="12">
        <f>O374/IF(H374="L",20,IF(H374="U",30,IF(H374="O",40,IF(H374="I",20,""))))</f>
        <v/>
      </c>
      <c r="Q374" s="132">
        <f>IF(AND(H374="L", P374&gt;=50%), "Pass",
IF(AND(H374="U", P374&gt;=60%), "Pass",
IF(AND(H374="O", P374&gt;=75%), "Pass", "Fail")))</f>
        <v/>
      </c>
      <c r="R374" s="104" t="n"/>
      <c r="S374" s="104" t="n">
        <v>15</v>
      </c>
      <c r="T374" s="104" t="n">
        <v>6</v>
      </c>
      <c r="U374" s="104">
        <f>SUM(S374:T374)</f>
        <v/>
      </c>
      <c r="V374" s="12">
        <f>U374/IF(H374="L",35,IF(H374="U",35,IF(H374="O",35,IF(H374="I",35,""))))</f>
        <v/>
      </c>
      <c r="W374" s="132">
        <f>IF(AND(H374="L", V374&gt;=50%), "Pass",
IF(AND(H374="U", V374&gt;=60%), "Pass",
IF(AND(H374="O", V374&gt;=75%), "Pass", "Fail")))</f>
        <v/>
      </c>
      <c r="X374" s="132">
        <f>IF(AND(Q374="Pass", W374="Pass"), "Pass", "Fail")</f>
        <v/>
      </c>
      <c r="Y374" s="15">
        <f>IF($X374="Pass",$H374,
IF(H374="L","I",
IF(H374="U","L",
IF(H374="O","U",
"I"))))</f>
        <v/>
      </c>
    </row>
    <row r="375">
      <c r="A375" s="147">
        <f>ROW()-2</f>
        <v/>
      </c>
      <c r="B375" s="127" t="n">
        <v>900755</v>
      </c>
      <c r="C375" s="128" t="inlineStr">
        <is>
          <t>PETCHIMUTHU L</t>
        </is>
      </c>
      <c r="D375" s="127" t="inlineStr">
        <is>
          <t>PRODUCTION</t>
        </is>
      </c>
      <c r="E375" s="129" t="inlineStr">
        <is>
          <t>4 ROLL</t>
        </is>
      </c>
      <c r="F375" s="130" t="n">
        <v>41821</v>
      </c>
      <c r="G375" s="131">
        <f>NOW()-F375</f>
        <v/>
      </c>
      <c r="H375" s="104" t="inlineStr">
        <is>
          <t>O</t>
        </is>
      </c>
      <c r="I375" s="104" t="inlineStr">
        <is>
          <t>O</t>
        </is>
      </c>
      <c r="J375" s="104" t="n">
        <v>10</v>
      </c>
      <c r="K375" s="104" t="n">
        <v>8</v>
      </c>
      <c r="L375" s="104" t="n">
        <v>7</v>
      </c>
      <c r="M375" s="104" t="n">
        <v>8</v>
      </c>
      <c r="N375" s="104" t="n"/>
      <c r="O375" s="104">
        <f>SUM(J375:N375)</f>
        <v/>
      </c>
      <c r="P375" s="12">
        <f>O375/IF(H375="L",20,IF(H375="U",30,IF(H375="O",40,IF(H375="I",20,""))))</f>
        <v/>
      </c>
      <c r="Q375" s="132">
        <f>IF(AND(H375="L", P375&gt;=50%), "Pass",
IF(AND(H375="U", P375&gt;=60%), "Pass",
IF(AND(H375="O", P375&gt;=75%), "Pass", "Fail")))</f>
        <v/>
      </c>
      <c r="R375" s="104" t="n"/>
      <c r="S375" s="104" t="n">
        <v>16</v>
      </c>
      <c r="T375" s="104" t="n">
        <v>12</v>
      </c>
      <c r="U375" s="104">
        <f>SUM(S375:T375)</f>
        <v/>
      </c>
      <c r="V375" s="12">
        <f>U375/IF(H375="L",35,IF(H375="U",35,IF(H375="O",35,IF(H375="I",35,""))))</f>
        <v/>
      </c>
      <c r="W375" s="132">
        <f>IF(AND(H375="L", V375&gt;=50%), "Pass",
IF(AND(H375="U", V375&gt;=60%), "Pass",
IF(AND(H375="O", V375&gt;=75%), "Pass", "Fail")))</f>
        <v/>
      </c>
      <c r="X375" s="132">
        <f>IF(AND(Q375="Pass", W375="Pass"), "Pass", "Fail")</f>
        <v/>
      </c>
      <c r="Y375" s="15">
        <f>IF($X375="Pass",$H375,
IF(H375="L","I",
IF(H375="U","L",
IF(H375="O","U",
"I"))))</f>
        <v/>
      </c>
    </row>
    <row r="376">
      <c r="A376" s="147">
        <f>ROW()-2</f>
        <v/>
      </c>
      <c r="B376" s="127" t="n">
        <v>900756</v>
      </c>
      <c r="C376" s="128" t="inlineStr">
        <is>
          <t>SAMUVEL N</t>
        </is>
      </c>
      <c r="D376" s="127" t="inlineStr">
        <is>
          <t>PRODUCTION</t>
        </is>
      </c>
      <c r="E376" s="129" t="inlineStr">
        <is>
          <t>4 ROLL</t>
        </is>
      </c>
      <c r="F376" s="130" t="n">
        <v>41821</v>
      </c>
      <c r="G376" s="131">
        <f>NOW()-F376</f>
        <v/>
      </c>
      <c r="H376" s="104" t="inlineStr">
        <is>
          <t>O</t>
        </is>
      </c>
      <c r="I376" s="104" t="inlineStr">
        <is>
          <t>U</t>
        </is>
      </c>
      <c r="J376" s="104" t="n">
        <v>6</v>
      </c>
      <c r="K376" s="104" t="n">
        <v>8</v>
      </c>
      <c r="L376" s="104" t="n">
        <v>6</v>
      </c>
      <c r="M376" s="104" t="n">
        <v>9</v>
      </c>
      <c r="N376" s="104" t="n"/>
      <c r="O376" s="104">
        <f>SUM(J376:N376)</f>
        <v/>
      </c>
      <c r="P376" s="12">
        <f>O376/IF(H376="L",20,IF(H376="U",30,IF(H376="O",40,IF(H376="I",20,""))))</f>
        <v/>
      </c>
      <c r="Q376" s="132">
        <f>IF(AND(H376="L", P376&gt;=50%), "Pass",
IF(AND(H376="U", P376&gt;=60%), "Pass",
IF(AND(H376="O", P376&gt;=75%), "Pass", "Fail")))</f>
        <v/>
      </c>
      <c r="R376" s="104" t="n"/>
      <c r="S376" s="104" t="n">
        <v>14</v>
      </c>
      <c r="T376" s="104" t="n">
        <v>6</v>
      </c>
      <c r="U376" s="104">
        <f>SUM(S376:T376)</f>
        <v/>
      </c>
      <c r="V376" s="12">
        <f>U376/IF(H376="L",35,IF(H376="U",35,IF(H376="O",35,IF(H376="I",35,""))))</f>
        <v/>
      </c>
      <c r="W376" s="132">
        <f>IF(AND(H376="L", V376&gt;=50%), "Pass",
IF(AND(H376="U", V376&gt;=60%), "Pass",
IF(AND(H376="O", V376&gt;=75%), "Pass", "Fail")))</f>
        <v/>
      </c>
      <c r="X376" s="132">
        <f>IF(AND(Q376="Pass", W376="Pass"), "Pass", "Fail")</f>
        <v/>
      </c>
      <c r="Y376" s="15">
        <f>IF($X376="Pass",$H376,
IF(H376="L","I",
IF(H376="U","L",
IF(H376="O","U",
"I"))))</f>
        <v/>
      </c>
    </row>
    <row r="377">
      <c r="A377" s="147">
        <f>ROW()-2</f>
        <v/>
      </c>
      <c r="B377" s="127" t="n">
        <v>900757</v>
      </c>
      <c r="C377" s="128" t="inlineStr">
        <is>
          <t xml:space="preserve">MANI C S </t>
        </is>
      </c>
      <c r="D377" s="127" t="inlineStr">
        <is>
          <t>PRODUCTION</t>
        </is>
      </c>
      <c r="E377" s="129" t="inlineStr">
        <is>
          <t>4 ROLL</t>
        </is>
      </c>
      <c r="F377" s="130" t="n">
        <v>41821</v>
      </c>
      <c r="G377" s="131">
        <f>NOW()-F377</f>
        <v/>
      </c>
      <c r="H377" s="104" t="inlineStr">
        <is>
          <t>O</t>
        </is>
      </c>
      <c r="I377" s="104" t="inlineStr">
        <is>
          <t>U</t>
        </is>
      </c>
      <c r="J377" s="104" t="n">
        <v>10</v>
      </c>
      <c r="K377" s="104" t="n">
        <v>5</v>
      </c>
      <c r="L377" s="104" t="n">
        <v>7</v>
      </c>
      <c r="M377" s="104" t="n">
        <v>8</v>
      </c>
      <c r="N377" s="104" t="n"/>
      <c r="O377" s="104">
        <f>SUM(J377:N377)</f>
        <v/>
      </c>
      <c r="P377" s="12">
        <f>O377/IF(H377="L",20,IF(H377="U",30,IF(H377="O",40,IF(H377="I",20,""))))</f>
        <v/>
      </c>
      <c r="Q377" s="132">
        <f>IF(AND(H377="L", P377&gt;=50%), "Pass",
IF(AND(H377="U", P377&gt;=60%), "Pass",
IF(AND(H377="O", P377&gt;=75%), "Pass", "Fail")))</f>
        <v/>
      </c>
      <c r="R377" s="104" t="n"/>
      <c r="S377" s="104" t="n">
        <v>13</v>
      </c>
      <c r="T377" s="104" t="n">
        <v>6</v>
      </c>
      <c r="U377" s="104">
        <f>SUM(S377:T377)</f>
        <v/>
      </c>
      <c r="V377" s="12">
        <f>U377/IF(H377="L",35,IF(H377="U",35,IF(H377="O",35,IF(H377="I",35,""))))</f>
        <v/>
      </c>
      <c r="W377" s="132">
        <f>IF(AND(H377="L", V377&gt;=50%), "Pass",
IF(AND(H377="U", V377&gt;=60%), "Pass",
IF(AND(H377="O", V377&gt;=75%), "Pass", "Fail")))</f>
        <v/>
      </c>
      <c r="X377" s="132">
        <f>IF(AND(Q377="Pass", W377="Pass"), "Pass", "Fail")</f>
        <v/>
      </c>
      <c r="Y377" s="15">
        <f>IF($X377="Pass",$H377,
IF(H377="L","I",
IF(H377="U","L",
IF(H377="O","U",
"I"))))</f>
        <v/>
      </c>
    </row>
    <row r="378">
      <c r="A378" s="147">
        <f>ROW()-2</f>
        <v/>
      </c>
      <c r="B378" s="127" t="n">
        <v>900758</v>
      </c>
      <c r="C378" s="128" t="inlineStr">
        <is>
          <t>UTCHI MALI S</t>
        </is>
      </c>
      <c r="D378" s="127" t="inlineStr">
        <is>
          <t>PRODUCTION</t>
        </is>
      </c>
      <c r="E378" s="129" t="inlineStr">
        <is>
          <t>4 ROLL</t>
        </is>
      </c>
      <c r="F378" s="130" t="n">
        <v>41821</v>
      </c>
      <c r="G378" s="131">
        <f>NOW()-F378</f>
        <v/>
      </c>
      <c r="H378" s="104" t="inlineStr">
        <is>
          <t>O</t>
        </is>
      </c>
      <c r="I378" s="104" t="inlineStr">
        <is>
          <t>O</t>
        </is>
      </c>
      <c r="J378" s="104" t="n">
        <v>10</v>
      </c>
      <c r="K378" s="104" t="n">
        <v>8</v>
      </c>
      <c r="L378" s="104" t="n">
        <v>7</v>
      </c>
      <c r="M378" s="104" t="n">
        <v>8</v>
      </c>
      <c r="N378" s="104" t="n"/>
      <c r="O378" s="104">
        <f>SUM(J378:N378)</f>
        <v/>
      </c>
      <c r="P378" s="12">
        <f>O378/IF(H378="L",20,IF(H378="U",30,IF(H378="O",40,IF(H378="I",20,""))))</f>
        <v/>
      </c>
      <c r="Q378" s="132">
        <f>IF(AND(H378="L", P378&gt;=50%), "Pass",
IF(AND(H378="U", P378&gt;=60%), "Pass",
IF(AND(H378="O", P378&gt;=75%), "Pass", "Fail")))</f>
        <v/>
      </c>
      <c r="R378" s="104" t="n"/>
      <c r="S378" s="104" t="n">
        <v>15</v>
      </c>
      <c r="T378" s="104" t="n">
        <v>7</v>
      </c>
      <c r="U378" s="104">
        <f>SUM(S378:T378)</f>
        <v/>
      </c>
      <c r="V378" s="12">
        <f>U378/IF(H378="L",35,IF(H378="U",35,IF(H378="O",35,IF(H378="I",35,""))))</f>
        <v/>
      </c>
      <c r="W378" s="132">
        <f>IF(AND(H378="L", V378&gt;=50%), "Pass",
IF(AND(H378="U", V378&gt;=60%), "Pass",
IF(AND(H378="O", V378&gt;=75%), "Pass", "Fail")))</f>
        <v/>
      </c>
      <c r="X378" s="132">
        <f>IF(AND(Q378="Pass", W378="Pass"), "Pass", "Fail")</f>
        <v/>
      </c>
      <c r="Y378" s="15">
        <f>IF($X378="Pass",$H378,
IF(H378="L","I",
IF(H378="U","L",
IF(H378="O","U",
"I"))))</f>
        <v/>
      </c>
    </row>
    <row r="379">
      <c r="A379" s="147">
        <f>ROW()-2</f>
        <v/>
      </c>
      <c r="B379" s="127" t="n">
        <v>900759</v>
      </c>
      <c r="C379" s="128" t="inlineStr">
        <is>
          <t>ARUL PANDI P</t>
        </is>
      </c>
      <c r="D379" s="127" t="inlineStr">
        <is>
          <t>PRODUCTION</t>
        </is>
      </c>
      <c r="E379" s="129" t="inlineStr">
        <is>
          <t>4 ROLL</t>
        </is>
      </c>
      <c r="F379" s="130" t="n">
        <v>41821</v>
      </c>
      <c r="G379" s="131">
        <f>NOW()-F379</f>
        <v/>
      </c>
      <c r="H379" s="104" t="inlineStr">
        <is>
          <t>O</t>
        </is>
      </c>
      <c r="I379" s="104" t="inlineStr">
        <is>
          <t>U</t>
        </is>
      </c>
      <c r="J379" s="104" t="n">
        <v>10</v>
      </c>
      <c r="K379" s="104" t="n">
        <v>8</v>
      </c>
      <c r="L379" s="104" t="n">
        <v>7</v>
      </c>
      <c r="M379" s="104" t="n">
        <v>8</v>
      </c>
      <c r="N379" s="104" t="n"/>
      <c r="O379" s="104">
        <f>SUM(J379:N379)</f>
        <v/>
      </c>
      <c r="P379" s="12">
        <f>O379/IF(H379="L",20,IF(H379="U",30,IF(H379="O",40,IF(H379="I",20,""))))</f>
        <v/>
      </c>
      <c r="Q379" s="132">
        <f>IF(AND(H379="L", P379&gt;=50%), "Pass",
IF(AND(H379="U", P379&gt;=60%), "Pass",
IF(AND(H379="O", P379&gt;=75%), "Pass", "Fail")))</f>
        <v/>
      </c>
      <c r="R379" s="104" t="n"/>
      <c r="S379" s="104" t="n">
        <v>14</v>
      </c>
      <c r="T379" s="104" t="n">
        <v>6</v>
      </c>
      <c r="U379" s="104">
        <f>SUM(S379:T379)</f>
        <v/>
      </c>
      <c r="V379" s="12">
        <f>U379/IF(H379="L",35,IF(H379="U",35,IF(H379="O",35,IF(H379="I",35,""))))</f>
        <v/>
      </c>
      <c r="W379" s="132">
        <f>IF(AND(H379="L", V379&gt;=50%), "Pass",
IF(AND(H379="U", V379&gt;=60%), "Pass",
IF(AND(H379="O", V379&gt;=75%), "Pass", "Fail")))</f>
        <v/>
      </c>
      <c r="X379" s="132">
        <f>IF(AND(Q379="Pass", W379="Pass"), "Pass", "Fail")</f>
        <v/>
      </c>
      <c r="Y379" s="15">
        <f>IF($X379="Pass",$H379,
IF(H379="L","I",
IF(H379="U","L",
IF(H379="O","U",
"I"))))</f>
        <v/>
      </c>
    </row>
    <row r="380">
      <c r="A380" s="147">
        <f>ROW()-2</f>
        <v/>
      </c>
      <c r="B380" s="127" t="n">
        <v>900760</v>
      </c>
      <c r="C380" s="128" t="inlineStr">
        <is>
          <t>SHUNMUGASUNDAR M</t>
        </is>
      </c>
      <c r="D380" s="127" t="inlineStr">
        <is>
          <t>PRODUCTION</t>
        </is>
      </c>
      <c r="E380" s="129" t="inlineStr">
        <is>
          <t>4 ROLL</t>
        </is>
      </c>
      <c r="F380" s="130" t="n">
        <v>41821</v>
      </c>
      <c r="G380" s="131">
        <f>NOW()-F380</f>
        <v/>
      </c>
      <c r="H380" s="104" t="inlineStr">
        <is>
          <t>O</t>
        </is>
      </c>
      <c r="I380" s="104" t="inlineStr">
        <is>
          <t>O</t>
        </is>
      </c>
      <c r="J380" s="104" t="n">
        <v>10</v>
      </c>
      <c r="K380" s="104" t="n">
        <v>8</v>
      </c>
      <c r="L380" s="104" t="n">
        <v>7</v>
      </c>
      <c r="M380" s="104" t="n">
        <v>8</v>
      </c>
      <c r="N380" s="104" t="n"/>
      <c r="O380" s="104">
        <f>SUM(J380:N380)</f>
        <v/>
      </c>
      <c r="P380" s="12">
        <f>O380/IF(H380="L",20,IF(H380="U",30,IF(H380="O",40,IF(H380="I",20,""))))</f>
        <v/>
      </c>
      <c r="Q380" s="132">
        <f>IF(AND(H380="L", P380&gt;=50%), "Pass",
IF(AND(H380="U", P380&gt;=60%), "Pass",
IF(AND(H380="O", P380&gt;=75%), "Pass", "Fail")))</f>
        <v/>
      </c>
      <c r="R380" s="104" t="n"/>
      <c r="S380" s="104" t="n">
        <v>16</v>
      </c>
      <c r="T380" s="104" t="n">
        <v>12</v>
      </c>
      <c r="U380" s="104">
        <f>SUM(S380:T380)</f>
        <v/>
      </c>
      <c r="V380" s="12">
        <f>U380/IF(H380="L",35,IF(H380="U",35,IF(H380="O",35,IF(H380="I",35,""))))</f>
        <v/>
      </c>
      <c r="W380" s="132">
        <f>IF(AND(H380="L", V380&gt;=50%), "Pass",
IF(AND(H380="U", V380&gt;=60%), "Pass",
IF(AND(H380="O", V380&gt;=75%), "Pass", "Fail")))</f>
        <v/>
      </c>
      <c r="X380" s="132">
        <f>IF(AND(Q380="Pass", W380="Pass"), "Pass", "Fail")</f>
        <v/>
      </c>
      <c r="Y380" s="15">
        <f>IF($X380="Pass",$H380,
IF(H380="L","I",
IF(H380="U","L",
IF(H380="O","U",
"I"))))</f>
        <v/>
      </c>
    </row>
    <row r="381">
      <c r="A381" s="147">
        <f>ROW()-2</f>
        <v/>
      </c>
      <c r="B381" s="127" t="n">
        <v>900761</v>
      </c>
      <c r="C381" s="128" t="inlineStr">
        <is>
          <t>NAMO NARAYAN BHAGAT</t>
        </is>
      </c>
      <c r="D381" s="127" t="inlineStr">
        <is>
          <t>PRODUCTION</t>
        </is>
      </c>
      <c r="E381" s="129" t="inlineStr">
        <is>
          <t>3 ROLL-P2</t>
        </is>
      </c>
      <c r="F381" s="130" t="n">
        <v>41821</v>
      </c>
      <c r="G381" s="131">
        <f>NOW()-F381</f>
        <v/>
      </c>
      <c r="H381" s="104" t="inlineStr">
        <is>
          <t>O</t>
        </is>
      </c>
      <c r="I381" s="104" t="inlineStr">
        <is>
          <t>U</t>
        </is>
      </c>
      <c r="J381" s="104" t="n">
        <v>6</v>
      </c>
      <c r="K381" s="104" t="n">
        <v>6</v>
      </c>
      <c r="L381" s="104" t="n">
        <v>4</v>
      </c>
      <c r="M381" s="104" t="n">
        <v>2</v>
      </c>
      <c r="N381" s="104" t="n"/>
      <c r="O381" s="104">
        <f>SUM(J381:N381)</f>
        <v/>
      </c>
      <c r="P381" s="12">
        <f>O381/IF(H381="L",20,IF(H381="U",30,IF(H381="O",40,IF(H381="I",20,""))))</f>
        <v/>
      </c>
      <c r="Q381" s="132">
        <f>IF(AND(H381="L", P381&gt;=50%), "Pass",
IF(AND(H381="U", P381&gt;=60%), "Pass",
IF(AND(H381="O", P381&gt;=75%), "Pass", "Fail")))</f>
        <v/>
      </c>
      <c r="R381" s="104" t="n"/>
      <c r="S381" s="104" t="n">
        <v>13</v>
      </c>
      <c r="T381" s="104" t="n">
        <v>6</v>
      </c>
      <c r="U381" s="104">
        <f>SUM(S381:T381)</f>
        <v/>
      </c>
      <c r="V381" s="12">
        <f>U381/IF(H381="L",35,IF(H381="U",35,IF(H381="O",35,IF(H381="I",35,""))))</f>
        <v/>
      </c>
      <c r="W381" s="132">
        <f>IF(AND(H381="L", V381&gt;=50%), "Pass",
IF(AND(H381="U", V381&gt;=60%), "Pass",
IF(AND(H381="O", V381&gt;=75%), "Pass", "Fail")))</f>
        <v/>
      </c>
      <c r="X381" s="132">
        <f>IF(AND(Q381="Pass", W381="Pass"), "Pass", "Fail")</f>
        <v/>
      </c>
      <c r="Y381" s="15">
        <f>IF($X381="Pass",$H381,
IF(H381="L","I",
IF(H381="U","L",
IF(H381="O","U",
"I"))))</f>
        <v/>
      </c>
    </row>
    <row r="382">
      <c r="A382" s="147">
        <f>ROW()-2</f>
        <v/>
      </c>
      <c r="B382" s="127" t="n">
        <v>900762</v>
      </c>
      <c r="C382" s="128" t="inlineStr">
        <is>
          <t xml:space="preserve">VINOD KUMAR </t>
        </is>
      </c>
      <c r="D382" s="127" t="inlineStr">
        <is>
          <t>PRODUCTION</t>
        </is>
      </c>
      <c r="E382" s="129" t="inlineStr">
        <is>
          <t>EXTRUDER</t>
        </is>
      </c>
      <c r="F382" s="130" t="n">
        <v>41821</v>
      </c>
      <c r="G382" s="131">
        <f>NOW()-F382</f>
        <v/>
      </c>
      <c r="H382" s="104" t="inlineStr">
        <is>
          <t>O</t>
        </is>
      </c>
      <c r="I382" s="104" t="inlineStr">
        <is>
          <t>O</t>
        </is>
      </c>
      <c r="J382" s="104" t="n">
        <v>7</v>
      </c>
      <c r="K382" s="104" t="n">
        <v>7</v>
      </c>
      <c r="L382" s="104" t="n">
        <v>9</v>
      </c>
      <c r="M382" s="104" t="n">
        <v>5</v>
      </c>
      <c r="N382" s="104" t="n"/>
      <c r="O382" s="104">
        <f>SUM(J382:N382)</f>
        <v/>
      </c>
      <c r="P382" s="12">
        <f>O382/IF(H382="L",20,IF(H382="U",30,IF(H382="O",40,IF(H382="I",20,""))))</f>
        <v/>
      </c>
      <c r="Q382" s="132">
        <f>IF(AND(H382="L", P382&gt;=50%), "Pass",
IF(AND(H382="U", P382&gt;=60%), "Pass",
IF(AND(H382="O", P382&gt;=75%), "Pass", "Fail")))</f>
        <v/>
      </c>
      <c r="R382" s="104" t="n"/>
      <c r="S382" s="104" t="n">
        <v>18</v>
      </c>
      <c r="T382" s="104" t="n">
        <v>12</v>
      </c>
      <c r="U382" s="104">
        <f>SUM(S382:T382)</f>
        <v/>
      </c>
      <c r="V382" s="12">
        <f>U382/IF(H382="L",35,IF(H382="U",35,IF(H382="O",35,IF(H382="I",35,""))))</f>
        <v/>
      </c>
      <c r="W382" s="132">
        <f>IF(AND(H382="L", V382&gt;=50%), "Pass",
IF(AND(H382="U", V382&gt;=60%), "Pass",
IF(AND(H382="O", V382&gt;=75%), "Pass", "Fail")))</f>
        <v/>
      </c>
      <c r="X382" s="132">
        <f>IF(AND(Q382="Pass", W382="Pass"), "Pass", "Fail")</f>
        <v/>
      </c>
      <c r="Y382" s="15">
        <f>IF($X382="Pass",$H382,
IF(H382="L","I",
IF(H382="U","L",
IF(H382="O","U",
"I"))))</f>
        <v/>
      </c>
    </row>
    <row r="383">
      <c r="A383" s="147">
        <f>ROW()-2</f>
        <v/>
      </c>
      <c r="B383" s="127" t="n">
        <v>900763</v>
      </c>
      <c r="C383" s="128" t="inlineStr">
        <is>
          <t>NAGALINGAM N</t>
        </is>
      </c>
      <c r="D383" s="127" t="inlineStr">
        <is>
          <t>PRODUCTION</t>
        </is>
      </c>
      <c r="E383" s="129" t="inlineStr">
        <is>
          <t>EXTRUDER</t>
        </is>
      </c>
      <c r="F383" s="130" t="n">
        <v>41821</v>
      </c>
      <c r="G383" s="131">
        <f>NOW()-F383</f>
        <v/>
      </c>
      <c r="H383" s="104" t="inlineStr">
        <is>
          <t>O</t>
        </is>
      </c>
      <c r="I383" s="104" t="inlineStr">
        <is>
          <t>O</t>
        </is>
      </c>
      <c r="J383" s="104" t="n">
        <v>9</v>
      </c>
      <c r="K383" s="104" t="n">
        <v>8</v>
      </c>
      <c r="L383" s="104" t="n">
        <v>9</v>
      </c>
      <c r="M383" s="104" t="n">
        <v>10</v>
      </c>
      <c r="N383" s="104" t="n"/>
      <c r="O383" s="104">
        <f>SUM(J383:N383)</f>
        <v/>
      </c>
      <c r="P383" s="12">
        <f>O383/IF(H383="L",20,IF(H383="U",30,IF(H383="O",40,IF(H383="I",20,""))))</f>
        <v/>
      </c>
      <c r="Q383" s="132">
        <f>IF(AND(H383="L", P383&gt;=50%), "Pass",
IF(AND(H383="U", P383&gt;=60%), "Pass",
IF(AND(H383="O", P383&gt;=75%), "Pass", "Fail")))</f>
        <v/>
      </c>
      <c r="R383" s="104" t="n"/>
      <c r="S383" s="104" t="n">
        <v>17</v>
      </c>
      <c r="T383" s="104" t="n">
        <v>14</v>
      </c>
      <c r="U383" s="104">
        <f>SUM(S383:T383)</f>
        <v/>
      </c>
      <c r="V383" s="12">
        <f>U383/IF(H383="L",35,IF(H383="U",35,IF(H383="O",35,IF(H383="I",35,""))))</f>
        <v/>
      </c>
      <c r="W383" s="132">
        <f>IF(AND(H383="L", V383&gt;=50%), "Pass",
IF(AND(H383="U", V383&gt;=60%), "Pass",
IF(AND(H383="O", V383&gt;=75%), "Pass", "Fail")))</f>
        <v/>
      </c>
      <c r="X383" s="132">
        <f>IF(AND(Q383="Pass", W383="Pass"), "Pass", "Fail")</f>
        <v/>
      </c>
      <c r="Y383" s="15">
        <f>IF($X383="Pass",$H383,
IF(H383="L","I",
IF(H383="U","L",
IF(H383="O","U",
"I"))))</f>
        <v/>
      </c>
    </row>
    <row r="384">
      <c r="A384" s="147">
        <f>ROW()-2</f>
        <v/>
      </c>
      <c r="B384" s="127" t="n">
        <v>900764</v>
      </c>
      <c r="C384" s="128" t="inlineStr">
        <is>
          <t>BALAMURUGAN R</t>
        </is>
      </c>
      <c r="D384" s="127" t="inlineStr">
        <is>
          <t>PRODUCTION</t>
        </is>
      </c>
      <c r="E384" s="129" t="inlineStr">
        <is>
          <t>EXTRUDER</t>
        </is>
      </c>
      <c r="F384" s="130" t="n">
        <v>41821</v>
      </c>
      <c r="G384" s="131">
        <f>NOW()-F384</f>
        <v/>
      </c>
      <c r="H384" s="104" t="inlineStr">
        <is>
          <t>O</t>
        </is>
      </c>
      <c r="I384" s="104" t="inlineStr">
        <is>
          <t>U</t>
        </is>
      </c>
      <c r="J384" s="104" t="n">
        <v>7</v>
      </c>
      <c r="K384" s="104" t="n">
        <v>8</v>
      </c>
      <c r="L384" s="104" t="n">
        <v>9</v>
      </c>
      <c r="M384" s="104" t="n">
        <v>9</v>
      </c>
      <c r="N384" s="104" t="n"/>
      <c r="O384" s="104">
        <f>SUM(J384:N384)</f>
        <v/>
      </c>
      <c r="P384" s="12">
        <f>O384/IF(H384="L",20,IF(H384="U",30,IF(H384="O",40,IF(H384="I",20,""))))</f>
        <v/>
      </c>
      <c r="Q384" s="132">
        <f>IF(AND(H384="L", P384&gt;=50%), "Pass",
IF(AND(H384="U", P384&gt;=60%), "Pass",
IF(AND(H384="O", P384&gt;=75%), "Pass", "Fail")))</f>
        <v/>
      </c>
      <c r="R384" s="104" t="n"/>
      <c r="S384" s="104" t="n">
        <v>16</v>
      </c>
      <c r="T384" s="104" t="n">
        <v>11</v>
      </c>
      <c r="U384" s="104">
        <f>SUM(S384:T384)</f>
        <v/>
      </c>
      <c r="V384" s="12">
        <f>U384/IF(H384="L",35,IF(H384="U",35,IF(H384="O",35,IF(H384="I",35,""))))</f>
        <v/>
      </c>
      <c r="W384" s="132">
        <f>IF(AND(H384="L", V384&gt;=50%), "Pass",
IF(AND(H384="U", V384&gt;=60%), "Pass",
IF(AND(H384="O", V384&gt;=75%), "Pass", "Fail")))</f>
        <v/>
      </c>
      <c r="X384" s="132">
        <f>IF(AND(Q384="Pass", W384="Pass"), "Pass", "Fail")</f>
        <v/>
      </c>
      <c r="Y384" s="15">
        <f>IF($X384="Pass",$H384,
IF(H384="L","I",
IF(H384="U","L",
IF(H384="O","U",
"I"))))</f>
        <v/>
      </c>
    </row>
    <row r="385">
      <c r="A385" s="147">
        <f>ROW()-2</f>
        <v/>
      </c>
      <c r="B385" s="127" t="n">
        <v>900765</v>
      </c>
      <c r="C385" s="128" t="inlineStr">
        <is>
          <t>MURUGAN R</t>
        </is>
      </c>
      <c r="D385" s="127" t="inlineStr">
        <is>
          <t>PRODUCTION</t>
        </is>
      </c>
      <c r="E385" s="129" t="inlineStr">
        <is>
          <t>EXTRUDER</t>
        </is>
      </c>
      <c r="F385" s="130" t="n">
        <v>41821</v>
      </c>
      <c r="G385" s="131">
        <f>NOW()-F385</f>
        <v/>
      </c>
      <c r="H385" s="104" t="inlineStr">
        <is>
          <t>O</t>
        </is>
      </c>
      <c r="I385" s="104" t="inlineStr">
        <is>
          <t>O</t>
        </is>
      </c>
      <c r="J385" s="104" t="n">
        <v>9</v>
      </c>
      <c r="K385" s="104" t="n">
        <v>7</v>
      </c>
      <c r="L385" s="104" t="n">
        <v>10</v>
      </c>
      <c r="M385" s="104" t="n">
        <v>7</v>
      </c>
      <c r="N385" s="104" t="n"/>
      <c r="O385" s="104">
        <f>SUM(J385:N385)</f>
        <v/>
      </c>
      <c r="P385" s="12">
        <f>O385/IF(H385="L",20,IF(H385="U",30,IF(H385="O",40,IF(H385="I",20,""))))</f>
        <v/>
      </c>
      <c r="Q385" s="132">
        <f>IF(AND(H385="L", P385&gt;=50%), "Pass",
IF(AND(H385="U", P385&gt;=60%), "Pass",
IF(AND(H385="O", P385&gt;=75%), "Pass", "Fail")))</f>
        <v/>
      </c>
      <c r="R385" s="104" t="n"/>
      <c r="S385" s="104" t="n">
        <v>18</v>
      </c>
      <c r="T385" s="104" t="n">
        <v>14</v>
      </c>
      <c r="U385" s="104">
        <f>SUM(S385:T385)</f>
        <v/>
      </c>
      <c r="V385" s="12">
        <f>U385/IF(H385="L",35,IF(H385="U",35,IF(H385="O",35,IF(H385="I",35,""))))</f>
        <v/>
      </c>
      <c r="W385" s="132">
        <f>IF(AND(H385="L", V385&gt;=50%), "Pass",
IF(AND(H385="U", V385&gt;=60%), "Pass",
IF(AND(H385="O", V385&gt;=75%), "Pass", "Fail")))</f>
        <v/>
      </c>
      <c r="X385" s="132">
        <f>IF(AND(Q385="Pass", W385="Pass"), "Pass", "Fail")</f>
        <v/>
      </c>
      <c r="Y385" s="15">
        <f>IF($X385="Pass",$H385,
IF(H385="L","I",
IF(H385="U","L",
IF(H385="O","U",
"I"))))</f>
        <v/>
      </c>
    </row>
    <row r="386">
      <c r="A386" s="147">
        <f>ROW()-2</f>
        <v/>
      </c>
      <c r="B386" s="127" t="n">
        <v>900766</v>
      </c>
      <c r="C386" s="128" t="inlineStr">
        <is>
          <t>SUDALAI</t>
        </is>
      </c>
      <c r="D386" s="127" t="inlineStr">
        <is>
          <t>PRODUCTION</t>
        </is>
      </c>
      <c r="E386" s="129" t="inlineStr">
        <is>
          <t>EXTRUDER</t>
        </is>
      </c>
      <c r="F386" s="130" t="n">
        <v>41821</v>
      </c>
      <c r="G386" s="131">
        <f>NOW()-F386</f>
        <v/>
      </c>
      <c r="H386" s="104" t="inlineStr">
        <is>
          <t>O</t>
        </is>
      </c>
      <c r="I386" s="104" t="inlineStr">
        <is>
          <t>O</t>
        </is>
      </c>
      <c r="J386" s="104" t="n">
        <v>9</v>
      </c>
      <c r="K386" s="104" t="n">
        <v>8</v>
      </c>
      <c r="L386" s="104" t="n">
        <v>10</v>
      </c>
      <c r="M386" s="104" t="n">
        <v>10</v>
      </c>
      <c r="N386" s="104" t="n"/>
      <c r="O386" s="104">
        <f>SUM(J386:N386)</f>
        <v/>
      </c>
      <c r="P386" s="12">
        <f>O386/IF(H386="L",20,IF(H386="U",30,IF(H386="O",40,IF(H386="I",20,""))))</f>
        <v/>
      </c>
      <c r="Q386" s="132">
        <f>IF(AND(H386="L", P386&gt;=50%), "Pass",
IF(AND(H386="U", P386&gt;=60%), "Pass",
IF(AND(H386="O", P386&gt;=75%), "Pass", "Fail")))</f>
        <v/>
      </c>
      <c r="R386" s="104" t="n"/>
      <c r="S386" s="104" t="n">
        <v>15</v>
      </c>
      <c r="T386" s="104" t="n">
        <v>9</v>
      </c>
      <c r="U386" s="104">
        <f>SUM(S386:T386)</f>
        <v/>
      </c>
      <c r="V386" s="12">
        <f>U386/IF(H386="L",35,IF(H386="U",35,IF(H386="O",35,IF(H386="I",35,""))))</f>
        <v/>
      </c>
      <c r="W386" s="132">
        <f>IF(AND(H386="L", V386&gt;=50%), "Pass",
IF(AND(H386="U", V386&gt;=60%), "Pass",
IF(AND(H386="O", V386&gt;=75%), "Pass", "Fail")))</f>
        <v/>
      </c>
      <c r="X386" s="132">
        <f>IF(AND(Q386="Pass", W386="Pass"), "Pass", "Fail")</f>
        <v/>
      </c>
      <c r="Y386" s="15">
        <f>IF($X386="Pass",$H386,
IF(H386="L","I",
IF(H386="U","L",
IF(H386="O","U",
"I"))))</f>
        <v/>
      </c>
      <c r="Z386" s="81">
        <f>V386-75%</f>
        <v/>
      </c>
    </row>
    <row r="387">
      <c r="A387" s="147">
        <f>ROW()-2</f>
        <v/>
      </c>
      <c r="B387" s="127" t="n">
        <v>900767</v>
      </c>
      <c r="C387" s="128" t="inlineStr">
        <is>
          <t>VELMURUGAN M</t>
        </is>
      </c>
      <c r="D387" s="127" t="inlineStr">
        <is>
          <t>PRODUCTION</t>
        </is>
      </c>
      <c r="E387" s="129" t="inlineStr">
        <is>
          <t>EXTRUDER</t>
        </is>
      </c>
      <c r="F387" s="130" t="n">
        <v>41821</v>
      </c>
      <c r="G387" s="131">
        <f>NOW()-F387</f>
        <v/>
      </c>
      <c r="H387" s="104" t="inlineStr">
        <is>
          <t>O</t>
        </is>
      </c>
      <c r="I387" s="104" t="inlineStr">
        <is>
          <t>O</t>
        </is>
      </c>
      <c r="J387" s="104" t="n">
        <v>8</v>
      </c>
      <c r="K387" s="104" t="n">
        <v>8</v>
      </c>
      <c r="L387" s="104" t="n">
        <v>10</v>
      </c>
      <c r="M387" s="104" t="n">
        <v>9</v>
      </c>
      <c r="N387" s="104" t="n"/>
      <c r="O387" s="104">
        <f>SUM(J387:N387)</f>
        <v/>
      </c>
      <c r="P387" s="12">
        <f>O387/IF(H387="L",20,IF(H387="U",30,IF(H387="O",40,IF(H387="I",20,""))))</f>
        <v/>
      </c>
      <c r="Q387" s="132">
        <f>IF(AND(H387="L", P387&gt;=50%), "Pass",
 IF(AND(H387="U", P387&gt;=60%), "Pass",
 IF(AND(H387="O", P387&gt;=75%), "Pass", "Fail")))</f>
        <v/>
      </c>
      <c r="R387" s="104" t="n"/>
      <c r="S387" s="104" t="n">
        <v>18</v>
      </c>
      <c r="T387" s="104" t="n">
        <v>14</v>
      </c>
      <c r="U387" s="104">
        <f>SUM(S387:T387)</f>
        <v/>
      </c>
      <c r="V387" s="12">
        <f>U387/IF(H387="L",35,IF(H387="U",35,IF(H387="O",35,IF(H387="I",35,""))))</f>
        <v/>
      </c>
      <c r="W387" s="132">
        <f>IF(AND(H387="L", V387&gt;=50%), "Pass",
 IF(AND(H387="U", V387&gt;=60%), "Pass",
 IF(AND(H387="O", V387&gt;=75%), "Pass", "Fail")))</f>
        <v/>
      </c>
      <c r="X387" s="132">
        <f>IF(AND(Q387="Pass", W387="Pass"), "Pass", "Fail")</f>
        <v/>
      </c>
      <c r="Y387" s="15">
        <f>IF($X387="Pass",$H387,
IF(H387="L","I",
IF(H387="U","L",
IF(H387="O","U",
"I"))))</f>
        <v/>
      </c>
    </row>
    <row r="388">
      <c r="A388" s="147">
        <f>ROW()-2</f>
        <v/>
      </c>
      <c r="B388" s="127" t="n">
        <v>900768</v>
      </c>
      <c r="C388" s="128" t="inlineStr">
        <is>
          <t>VADIVELKUMAR M</t>
        </is>
      </c>
      <c r="D388" s="127" t="inlineStr">
        <is>
          <t>PRODUCTION</t>
        </is>
      </c>
      <c r="E388" s="129" t="inlineStr">
        <is>
          <t>EXTRUDER</t>
        </is>
      </c>
      <c r="F388" s="130" t="n">
        <v>41821</v>
      </c>
      <c r="G388" s="131">
        <f>NOW()-F388</f>
        <v/>
      </c>
      <c r="H388" s="104" t="inlineStr">
        <is>
          <t>O</t>
        </is>
      </c>
      <c r="I388" s="104" t="inlineStr">
        <is>
          <t>O</t>
        </is>
      </c>
      <c r="J388" s="104" t="n">
        <v>7</v>
      </c>
      <c r="K388" s="104" t="n">
        <v>8</v>
      </c>
      <c r="L388" s="104" t="n">
        <v>8</v>
      </c>
      <c r="M388" s="104" t="n">
        <v>5</v>
      </c>
      <c r="N388" s="104" t="n"/>
      <c r="O388" s="104">
        <f>SUM(J388:N388)</f>
        <v/>
      </c>
      <c r="P388" s="12">
        <f>O388/IF(H388="L",20,IF(H388="U",30,IF(H388="O",40,IF(H388="I",20,""))))</f>
        <v/>
      </c>
      <c r="Q388" s="132">
        <f>IF(AND(H388="L", P388&gt;=50%), "Pass",
IF(AND(H388="U", P388&gt;=60%), "Pass",
IF(AND(H388="O", P388&gt;=75%), "Pass", "Fail")))</f>
        <v/>
      </c>
      <c r="R388" s="104" t="n"/>
      <c r="S388" s="104" t="n">
        <v>20</v>
      </c>
      <c r="T388" s="104" t="n">
        <v>14</v>
      </c>
      <c r="U388" s="104">
        <f>SUM(S388:T388)</f>
        <v/>
      </c>
      <c r="V388" s="12">
        <f>U388/IF(H388="L",35,IF(H388="U",35,IF(H388="O",35,IF(H388="I",35,""))))</f>
        <v/>
      </c>
      <c r="W388" s="132">
        <f>IF(AND(H388="L", V388&gt;=50%), "Pass",
IF(AND(H388="U", V388&gt;=60%), "Pass",
IF(AND(H388="O", V388&gt;=75%), "Pass", "Fail")))</f>
        <v/>
      </c>
      <c r="X388" s="132">
        <f>IF(AND(Q388="Pass", W388="Pass"), "Pass", "Fail")</f>
        <v/>
      </c>
      <c r="Y388" s="15">
        <f>IF($X388="Pass",$H388,
IF(H388="L","I",
IF(H388="U","L",
IF(H388="O","U",
"I"))))</f>
        <v/>
      </c>
    </row>
    <row r="389">
      <c r="A389" s="147">
        <f>ROW()-2</f>
        <v/>
      </c>
      <c r="B389" s="127" t="n">
        <v>900769</v>
      </c>
      <c r="C389" s="128" t="inlineStr">
        <is>
          <t>BALASUBRAMANIAN M</t>
        </is>
      </c>
      <c r="D389" s="127" t="inlineStr">
        <is>
          <t>PRODUCTION</t>
        </is>
      </c>
      <c r="E389" s="129" t="inlineStr">
        <is>
          <t>BEAD WINDING</t>
        </is>
      </c>
      <c r="F389" s="130" t="n">
        <v>41821</v>
      </c>
      <c r="G389" s="131">
        <f>NOW()-F389</f>
        <v/>
      </c>
      <c r="H389" s="104" t="inlineStr">
        <is>
          <t>O</t>
        </is>
      </c>
      <c r="I389" s="104" t="inlineStr">
        <is>
          <t>O</t>
        </is>
      </c>
      <c r="J389" s="104" t="n">
        <v>8</v>
      </c>
      <c r="K389" s="104" t="n">
        <v>7</v>
      </c>
      <c r="L389" s="104" t="n">
        <v>7</v>
      </c>
      <c r="M389" s="104" t="n">
        <v>6</v>
      </c>
      <c r="N389" s="104" t="n"/>
      <c r="O389" s="104">
        <f>SUM(J389:N389)</f>
        <v/>
      </c>
      <c r="P389" s="12">
        <f>O389/IF(H389="L",20,IF(H389="U",30,IF(H389="O",40,IF(H389="I",20,""))))</f>
        <v/>
      </c>
      <c r="Q389" s="132">
        <f>IF(AND(H389="L", P389&gt;=50%), "Pass",
IF(AND(H389="U", P389&gt;=60%), "Pass",
IF(AND(H389="O", P389&gt;=75%), "Pass", "Fail")))</f>
        <v/>
      </c>
      <c r="R389" s="104" t="n"/>
      <c r="S389" s="104" t="n">
        <v>16</v>
      </c>
      <c r="T389" s="104" t="n">
        <v>8</v>
      </c>
      <c r="U389" s="104">
        <f>SUM(S389:T389)</f>
        <v/>
      </c>
      <c r="V389" s="12">
        <f>U389/IF(H389="L",35,IF(H389="U",35,IF(H389="O",35,IF(H389="I",35,""))))</f>
        <v/>
      </c>
      <c r="W389" s="132">
        <f>IF(AND(H389="L", V389&gt;=50%), "Pass",
IF(AND(H389="U", V389&gt;=60%), "Pass",
IF(AND(H389="O", V389&gt;=75%), "Pass", "Fail")))</f>
        <v/>
      </c>
      <c r="X389" s="132">
        <f>IF(AND(Q389="Pass", W389="Pass"), "Pass", "Fail")</f>
        <v/>
      </c>
      <c r="Y389" s="15">
        <f>IF($X389="Pass",$H389,
IF(H389="L","I",
IF(H389="U","L",
IF(H389="O","U",
"I"))))</f>
        <v/>
      </c>
    </row>
    <row r="390">
      <c r="A390" s="147">
        <f>ROW()-2</f>
        <v/>
      </c>
      <c r="B390" s="127" t="n">
        <v>900770</v>
      </c>
      <c r="C390" s="128" t="inlineStr">
        <is>
          <t>PETCHIMUTHU P</t>
        </is>
      </c>
      <c r="D390" s="127" t="inlineStr">
        <is>
          <t>PRODUCTION</t>
        </is>
      </c>
      <c r="E390" s="129" t="inlineStr">
        <is>
          <t>BEAD WINDING</t>
        </is>
      </c>
      <c r="F390" s="130" t="n">
        <v>41821</v>
      </c>
      <c r="G390" s="131">
        <f>NOW()-F390</f>
        <v/>
      </c>
      <c r="H390" s="104" t="inlineStr">
        <is>
          <t>O</t>
        </is>
      </c>
      <c r="I390" s="104" t="inlineStr">
        <is>
          <t>U</t>
        </is>
      </c>
      <c r="J390" s="104" t="n">
        <v>9</v>
      </c>
      <c r="K390" s="104" t="n">
        <v>5</v>
      </c>
      <c r="L390" s="104" t="n">
        <v>6</v>
      </c>
      <c r="M390" s="104" t="n">
        <v>9</v>
      </c>
      <c r="N390" s="104" t="n"/>
      <c r="O390" s="104">
        <f>SUM(J390:N390)</f>
        <v/>
      </c>
      <c r="P390" s="12">
        <f>O390/IF(H390="L",20,IF(H390="U",30,IF(H390="O",40,IF(H390="I",20,""))))</f>
        <v/>
      </c>
      <c r="Q390" s="132">
        <f>IF(AND(H390="L", P390&gt;=50%), "Pass",
IF(AND(H390="U", P390&gt;=60%), "Pass",
IF(AND(H390="O", P390&gt;=75%), "Pass", "Fail")))</f>
        <v/>
      </c>
      <c r="R390" s="104" t="n"/>
      <c r="S390" s="104" t="n">
        <v>16</v>
      </c>
      <c r="T390" s="104" t="n">
        <v>8</v>
      </c>
      <c r="U390" s="104">
        <f>SUM(S390:T390)</f>
        <v/>
      </c>
      <c r="V390" s="12">
        <f>U390/IF(H390="L",35,IF(H390="U",35,IF(H390="O",35,IF(H390="I",35,""))))</f>
        <v/>
      </c>
      <c r="W390" s="132">
        <f>IF(AND(H390="L", V390&gt;=50%), "Pass",
IF(AND(H390="U", V390&gt;=60%), "Pass",
IF(AND(H390="O", V390&gt;=75%), "Pass", "Fail")))</f>
        <v/>
      </c>
      <c r="X390" s="132">
        <f>IF(AND(Q390="Pass", W390="Pass"), "Pass", "Fail")</f>
        <v/>
      </c>
      <c r="Y390" s="15">
        <f>IF($X390="Pass",$H390,
IF(H390="L","I",
IF(H390="U","L",
IF(H390="O","U",
"I"))))</f>
        <v/>
      </c>
    </row>
    <row r="391">
      <c r="A391" s="147">
        <f>ROW()-2</f>
        <v/>
      </c>
      <c r="B391" s="127" t="n">
        <v>900771</v>
      </c>
      <c r="C391" s="128" t="inlineStr">
        <is>
          <t>MARIMUTHU A</t>
        </is>
      </c>
      <c r="D391" s="127" t="inlineStr">
        <is>
          <t>PRODUCTION</t>
        </is>
      </c>
      <c r="E391" s="129" t="inlineStr">
        <is>
          <t>BEAD WINDING</t>
        </is>
      </c>
      <c r="F391" s="130" t="n">
        <v>41821</v>
      </c>
      <c r="G391" s="131">
        <f>NOW()-F391</f>
        <v/>
      </c>
      <c r="H391" s="104" t="inlineStr">
        <is>
          <t>O</t>
        </is>
      </c>
      <c r="I391" s="104" t="inlineStr">
        <is>
          <t>U</t>
        </is>
      </c>
      <c r="J391" s="104" t="n">
        <v>8</v>
      </c>
      <c r="K391" s="104" t="n">
        <v>8</v>
      </c>
      <c r="L391" s="104" t="n">
        <v>6</v>
      </c>
      <c r="M391" s="104" t="n">
        <v>8</v>
      </c>
      <c r="N391" s="104" t="n"/>
      <c r="O391" s="104">
        <f>SUM(J391:N391)</f>
        <v/>
      </c>
      <c r="P391" s="12">
        <f>O391/IF(H391="L",20,IF(H391="U",30,IF(H391="O",40,IF(H391="I",20,""))))</f>
        <v/>
      </c>
      <c r="Q391" s="132">
        <f>IF(AND(H391="L", P391&gt;=50%), "Pass",
IF(AND(H391="U", P391&gt;=60%), "Pass",
IF(AND(H391="O", P391&gt;=75%), "Pass", "Fail")))</f>
        <v/>
      </c>
      <c r="R391" s="104" t="n"/>
      <c r="S391" s="104" t="n">
        <v>16</v>
      </c>
      <c r="T391" s="104" t="n">
        <v>11</v>
      </c>
      <c r="U391" s="104">
        <f>SUM(S391:T391)</f>
        <v/>
      </c>
      <c r="V391" s="12">
        <f>U391/IF(H391="L",35,IF(H391="U",35,IF(H391="O",35,IF(H391="I",35,""))))</f>
        <v/>
      </c>
      <c r="W391" s="132">
        <f>IF(AND(H391="L", V391&gt;=50%), "Pass",
IF(AND(H391="U", V391&gt;=60%), "Pass",
IF(AND(H391="O", V391&gt;=75%), "Pass", "Fail")))</f>
        <v/>
      </c>
      <c r="X391" s="132">
        <f>IF(AND(Q391="Pass", W391="Pass"), "Pass", "Fail")</f>
        <v/>
      </c>
      <c r="Y391" s="15">
        <f>IF($X391="Pass",$H391,
IF(H391="L","I",
IF(H391="U","L",
IF(H391="O","U",
"I"))))</f>
        <v/>
      </c>
    </row>
    <row r="392">
      <c r="A392" s="147">
        <f>ROW()-2</f>
        <v/>
      </c>
      <c r="B392" s="127" t="n">
        <v>900773</v>
      </c>
      <c r="C392" s="141" t="inlineStr">
        <is>
          <t>MARIMUTHU P</t>
        </is>
      </c>
      <c r="D392" s="127" t="inlineStr">
        <is>
          <t>PRODUCTION</t>
        </is>
      </c>
      <c r="E392" s="129" t="inlineStr">
        <is>
          <t>BIAS CUTTING-4</t>
        </is>
      </c>
      <c r="F392" s="130" t="n">
        <v>41821</v>
      </c>
      <c r="G392" s="131">
        <f>NOW()-F392</f>
        <v/>
      </c>
      <c r="H392" s="104" t="inlineStr">
        <is>
          <t>O</t>
        </is>
      </c>
      <c r="I392" s="104" t="inlineStr">
        <is>
          <t>U</t>
        </is>
      </c>
      <c r="J392" s="104" t="n">
        <v>9</v>
      </c>
      <c r="K392" s="104" t="n">
        <v>7</v>
      </c>
      <c r="L392" s="104" t="n">
        <v>7</v>
      </c>
      <c r="M392" s="104" t="n">
        <v>7</v>
      </c>
      <c r="N392" s="104" t="n"/>
      <c r="O392" s="104">
        <f>SUM(J392:N392)</f>
        <v/>
      </c>
      <c r="P392" s="12">
        <f>O392/IF(H392="L",20,IF(H392="U",30,IF(H392="O",40,IF(H392="I",20,""))))</f>
        <v/>
      </c>
      <c r="Q392" s="132">
        <f>IF(AND(H392="L", P392&gt;=50%), "Pass",
IF(AND(H392="U", P392&gt;=60%), "Pass",
IF(AND(H392="O", P392&gt;=75%), "Pass", "Fail")))</f>
        <v/>
      </c>
      <c r="R392" s="104" t="n"/>
      <c r="S392" s="104" t="inlineStr">
        <is>
          <t xml:space="preserve"> </t>
        </is>
      </c>
      <c r="T392" s="104" t="n">
        <v>14</v>
      </c>
      <c r="U392" s="104">
        <f>SUM(S392:T392)</f>
        <v/>
      </c>
      <c r="V392" s="12">
        <f>U392/IF(H392="L",35,IF(H392="U",35,IF(H392="O",35,IF(H392="I",35,""))))</f>
        <v/>
      </c>
      <c r="W392" s="132">
        <f>IF(AND(H392="L", V392&gt;=50%), "Pass",
IF(AND(H392="U", V392&gt;=60%), "Pass",
IF(AND(H392="O", V392&gt;=75%), "Pass", "Fail")))</f>
        <v/>
      </c>
      <c r="X392" s="132">
        <f>IF(AND(Q392="Pass", W392="Pass"), "Pass", "Fail")</f>
        <v/>
      </c>
      <c r="Y392" s="15">
        <f>IF($X392="Pass",$H392,
IF(H392="L","I",
IF(H392="U","L",
IF(H392="O","U",
"I"))))</f>
        <v/>
      </c>
    </row>
    <row r="393">
      <c r="A393" s="147">
        <f>ROW()-2</f>
        <v/>
      </c>
      <c r="B393" s="127" t="n">
        <v>900774</v>
      </c>
      <c r="C393" s="128" t="inlineStr">
        <is>
          <t>PRADEEP ORAON</t>
        </is>
      </c>
      <c r="D393" s="127" t="inlineStr">
        <is>
          <t>PRODUCTION</t>
        </is>
      </c>
      <c r="E393" s="129" t="inlineStr">
        <is>
          <t>BIAS CUTTING-2</t>
        </is>
      </c>
      <c r="F393" s="130" t="n">
        <v>41821</v>
      </c>
      <c r="G393" s="131">
        <f>NOW()-F393</f>
        <v/>
      </c>
      <c r="H393" s="104" t="inlineStr">
        <is>
          <t>O</t>
        </is>
      </c>
      <c r="I393" s="104" t="inlineStr">
        <is>
          <t>O</t>
        </is>
      </c>
      <c r="J393" s="104" t="n">
        <v>9</v>
      </c>
      <c r="K393" s="104" t="n">
        <v>8</v>
      </c>
      <c r="L393" s="104" t="n">
        <v>8</v>
      </c>
      <c r="M393" s="104" t="n">
        <v>8</v>
      </c>
      <c r="N393" s="104" t="n"/>
      <c r="O393" s="104">
        <f>SUM(J393:N393)</f>
        <v/>
      </c>
      <c r="P393" s="12">
        <f>O393/IF(H393="L",20,IF(H393="U",30,IF(H393="O",40,IF(H393="I",20,""))))</f>
        <v/>
      </c>
      <c r="Q393" s="132">
        <f>IF(AND(H393="L", P393&gt;=50%), "Pass",
IF(AND(H393="U", P393&gt;=60%), "Pass",
IF(AND(H393="O", P393&gt;=75%), "Pass", "Fail")))</f>
        <v/>
      </c>
      <c r="R393" s="104" t="n"/>
      <c r="S393" s="104" t="n">
        <v>15</v>
      </c>
      <c r="T393" s="104" t="n">
        <v>12</v>
      </c>
      <c r="U393" s="104">
        <f>SUM(S393:T393)</f>
        <v/>
      </c>
      <c r="V393" s="12">
        <f>U393/IF(H393="L",35,IF(H393="U",35,IF(H393="O",35,IF(H393="I",35,""))))</f>
        <v/>
      </c>
      <c r="W393" s="132">
        <f>IF(AND(H393="L", V393&gt;=50%), "Pass",
IF(AND(H393="U", V393&gt;=60%), "Pass",
IF(AND(H393="O", V393&gt;=75%), "Pass", "Fail")))</f>
        <v/>
      </c>
      <c r="X393" s="132">
        <f>IF(AND(Q393="Pass", W393="Pass"), "Pass", "Fail")</f>
        <v/>
      </c>
      <c r="Y393" s="15">
        <f>IF($X393="Pass",$H393,
IF(H393="L","I",
IF(H393="U","L",
IF(H393="O","U",
"I"))))</f>
        <v/>
      </c>
    </row>
    <row r="394">
      <c r="A394" s="147">
        <f>ROW()-2</f>
        <v/>
      </c>
      <c r="B394" s="127" t="n">
        <v>900775</v>
      </c>
      <c r="C394" s="128" t="inlineStr">
        <is>
          <t>ANTONY RAJ S</t>
        </is>
      </c>
      <c r="D394" s="127" t="inlineStr">
        <is>
          <t>PRODUCTION</t>
        </is>
      </c>
      <c r="E394" s="129" t="inlineStr">
        <is>
          <t>BIAS CUTTING-5</t>
        </is>
      </c>
      <c r="F394" s="130" t="n">
        <v>41821</v>
      </c>
      <c r="G394" s="131">
        <f>NOW()-F394</f>
        <v/>
      </c>
      <c r="H394" s="104" t="inlineStr">
        <is>
          <t>O</t>
        </is>
      </c>
      <c r="I394" s="104" t="inlineStr">
        <is>
          <t>U</t>
        </is>
      </c>
      <c r="J394" s="104" t="n">
        <v>10</v>
      </c>
      <c r="K394" s="104" t="n">
        <v>8</v>
      </c>
      <c r="L394" s="104" t="n">
        <v>8</v>
      </c>
      <c r="M394" s="104" t="n">
        <v>9</v>
      </c>
      <c r="N394" s="104" t="n"/>
      <c r="O394" s="104">
        <f>SUM(J394:N394)</f>
        <v/>
      </c>
      <c r="P394" s="12">
        <f>O394/IF(H394="L",20,IF(H394="U",30,IF(H394="O",40,IF(H394="I",20,""))))</f>
        <v/>
      </c>
      <c r="Q394" s="132">
        <f>IF(AND(H394="L", P394&gt;=50%), "Pass",
IF(AND(H394="U", P394&gt;=60%), "Pass",
IF(AND(H394="O", P394&gt;=75%), "Pass", "Fail")))</f>
        <v/>
      </c>
      <c r="R394" s="104" t="n"/>
      <c r="S394" s="104" t="n">
        <v>18</v>
      </c>
      <c r="T394" s="104" t="n">
        <v>14</v>
      </c>
      <c r="U394" s="104">
        <f>SUM(S394:T394)</f>
        <v/>
      </c>
      <c r="V394" s="12">
        <f>U394/IF(H394="L",35,IF(H394="U",35,IF(H394="O",35,IF(H394="I",35,""))))</f>
        <v/>
      </c>
      <c r="W394" s="132">
        <f>IF(AND(H394="L", V394&gt;=50%), "Pass",
IF(AND(H394="U", V394&gt;=60%), "Pass",
IF(AND(H394="O", V394&gt;=75%), "Pass", "Fail")))</f>
        <v/>
      </c>
      <c r="X394" s="132">
        <f>IF(AND(Q394="Pass", W394="Pass"), "Pass", "Fail")</f>
        <v/>
      </c>
      <c r="Y394" s="15">
        <f>IF($X394="Pass",$H394,
IF(H394="L","I",
IF(H394="U","L",
IF(H394="O","U",
"I"))))</f>
        <v/>
      </c>
    </row>
    <row r="395">
      <c r="A395" s="147">
        <f>ROW()-2</f>
        <v/>
      </c>
      <c r="B395" s="127" t="n">
        <v>900776</v>
      </c>
      <c r="C395" s="128" t="inlineStr">
        <is>
          <t>SELVAMUTHU K</t>
        </is>
      </c>
      <c r="D395" s="127" t="inlineStr">
        <is>
          <t>PRODUCTION</t>
        </is>
      </c>
      <c r="E395" s="129" t="inlineStr">
        <is>
          <t>BIAS CUTTING-2</t>
        </is>
      </c>
      <c r="F395" s="130" t="n">
        <v>41821</v>
      </c>
      <c r="G395" s="131">
        <f>NOW()-F395</f>
        <v/>
      </c>
      <c r="H395" s="104" t="inlineStr">
        <is>
          <t>O</t>
        </is>
      </c>
      <c r="I395" s="104" t="inlineStr">
        <is>
          <t>U</t>
        </is>
      </c>
      <c r="J395" s="104" t="n">
        <v>10</v>
      </c>
      <c r="K395" s="104" t="n">
        <v>9</v>
      </c>
      <c r="L395" s="104" t="n">
        <v>7</v>
      </c>
      <c r="M395" s="104" t="n">
        <v>9</v>
      </c>
      <c r="N395" s="104" t="n"/>
      <c r="O395" s="104">
        <f>SUM(J395:N395)</f>
        <v/>
      </c>
      <c r="P395" s="12">
        <f>O395/IF(H395="L",20,IF(H395="U",30,IF(H395="O",40,IF(H395="I",20,""))))</f>
        <v/>
      </c>
      <c r="Q395" s="132">
        <f>IF(AND(H395="L", P395&gt;=50%), "Pass",
IF(AND(H395="U", P395&gt;=60%), "Pass",
IF(AND(H395="O", P395&gt;=75%), "Pass", "Fail")))</f>
        <v/>
      </c>
      <c r="R395" s="104" t="n"/>
      <c r="S395" s="104" t="n">
        <v>15</v>
      </c>
      <c r="T395" s="104" t="n">
        <v>12</v>
      </c>
      <c r="U395" s="104">
        <f>SUM(S395:T395)</f>
        <v/>
      </c>
      <c r="V395" s="12">
        <f>U395/IF(H395="L",35,IF(H395="U",35,IF(H395="O",35,IF(H395="I",35,""))))</f>
        <v/>
      </c>
      <c r="W395" s="132">
        <f>IF(AND(H395="L", V395&gt;=50%), "Pass",
IF(AND(H395="U", V395&gt;=60%), "Pass",
IF(AND(H395="O", V395&gt;=75%), "Pass", "Fail")))</f>
        <v/>
      </c>
      <c r="X395" s="132">
        <f>IF(AND(Q395="Pass", W395="Pass"), "Pass", "Fail")</f>
        <v/>
      </c>
      <c r="Y395" s="15">
        <f>IF($X395="Pass",$H395,
IF(H395="L","I",
IF(H395="U","L",
IF(H395="O","U",
"I"))))</f>
        <v/>
      </c>
    </row>
    <row r="396">
      <c r="A396" s="147">
        <f>ROW()-2</f>
        <v/>
      </c>
      <c r="B396" s="127" t="n">
        <v>900777</v>
      </c>
      <c r="C396" s="128" t="inlineStr">
        <is>
          <t>MUTHUPANDI S</t>
        </is>
      </c>
      <c r="D396" s="127" t="inlineStr">
        <is>
          <t>PRODUCTION</t>
        </is>
      </c>
      <c r="E396" s="129" t="inlineStr">
        <is>
          <t>BIAS CUTTING-2</t>
        </is>
      </c>
      <c r="F396" s="130" t="n">
        <v>41821</v>
      </c>
      <c r="G396" s="131">
        <f>NOW()-F396</f>
        <v/>
      </c>
      <c r="H396" s="104" t="inlineStr">
        <is>
          <t>O</t>
        </is>
      </c>
      <c r="I396" s="104" t="inlineStr">
        <is>
          <t>O</t>
        </is>
      </c>
      <c r="J396" s="104" t="n">
        <v>9</v>
      </c>
      <c r="K396" s="104" t="n">
        <v>8</v>
      </c>
      <c r="L396" s="104" t="n">
        <v>9</v>
      </c>
      <c r="M396" s="104" t="n">
        <v>7</v>
      </c>
      <c r="N396" s="104" t="n"/>
      <c r="O396" s="104">
        <f>SUM(J396:N396)</f>
        <v/>
      </c>
      <c r="P396" s="12">
        <f>O396/IF(H396="L",20,IF(H396="U",30,IF(H396="O",40,IF(H396="I",20,""))))</f>
        <v/>
      </c>
      <c r="Q396" s="132">
        <f>IF(AND(H396="L", P396&gt;=50%), "Pass",
IF(AND(H396="U", P396&gt;=60%), "Pass",
IF(AND(H396="O", P396&gt;=75%), "Pass", "Fail")))</f>
        <v/>
      </c>
      <c r="R396" s="104" t="n"/>
      <c r="S396" s="104" t="n">
        <v>15</v>
      </c>
      <c r="T396" s="104" t="n">
        <v>12</v>
      </c>
      <c r="U396" s="104">
        <f>SUM(S396:T396)</f>
        <v/>
      </c>
      <c r="V396" s="12">
        <f>U396/IF(H396="L",35,IF(H396="U",35,IF(H396="O",35,IF(H396="I",35,""))))</f>
        <v/>
      </c>
      <c r="W396" s="132">
        <f>IF(AND(H396="L", V396&gt;=50%), "Pass",
IF(AND(H396="U", V396&gt;=60%), "Pass",
IF(AND(H396="O", V396&gt;=75%), "Pass", "Fail")))</f>
        <v/>
      </c>
      <c r="X396" s="132">
        <f>IF(AND(Q396="Pass", W396="Pass"), "Pass", "Fail")</f>
        <v/>
      </c>
      <c r="Y396" s="15">
        <f>IF($X396="Pass",$H396,
IF(H396="L","I",
IF(H396="U","L",
IF(H396="O","U",
"I"))))</f>
        <v/>
      </c>
    </row>
    <row r="397">
      <c r="A397" s="147">
        <f>ROW()-2</f>
        <v/>
      </c>
      <c r="B397" s="127" t="n">
        <v>900778</v>
      </c>
      <c r="C397" s="128" t="inlineStr">
        <is>
          <t>PONRAJ P</t>
        </is>
      </c>
      <c r="D397" s="127" t="inlineStr">
        <is>
          <t>PRODUCTION</t>
        </is>
      </c>
      <c r="E397" s="129" t="inlineStr">
        <is>
          <t>BIAS CUTTING-1</t>
        </is>
      </c>
      <c r="F397" s="130" t="n">
        <v>41821</v>
      </c>
      <c r="G397" s="131">
        <f>NOW()-F397</f>
        <v/>
      </c>
      <c r="H397" s="104" t="inlineStr">
        <is>
          <t>O</t>
        </is>
      </c>
      <c r="I397" s="104" t="inlineStr">
        <is>
          <t>O</t>
        </is>
      </c>
      <c r="J397" s="104" t="n">
        <v>10</v>
      </c>
      <c r="K397" s="104" t="n">
        <v>8</v>
      </c>
      <c r="L397" s="104" t="n">
        <v>9</v>
      </c>
      <c r="M397" s="104" t="n">
        <v>9</v>
      </c>
      <c r="N397" s="104" t="n"/>
      <c r="O397" s="104">
        <f>SUM(J397:N397)</f>
        <v/>
      </c>
      <c r="P397" s="12">
        <f>O397/IF(H397="L",20,IF(H397="U",30,IF(H397="O",40,IF(H397="I",20,""))))</f>
        <v/>
      </c>
      <c r="Q397" s="132">
        <f>IF(AND(H397="L", P397&gt;=50%), "Pass",
IF(AND(H397="U", P397&gt;=60%), "Pass",
IF(AND(H397="O", P397&gt;=75%), "Pass", "Fail")))</f>
        <v/>
      </c>
      <c r="R397" s="104" t="n"/>
      <c r="S397" s="104" t="n">
        <v>19</v>
      </c>
      <c r="T397" s="104" t="n">
        <v>15</v>
      </c>
      <c r="U397" s="104">
        <f>SUM(S397:T397)</f>
        <v/>
      </c>
      <c r="V397" s="12">
        <f>U397/IF(H397="L",35,IF(H397="U",35,IF(H397="O",35,IF(H397="I",35,""))))</f>
        <v/>
      </c>
      <c r="W397" s="132">
        <f>IF(AND(H397="L", V397&gt;=50%), "Pass",
IF(AND(H397="U", V397&gt;=60%), "Pass",
IF(AND(H397="O", V397&gt;=75%), "Pass", "Fail")))</f>
        <v/>
      </c>
      <c r="X397" s="132">
        <f>IF(AND(Q397="Pass", W397="Pass"), "Pass", "Fail")</f>
        <v/>
      </c>
      <c r="Y397" s="15">
        <f>IF($X397="Pass",$H397,
IF(H397="L","I",
IF(H397="U","L",
IF(H397="O","U",
"I"))))</f>
        <v/>
      </c>
    </row>
    <row r="398">
      <c r="A398" s="147">
        <f>ROW()-2</f>
        <v/>
      </c>
      <c r="B398" s="127" t="n">
        <v>900779</v>
      </c>
      <c r="C398" s="128" t="inlineStr">
        <is>
          <t>MARIMUTHU S</t>
        </is>
      </c>
      <c r="D398" s="127" t="inlineStr">
        <is>
          <t>PRODUCTION</t>
        </is>
      </c>
      <c r="E398" s="129" t="inlineStr">
        <is>
          <t>SLITTING</t>
        </is>
      </c>
      <c r="F398" s="130" t="n">
        <v>41821</v>
      </c>
      <c r="G398" s="131">
        <f>NOW()-F398</f>
        <v/>
      </c>
      <c r="H398" s="104" t="inlineStr">
        <is>
          <t>O</t>
        </is>
      </c>
      <c r="I398" s="104" t="inlineStr">
        <is>
          <t>U</t>
        </is>
      </c>
      <c r="J398" s="104" t="n">
        <v>9</v>
      </c>
      <c r="K398" s="104" t="n">
        <v>6</v>
      </c>
      <c r="L398" s="104" t="n">
        <v>8</v>
      </c>
      <c r="M398" s="104" t="n">
        <v>7</v>
      </c>
      <c r="N398" s="104" t="n"/>
      <c r="O398" s="104">
        <f>SUM(J398:N398)</f>
        <v/>
      </c>
      <c r="P398" s="12">
        <f>O398/IF(H398="L",20,IF(H398="U",30,IF(H398="O",40,IF(H398="I",20,""))))</f>
        <v/>
      </c>
      <c r="Q398" s="132">
        <f>IF(AND(H398="L", P398&gt;=50%), "Pass",
IF(AND(H398="U", P398&gt;=60%), "Pass",
IF(AND(H398="O", P398&gt;=75%), "Pass", "Fail")))</f>
        <v/>
      </c>
      <c r="R398" s="104" t="n"/>
      <c r="S398" s="104" t="n">
        <v>19</v>
      </c>
      <c r="T398" s="104" t="n">
        <v>13</v>
      </c>
      <c r="U398" s="104">
        <f>SUM(S398:T398)</f>
        <v/>
      </c>
      <c r="V398" s="12">
        <f>U398/IF(H398="L",35,IF(H398="U",35,IF(H398="O",35,IF(H398="I",35,""))))</f>
        <v/>
      </c>
      <c r="W398" s="132">
        <f>IF(AND(H398="L", V398&gt;=50%), "Pass",
IF(AND(H398="U", V398&gt;=60%), "Pass",
IF(AND(H398="O", V398&gt;=75%), "Pass", "Fail")))</f>
        <v/>
      </c>
      <c r="X398" s="132">
        <f>IF(AND(Q398="Pass", W398="Pass"), "Pass", "Fail")</f>
        <v/>
      </c>
      <c r="Y398" s="15">
        <f>IF($X398="Pass",$H398,
IF(H398="L","I",
IF(H398="U","L",
IF(H398="O","U",
"I"))))</f>
        <v/>
      </c>
    </row>
    <row r="399">
      <c r="A399" s="147">
        <f>ROW()-2</f>
        <v/>
      </c>
      <c r="B399" s="127" t="n">
        <v>900780</v>
      </c>
      <c r="C399" s="128" t="inlineStr">
        <is>
          <t>PATTU RAJA A</t>
        </is>
      </c>
      <c r="D399" s="127" t="inlineStr">
        <is>
          <t>PRODUCTION</t>
        </is>
      </c>
      <c r="E399" s="129" t="inlineStr">
        <is>
          <t>BIAS CUTTING-5</t>
        </is>
      </c>
      <c r="F399" s="130" t="n">
        <v>41821</v>
      </c>
      <c r="G399" s="131">
        <f>NOW()-F399</f>
        <v/>
      </c>
      <c r="H399" s="104" t="inlineStr">
        <is>
          <t>O</t>
        </is>
      </c>
      <c r="I399" s="104" t="inlineStr">
        <is>
          <t>U</t>
        </is>
      </c>
      <c r="J399" s="104" t="n">
        <v>7</v>
      </c>
      <c r="K399" s="104" t="n">
        <v>7</v>
      </c>
      <c r="L399" s="104" t="n">
        <v>4</v>
      </c>
      <c r="M399" s="104" t="n">
        <v>6</v>
      </c>
      <c r="N399" s="104" t="n"/>
      <c r="O399" s="104">
        <f>SUM(J399:N399)</f>
        <v/>
      </c>
      <c r="P399" s="12">
        <f>O399/IF(H399="L",20,IF(H399="U",30,IF(H399="O",40,IF(H399="I",20,""))))</f>
        <v/>
      </c>
      <c r="Q399" s="132">
        <f>IF(AND(H399="L", P399&gt;=50%), "Pass",
IF(AND(H399="U", P399&gt;=60%), "Pass",
IF(AND(H399="O", P399&gt;=75%), "Pass", "Fail")))</f>
        <v/>
      </c>
      <c r="R399" s="104" t="n"/>
      <c r="S399" s="104" t="n">
        <v>17</v>
      </c>
      <c r="T399" s="104" t="n">
        <v>11</v>
      </c>
      <c r="U399" s="104">
        <f>SUM(S399:T399)</f>
        <v/>
      </c>
      <c r="V399" s="12">
        <f>U399/IF(H399="L",35,IF(H399="U",35,IF(H399="O",35,IF(H399="I",35,""))))</f>
        <v/>
      </c>
      <c r="W399" s="132">
        <f>IF(AND(H399="L", V399&gt;=50%), "Pass",
IF(AND(H399="U", V399&gt;=60%), "Pass",
IF(AND(H399="O", V399&gt;=75%), "Pass", "Fail")))</f>
        <v/>
      </c>
      <c r="X399" s="132">
        <f>IF(AND(Q399="Pass", W399="Pass"), "Pass", "Fail")</f>
        <v/>
      </c>
      <c r="Y399" s="15">
        <f>IF($X399="Pass",$H399,
IF(H399="L","I",
IF(H399="U","L",
IF(H399="O","U",
"I"))))</f>
        <v/>
      </c>
    </row>
    <row r="400">
      <c r="A400" s="147">
        <f>ROW()-2</f>
        <v/>
      </c>
      <c r="B400" s="127" t="n">
        <v>900781</v>
      </c>
      <c r="C400" s="128" t="inlineStr">
        <is>
          <t>IYYAM PERUMAL M</t>
        </is>
      </c>
      <c r="D400" s="127" t="inlineStr">
        <is>
          <t>PRODUCTION</t>
        </is>
      </c>
      <c r="E400" s="129" t="inlineStr">
        <is>
          <t>SLITTING</t>
        </is>
      </c>
      <c r="F400" s="130" t="n">
        <v>41821</v>
      </c>
      <c r="G400" s="131">
        <f>NOW()-F400</f>
        <v/>
      </c>
      <c r="H400" s="104" t="inlineStr">
        <is>
          <t>O</t>
        </is>
      </c>
      <c r="I400" s="104" t="inlineStr">
        <is>
          <t>U</t>
        </is>
      </c>
      <c r="J400" s="104" t="n">
        <v>9</v>
      </c>
      <c r="K400" s="104" t="n">
        <v>7</v>
      </c>
      <c r="L400" s="104" t="n">
        <v>6</v>
      </c>
      <c r="M400" s="104" t="n">
        <v>8</v>
      </c>
      <c r="N400" s="104" t="n"/>
      <c r="O400" s="104">
        <f>SUM(J400:N400)</f>
        <v/>
      </c>
      <c r="P400" s="12">
        <f>O400/IF(H400="L",20,IF(H400="U",30,IF(H400="O",40,IF(H400="I",20,""))))</f>
        <v/>
      </c>
      <c r="Q400" s="132">
        <f>IF(AND(H400="L", P400&gt;=50%), "Pass",
IF(AND(H400="U", P400&gt;=60%), "Pass",
IF(AND(H400="O", P400&gt;=75%), "Pass", "Fail")))</f>
        <v/>
      </c>
      <c r="R400" s="104" t="n"/>
      <c r="S400" s="104" t="n">
        <v>19</v>
      </c>
      <c r="T400" s="104" t="n">
        <v>14</v>
      </c>
      <c r="U400" s="104">
        <f>SUM(S400:T400)</f>
        <v/>
      </c>
      <c r="V400" s="12">
        <f>U400/IF(H400="L",35,IF(H400="U",35,IF(H400="O",35,IF(H400="I",35,""))))</f>
        <v/>
      </c>
      <c r="W400" s="132">
        <f>IF(AND(H400="L", V400&gt;=50%), "Pass",
IF(AND(H400="U", V400&gt;=60%), "Pass",
IF(AND(H400="O", V400&gt;=75%), "Pass", "Fail")))</f>
        <v/>
      </c>
      <c r="X400" s="132">
        <f>IF(AND(Q400="Pass", W400="Pass"), "Pass", "Fail")</f>
        <v/>
      </c>
      <c r="Y400" s="15">
        <f>IF($X400="Pass",$H400,
IF(H400="L","I",
IF(H400="U","L",
IF(H400="O","U",
"I"))))</f>
        <v/>
      </c>
    </row>
    <row r="401">
      <c r="A401" s="147">
        <f>ROW()-2</f>
        <v/>
      </c>
      <c r="B401" s="127" t="n">
        <v>900782</v>
      </c>
      <c r="C401" s="128" t="inlineStr">
        <is>
          <t>MUTHU KUMAR  E</t>
        </is>
      </c>
      <c r="D401" s="127" t="inlineStr">
        <is>
          <t>PRODUCTION</t>
        </is>
      </c>
      <c r="E401" s="129" t="inlineStr">
        <is>
          <t>BAND BUILDING-P1</t>
        </is>
      </c>
      <c r="F401" s="130" t="n">
        <v>41821</v>
      </c>
      <c r="G401" s="131">
        <f>NOW()-F401</f>
        <v/>
      </c>
      <c r="H401" s="104" t="inlineStr">
        <is>
          <t>O</t>
        </is>
      </c>
      <c r="I401" s="104" t="inlineStr">
        <is>
          <t>O</t>
        </is>
      </c>
      <c r="J401" s="104" t="n">
        <v>10</v>
      </c>
      <c r="K401" s="104" t="n">
        <v>9</v>
      </c>
      <c r="L401" s="104" t="n">
        <v>6</v>
      </c>
      <c r="M401" s="104" t="n">
        <v>8</v>
      </c>
      <c r="N401" s="104" t="n"/>
      <c r="O401" s="104">
        <f>SUM(J401:N401)</f>
        <v/>
      </c>
      <c r="P401" s="12">
        <f>O401/IF(H401="L",20,IF(H401="U",30,IF(H401="O",40,IF(H401="I",20,""))))</f>
        <v/>
      </c>
      <c r="Q401" s="132">
        <f>IF(AND(H401="L", P401&gt;=50%), "Pass",
IF(AND(H401="U", P401&gt;=60%), "Pass",
IF(AND(H401="O", P401&gt;=75%), "Pass", "Fail")))</f>
        <v/>
      </c>
      <c r="R401" s="104" t="n"/>
      <c r="S401" s="104" t="n">
        <v>17</v>
      </c>
      <c r="T401" s="104" t="n">
        <v>14</v>
      </c>
      <c r="U401" s="104">
        <f>SUM(S401:T401)</f>
        <v/>
      </c>
      <c r="V401" s="12">
        <f>U401/IF(H401="L",35,IF(H401="U",35,IF(H401="O",35,IF(H401="I",35,""))))</f>
        <v/>
      </c>
      <c r="W401" s="132">
        <f>IF(AND(H401="L", V401&gt;=50%), "Pass",
IF(AND(H401="U", V401&gt;=60%), "Pass",
IF(AND(H401="O", V401&gt;=75%), "Pass", "Fail")))</f>
        <v/>
      </c>
      <c r="X401" s="132">
        <f>IF(AND(Q401="Pass", W401="Pass"), "Pass", "Fail")</f>
        <v/>
      </c>
      <c r="Y401" s="15">
        <f>IF($X401="Pass",$H401,
IF(H401="L","I",
IF(H401="U","L",
IF(H401="O","U",
"I"))))</f>
        <v/>
      </c>
    </row>
    <row r="402">
      <c r="A402" s="147">
        <f>ROW()-2</f>
        <v/>
      </c>
      <c r="B402" s="127" t="n">
        <v>900783</v>
      </c>
      <c r="C402" s="128" t="inlineStr">
        <is>
          <t>BALU  S</t>
        </is>
      </c>
      <c r="D402" s="127" t="inlineStr">
        <is>
          <t>PRODUCTION</t>
        </is>
      </c>
      <c r="E402" s="129" t="inlineStr">
        <is>
          <t>TYRE BUILDING-P1</t>
        </is>
      </c>
      <c r="F402" s="130" t="n">
        <v>41821</v>
      </c>
      <c r="G402" s="131">
        <f>NOW()-F402</f>
        <v/>
      </c>
      <c r="H402" s="104" t="inlineStr">
        <is>
          <t>O</t>
        </is>
      </c>
      <c r="I402" s="104" t="inlineStr">
        <is>
          <t>O</t>
        </is>
      </c>
      <c r="J402" s="104" t="n">
        <v>10</v>
      </c>
      <c r="K402" s="104" t="n">
        <v>10</v>
      </c>
      <c r="L402" s="104" t="n">
        <v>7</v>
      </c>
      <c r="M402" s="104" t="n">
        <v>8</v>
      </c>
      <c r="N402" s="104" t="n"/>
      <c r="O402" s="104">
        <f>SUM(J402:N402)</f>
        <v/>
      </c>
      <c r="P402" s="12">
        <f>O402/IF(H402="L",20,IF(H402="U",30,IF(H402="O",40,IF(H402="I",20,""))))</f>
        <v/>
      </c>
      <c r="Q402" s="132">
        <f>IF(AND(H402="L", P402&gt;=50%), "Pass",
IF(AND(H402="U", P402&gt;=60%), "Pass",
IF(AND(H402="O", P402&gt;=75%), "Pass", "Fail")))</f>
        <v/>
      </c>
      <c r="R402" s="104" t="n"/>
      <c r="S402" s="104" t="n">
        <v>17</v>
      </c>
      <c r="T402" s="104" t="n">
        <v>15</v>
      </c>
      <c r="U402" s="104">
        <f>SUM(S402:T402)</f>
        <v/>
      </c>
      <c r="V402" s="12">
        <f>U402/IF(H402="L",35,IF(H402="U",35,IF(H402="O",35,IF(H402="I",35,""))))</f>
        <v/>
      </c>
      <c r="W402" s="132">
        <f>IF(AND(H402="L", V402&gt;=50%), "Pass",
IF(AND(H402="U", V402&gt;=60%), "Pass",
IF(AND(H402="O", V402&gt;=75%), "Pass", "Fail")))</f>
        <v/>
      </c>
      <c r="X402" s="132">
        <f>IF(AND(Q402="Pass", W402="Pass"), "Pass", "Fail")</f>
        <v/>
      </c>
      <c r="Y402" s="15">
        <f>IF($X402="Pass",$H402,
IF(H402="L","I",
IF(H402="U","L",
IF(H402="O","U",
"I"))))</f>
        <v/>
      </c>
    </row>
    <row r="403">
      <c r="A403" s="147">
        <f>ROW()-2</f>
        <v/>
      </c>
      <c r="B403" s="127" t="n">
        <v>900784</v>
      </c>
      <c r="C403" s="128" t="inlineStr">
        <is>
          <t>OORPITCHAI G</t>
        </is>
      </c>
      <c r="D403" s="127" t="inlineStr">
        <is>
          <t>PRODUCTION</t>
        </is>
      </c>
      <c r="E403" s="129" t="inlineStr">
        <is>
          <t>TYRE BUILDING-P2</t>
        </is>
      </c>
      <c r="F403" s="130" t="n">
        <v>41821</v>
      </c>
      <c r="G403" s="131">
        <f>NOW()-F403</f>
        <v/>
      </c>
      <c r="H403" s="104" t="inlineStr">
        <is>
          <t>O</t>
        </is>
      </c>
      <c r="I403" s="104" t="inlineStr">
        <is>
          <t>U</t>
        </is>
      </c>
      <c r="J403" s="104" t="n">
        <v>10</v>
      </c>
      <c r="K403" s="104" t="n">
        <v>10</v>
      </c>
      <c r="L403" s="104" t="n">
        <v>8</v>
      </c>
      <c r="M403" s="104" t="n">
        <v>10</v>
      </c>
      <c r="N403" s="104" t="n"/>
      <c r="O403" s="104">
        <f>SUM(J403:N403)</f>
        <v/>
      </c>
      <c r="P403" s="12">
        <f>O403/IF(H403="L",20,IF(H403="U",30,IF(H403="O",40,IF(H403="I",20,""))))</f>
        <v/>
      </c>
      <c r="Q403" s="132">
        <f>IF(AND(H403="L", P403&gt;=50%), "Pass",
IF(AND(H403="U", P403&gt;=60%), "Pass",
IF(AND(H403="O", P403&gt;=75%), "Pass", "Fail")))</f>
        <v/>
      </c>
      <c r="R403" s="104" t="n"/>
      <c r="S403" s="104" t="n">
        <v>13</v>
      </c>
      <c r="T403" s="104" t="n">
        <v>10</v>
      </c>
      <c r="U403" s="104">
        <f>SUM(S403:T403)</f>
        <v/>
      </c>
      <c r="V403" s="12">
        <f>U403/IF(H403="L",35,IF(H403="U",35,IF(H403="O",35,IF(H403="I",35,""))))</f>
        <v/>
      </c>
      <c r="W403" s="132">
        <f>IF(AND(H403="L", V403&gt;=50%), "Pass",
IF(AND(H403="U", V403&gt;=60%), "Pass",
IF(AND(H403="O", V403&gt;=75%), "Pass", "Fail")))</f>
        <v/>
      </c>
      <c r="X403" s="132">
        <f>IF(AND(Q403="Pass", W403="Pass"), "Pass", "Fail")</f>
        <v/>
      </c>
      <c r="Y403" s="15">
        <f>IF($X403="Pass",$H403,
IF(H403="L","I",
IF(H403="U","L",
IF(H403="O","U",
"I"))))</f>
        <v/>
      </c>
    </row>
    <row r="404">
      <c r="A404" s="147">
        <f>ROW()-2</f>
        <v/>
      </c>
      <c r="B404" s="127" t="n">
        <v>900785</v>
      </c>
      <c r="C404" s="128" t="inlineStr">
        <is>
          <t>MUTHU KUMAR M</t>
        </is>
      </c>
      <c r="D404" s="127" t="inlineStr">
        <is>
          <t>PRODUCTION</t>
        </is>
      </c>
      <c r="E404" s="129" t="inlineStr">
        <is>
          <t>TYRE BUILDING-P3</t>
        </is>
      </c>
      <c r="F404" s="130" t="n">
        <v>41821</v>
      </c>
      <c r="G404" s="131">
        <f>NOW()-F404</f>
        <v/>
      </c>
      <c r="H404" s="104" t="inlineStr">
        <is>
          <t>O</t>
        </is>
      </c>
      <c r="I404" s="104" t="inlineStr">
        <is>
          <t>U</t>
        </is>
      </c>
      <c r="J404" s="104" t="n">
        <v>10</v>
      </c>
      <c r="K404" s="104" t="n">
        <v>8</v>
      </c>
      <c r="L404" s="104" t="n">
        <v>5</v>
      </c>
      <c r="M404" s="104" t="n">
        <v>9</v>
      </c>
      <c r="N404" s="104" t="n"/>
      <c r="O404" s="104">
        <f>SUM(J404:N404)</f>
        <v/>
      </c>
      <c r="P404" s="12">
        <f>O404/IF(H404="L",20,IF(H404="U",30,IF(H404="O",40,IF(H404="I",20,""))))</f>
        <v/>
      </c>
      <c r="Q404" s="132">
        <f>IF(AND(H404="L", P404&gt;=50%), "Pass",
IF(AND(H404="U", P404&gt;=60%), "Pass",
IF(AND(H404="O", P404&gt;=75%), "Pass", "Fail")))</f>
        <v/>
      </c>
      <c r="R404" s="104" t="n"/>
      <c r="S404" s="43" t="n">
        <v>18</v>
      </c>
      <c r="T404" s="43" t="n">
        <v>15</v>
      </c>
      <c r="U404" s="104">
        <f>SUM(S404:T404)</f>
        <v/>
      </c>
      <c r="V404" s="12">
        <f>U404/IF(H404="L",35,IF(H404="U",35,IF(H404="O",35,IF(H404="I",35,""))))</f>
        <v/>
      </c>
      <c r="W404" s="132">
        <f>IF(AND(H404="L", V404&gt;=50%), "Pass",
IF(AND(H404="U", V404&gt;=60%), "Pass",
IF(AND(H404="O", V404&gt;=75%), "Pass", "Fail")))</f>
        <v/>
      </c>
      <c r="X404" s="132">
        <f>IF(AND(Q404="Pass", W404="Pass"), "Pass", "Fail")</f>
        <v/>
      </c>
      <c r="Y404" s="15">
        <f>IF($X404="Pass",$H404,
IF(H404="L","I",
IF(H404="U","L",
IF(H404="O","U",
"I"))))</f>
        <v/>
      </c>
    </row>
    <row r="405">
      <c r="A405" s="147">
        <f>ROW()-2</f>
        <v/>
      </c>
      <c r="B405" s="127" t="n">
        <v>900786</v>
      </c>
      <c r="C405" s="128" t="inlineStr">
        <is>
          <t>AMIRTHASELVAM M</t>
        </is>
      </c>
      <c r="D405" s="127" t="inlineStr">
        <is>
          <t>PRODUCTION</t>
        </is>
      </c>
      <c r="E405" s="129" t="inlineStr">
        <is>
          <t>TYRE BUILDING-P2</t>
        </is>
      </c>
      <c r="F405" s="130" t="n">
        <v>41821</v>
      </c>
      <c r="G405" s="131">
        <f>NOW()-F405</f>
        <v/>
      </c>
      <c r="H405" s="104" t="inlineStr">
        <is>
          <t>O</t>
        </is>
      </c>
      <c r="I405" s="104" t="inlineStr">
        <is>
          <t>O</t>
        </is>
      </c>
      <c r="J405" s="104" t="n">
        <v>9</v>
      </c>
      <c r="K405" s="104" t="n">
        <v>10</v>
      </c>
      <c r="L405" s="104" t="n">
        <v>8</v>
      </c>
      <c r="M405" s="104" t="n">
        <v>9</v>
      </c>
      <c r="N405" s="104" t="n"/>
      <c r="O405" s="104">
        <f>SUM(J405:N405)</f>
        <v/>
      </c>
      <c r="P405" s="12">
        <f>O405/IF(H405="L",20,IF(H405="U",30,IF(H405="O",40,IF(H405="I",20,""))))</f>
        <v/>
      </c>
      <c r="Q405" s="132">
        <f>IF(AND(H405="L", P405&gt;=50%), "Pass",
IF(AND(H405="U", P405&gt;=60%), "Pass",
IF(AND(H405="O", P405&gt;=75%), "Pass", "Fail")))</f>
        <v/>
      </c>
      <c r="R405" s="104" t="n"/>
      <c r="S405" s="104" t="n">
        <v>13</v>
      </c>
      <c r="T405" s="104" t="n">
        <v>10</v>
      </c>
      <c r="U405" s="104">
        <f>SUM(S405:T405)</f>
        <v/>
      </c>
      <c r="V405" s="12">
        <f>U405/IF(H405="L",35,IF(H405="U",35,IF(H405="O",35,IF(H405="I",35,""))))</f>
        <v/>
      </c>
      <c r="W405" s="132">
        <f>IF(AND(H405="L", V405&gt;=50%), "Pass",
IF(AND(H405="U", V405&gt;=60%), "Pass",
IF(AND(H405="O", V405&gt;=75%), "Pass", "Fail")))</f>
        <v/>
      </c>
      <c r="X405" s="132">
        <f>IF(AND(Q405="Pass", W405="Pass"), "Pass", "Fail")</f>
        <v/>
      </c>
      <c r="Y405" s="15">
        <f>IF($X405="Pass",$H405,
IF(H405="L","I",
IF(H405="U","L",
IF(H405="O","U",
"I"))))</f>
        <v/>
      </c>
    </row>
    <row r="406">
      <c r="A406" s="147">
        <f>ROW()-2</f>
        <v/>
      </c>
      <c r="B406" s="127" t="n">
        <v>900787</v>
      </c>
      <c r="C406" s="128" t="inlineStr">
        <is>
          <t>KRISHNA KUMAR SHARMA</t>
        </is>
      </c>
      <c r="D406" s="127" t="inlineStr">
        <is>
          <t>PRODUCTION</t>
        </is>
      </c>
      <c r="E406" s="129" t="inlineStr">
        <is>
          <t>TYRE BUILDING-P3</t>
        </is>
      </c>
      <c r="F406" s="130" t="n">
        <v>41821</v>
      </c>
      <c r="G406" s="131">
        <f>NOW()-F406</f>
        <v/>
      </c>
      <c r="H406" s="104" t="inlineStr">
        <is>
          <t>O</t>
        </is>
      </c>
      <c r="I406" s="104" t="inlineStr">
        <is>
          <t>O</t>
        </is>
      </c>
      <c r="J406" s="104" t="n">
        <v>10</v>
      </c>
      <c r="K406" s="104" t="n">
        <v>9</v>
      </c>
      <c r="L406" s="104" t="n">
        <v>6</v>
      </c>
      <c r="M406" s="104" t="n">
        <v>9</v>
      </c>
      <c r="N406" s="104" t="n"/>
      <c r="O406" s="104">
        <f>SUM(J406:N406)</f>
        <v/>
      </c>
      <c r="P406" s="12">
        <f>O406/IF(H406="L",20,IF(H406="U",30,IF(H406="O",40,IF(H406="I",20,""))))</f>
        <v/>
      </c>
      <c r="Q406" s="132">
        <f>IF(AND(H406="L", P406&gt;=50%), "Pass",
IF(AND(H406="U", P406&gt;=60%), "Pass",
IF(AND(H406="O", P406&gt;=75%), "Pass", "Fail")))</f>
        <v/>
      </c>
      <c r="R406" s="104" t="n"/>
      <c r="S406" s="104" t="n">
        <v>18</v>
      </c>
      <c r="T406" s="104" t="n">
        <v>15</v>
      </c>
      <c r="U406" s="104">
        <f>SUM(S406:T406)</f>
        <v/>
      </c>
      <c r="V406" s="12">
        <f>U406/IF(H406="L",35,IF(H406="U",35,IF(H406="O",35,IF(H406="I",35,""))))</f>
        <v/>
      </c>
      <c r="W406" s="132">
        <f>IF(AND(H406="L", V406&gt;=50%), "Pass",
IF(AND(H406="U", V406&gt;=60%), "Pass",
IF(AND(H406="O", V406&gt;=75%), "Pass", "Fail")))</f>
        <v/>
      </c>
      <c r="X406" s="132">
        <f>IF(AND(Q406="Pass", W406="Pass"), "Pass", "Fail")</f>
        <v/>
      </c>
      <c r="Y406" s="15">
        <f>IF($X406="Pass",$H406,
IF(H406="L","I",
IF(H406="U","L",
IF(H406="O","U",
"I"))))</f>
        <v/>
      </c>
    </row>
    <row r="407">
      <c r="A407" s="147">
        <f>ROW()-2</f>
        <v/>
      </c>
      <c r="B407" s="127" t="n">
        <v>900788</v>
      </c>
      <c r="C407" s="128" t="inlineStr">
        <is>
          <t>SANTOSH KUSHWAHA</t>
        </is>
      </c>
      <c r="D407" s="127" t="inlineStr">
        <is>
          <t>PRODUCTION</t>
        </is>
      </c>
      <c r="E407" s="129" t="inlineStr">
        <is>
          <t>TYRE BUILDING-P3</t>
        </is>
      </c>
      <c r="F407" s="130" t="n">
        <v>41821</v>
      </c>
      <c r="G407" s="131">
        <f>NOW()-F407</f>
        <v/>
      </c>
      <c r="H407" s="104" t="inlineStr">
        <is>
          <t>O</t>
        </is>
      </c>
      <c r="I407" s="104" t="inlineStr">
        <is>
          <t>O</t>
        </is>
      </c>
      <c r="J407" s="104" t="n">
        <v>10</v>
      </c>
      <c r="K407" s="104" t="n">
        <v>10</v>
      </c>
      <c r="L407" s="104" t="n">
        <v>5</v>
      </c>
      <c r="M407" s="104" t="n">
        <v>5</v>
      </c>
      <c r="N407" s="104" t="n"/>
      <c r="O407" s="104">
        <f>SUM(J407:N407)</f>
        <v/>
      </c>
      <c r="P407" s="12">
        <f>O407/IF(H407="L",20,IF(H407="U",30,IF(H407="O",40,IF(H407="I",20,""))))</f>
        <v/>
      </c>
      <c r="Q407" s="132">
        <f>IF(AND(H407="L", P407&gt;=50%), "Pass",
IF(AND(H407="U", P407&gt;=60%), "Pass",
IF(AND(H407="O", P407&gt;=75%), "Pass", "Fail")))</f>
        <v/>
      </c>
      <c r="R407" s="104" t="n"/>
      <c r="S407" s="43" t="n">
        <v>16</v>
      </c>
      <c r="T407" s="43" t="n">
        <v>15</v>
      </c>
      <c r="U407" s="104">
        <f>SUM(S407:T407)</f>
        <v/>
      </c>
      <c r="V407" s="12">
        <f>U407/IF(H407="L",35,IF(H407="U",35,IF(H407="O",35,IF(H407="I",35,""))))</f>
        <v/>
      </c>
      <c r="W407" s="132">
        <f>IF(AND(H407="L", V407&gt;=50%), "Pass",
IF(AND(H407="U", V407&gt;=60%), "Pass",
IF(AND(H407="O", V407&gt;=75%), "Pass", "Fail")))</f>
        <v/>
      </c>
      <c r="X407" s="132">
        <f>IF(AND(Q407="Pass", W407="Pass"), "Pass", "Fail")</f>
        <v/>
      </c>
      <c r="Y407" s="15">
        <f>IF($X407="Pass",$H407,
IF(H407="L","I",
IF(H407="U","L",
IF(H407="O","U",
"I"))))</f>
        <v/>
      </c>
    </row>
    <row r="408">
      <c r="A408" s="147">
        <f>ROW()-2</f>
        <v/>
      </c>
      <c r="B408" s="127" t="n">
        <v>900789</v>
      </c>
      <c r="C408" s="128" t="inlineStr">
        <is>
          <t>MARIAPPAN P</t>
        </is>
      </c>
      <c r="D408" s="127" t="inlineStr">
        <is>
          <t>PRODUCTION</t>
        </is>
      </c>
      <c r="E408" s="129" t="inlineStr">
        <is>
          <t>TYRE BUILDING-P1</t>
        </is>
      </c>
      <c r="F408" s="130" t="n">
        <v>41821</v>
      </c>
      <c r="G408" s="131">
        <f>NOW()-F408</f>
        <v/>
      </c>
      <c r="H408" s="104" t="inlineStr">
        <is>
          <t>O</t>
        </is>
      </c>
      <c r="I408" s="104" t="inlineStr">
        <is>
          <t>U</t>
        </is>
      </c>
      <c r="J408" s="104" t="n">
        <v>10</v>
      </c>
      <c r="K408" s="104" t="n">
        <v>10</v>
      </c>
      <c r="L408" s="104" t="n">
        <v>8</v>
      </c>
      <c r="M408" s="104" t="n">
        <v>9</v>
      </c>
      <c r="N408" s="104" t="n"/>
      <c r="O408" s="104">
        <f>SUM(J408:N408)</f>
        <v/>
      </c>
      <c r="P408" s="12">
        <f>O408/IF(H408="L",20,IF(H408="U",30,IF(H408="O",40,IF(H408="I",20,""))))</f>
        <v/>
      </c>
      <c r="Q408" s="132">
        <f>IF(AND(H408="L", P408&gt;=50%), "Pass",
IF(AND(H408="U", P408&gt;=60%), "Pass",
IF(AND(H408="O", P408&gt;=75%), "Pass", "Fail")))</f>
        <v/>
      </c>
      <c r="R408" s="104" t="n"/>
      <c r="S408" s="104" t="n">
        <v>12</v>
      </c>
      <c r="T408" s="104" t="n">
        <v>12</v>
      </c>
      <c r="U408" s="104">
        <f>SUM(S408:T408)</f>
        <v/>
      </c>
      <c r="V408" s="12">
        <f>U408/IF(H408="L",35,IF(H408="U",35,IF(H408="O",35,IF(H408="I",35,""))))</f>
        <v/>
      </c>
      <c r="W408" s="132">
        <f>IF(AND(H408="L", V408&gt;=50%), "Pass",
IF(AND(H408="U", V408&gt;=60%), "Pass",
IF(AND(H408="O", V408&gt;=75%), "Pass", "Fail")))</f>
        <v/>
      </c>
      <c r="X408" s="132">
        <f>IF(AND(Q408="Pass", W408="Pass"), "Pass", "Fail")</f>
        <v/>
      </c>
      <c r="Y408" s="15">
        <f>IF($X408="Pass",$H408,
IF(H408="L","I",
IF(H408="U","L",
IF(H408="O","U",
"I"))))</f>
        <v/>
      </c>
    </row>
    <row r="409">
      <c r="A409" s="147">
        <f>ROW()-2</f>
        <v/>
      </c>
      <c r="B409" s="127" t="n">
        <v>900790</v>
      </c>
      <c r="C409" s="128" t="inlineStr">
        <is>
          <t>PREM KUMAR K</t>
        </is>
      </c>
      <c r="D409" s="127" t="inlineStr">
        <is>
          <t>PRODUCTION</t>
        </is>
      </c>
      <c r="E409" s="129" t="inlineStr">
        <is>
          <t>TYRE BUILDING-P3</t>
        </is>
      </c>
      <c r="F409" s="130" t="n">
        <v>41821</v>
      </c>
      <c r="G409" s="131">
        <f>NOW()-F409</f>
        <v/>
      </c>
      <c r="H409" s="104" t="inlineStr">
        <is>
          <t>O</t>
        </is>
      </c>
      <c r="I409" s="104" t="inlineStr">
        <is>
          <t>O</t>
        </is>
      </c>
      <c r="J409" s="104" t="n">
        <v>10</v>
      </c>
      <c r="K409" s="104" t="n">
        <v>9</v>
      </c>
      <c r="L409" s="104" t="n">
        <v>8</v>
      </c>
      <c r="M409" s="104" t="n">
        <v>8</v>
      </c>
      <c r="N409" s="104" t="n"/>
      <c r="O409" s="104">
        <f>SUM(J409:N409)</f>
        <v/>
      </c>
      <c r="P409" s="12">
        <f>O409/IF(H409="L",20,IF(H409="U",30,IF(H409="O",40,IF(H409="I",20,""))))</f>
        <v/>
      </c>
      <c r="Q409" s="132">
        <f>IF(AND(H409="L", P409&gt;=50%), "Pass",
IF(AND(H409="U", P409&gt;=60%), "Pass",
IF(AND(H409="O", P409&gt;=75%), "Pass", "Fail")))</f>
        <v/>
      </c>
      <c r="R409" s="104" t="n"/>
      <c r="S409" s="104" t="n">
        <v>20</v>
      </c>
      <c r="T409" s="104" t="n">
        <v>15</v>
      </c>
      <c r="U409" s="104">
        <f>SUM(S409:T409)</f>
        <v/>
      </c>
      <c r="V409" s="12">
        <f>U409/IF(H409="L",35,IF(H409="U",35,IF(H409="O",35,IF(H409="I",35,""))))</f>
        <v/>
      </c>
      <c r="W409" s="132">
        <f>IF(AND(H409="L", V409&gt;=50%), "Pass",
IF(AND(H409="U", V409&gt;=60%), "Pass",
IF(AND(H409="O", V409&gt;=75%), "Pass", "Fail")))</f>
        <v/>
      </c>
      <c r="X409" s="132">
        <f>IF(AND(Q409="Pass", W409="Pass"), "Pass", "Fail")</f>
        <v/>
      </c>
      <c r="Y409" s="15">
        <f>IF($X409="Pass",$H409,
IF(H409="L","I",
IF(H409="U","L",
IF(H409="O","U",
"I"))))</f>
        <v/>
      </c>
    </row>
    <row r="410">
      <c r="A410" s="147">
        <f>ROW()-2</f>
        <v/>
      </c>
      <c r="B410" s="127" t="n">
        <v>900791</v>
      </c>
      <c r="C410" s="128" t="inlineStr">
        <is>
          <t>BALAKRISHNAN S</t>
        </is>
      </c>
      <c r="D410" s="127" t="inlineStr">
        <is>
          <t>PRODUCTION</t>
        </is>
      </c>
      <c r="E410" s="129" t="inlineStr">
        <is>
          <t>TYRE BUILDING-P2</t>
        </is>
      </c>
      <c r="F410" s="130" t="n">
        <v>41821</v>
      </c>
      <c r="G410" s="131">
        <f>NOW()-F410</f>
        <v/>
      </c>
      <c r="H410" s="104" t="inlineStr">
        <is>
          <t>O</t>
        </is>
      </c>
      <c r="I410" s="104" t="inlineStr">
        <is>
          <t>U</t>
        </is>
      </c>
      <c r="J410" s="104" t="n">
        <v>8</v>
      </c>
      <c r="K410" s="104" t="n">
        <v>9</v>
      </c>
      <c r="L410" s="104" t="n">
        <v>6</v>
      </c>
      <c r="M410" s="104" t="n">
        <v>7</v>
      </c>
      <c r="N410" s="104" t="n"/>
      <c r="O410" s="104">
        <f>SUM(J410:N410)</f>
        <v/>
      </c>
      <c r="P410" s="12">
        <f>O410/IF(H410="L",20,IF(H410="U",30,IF(H410="O",40,IF(H410="I",20,""))))</f>
        <v/>
      </c>
      <c r="Q410" s="132">
        <f>IF(AND(H410="L", P410&gt;=50%), "Pass",
IF(AND(H410="U", P410&gt;=60%), "Pass",
IF(AND(H410="O", P410&gt;=75%), "Pass", "Fail")))</f>
        <v/>
      </c>
      <c r="R410" s="104" t="n"/>
      <c r="S410" s="104" t="n">
        <v>14</v>
      </c>
      <c r="T410" s="104" t="n">
        <v>10</v>
      </c>
      <c r="U410" s="104">
        <f>SUM(S410:T410)</f>
        <v/>
      </c>
      <c r="V410" s="12">
        <f>U410/IF(H410="L",35,IF(H410="U",35,IF(H410="O",35,IF(H410="I",35,""))))</f>
        <v/>
      </c>
      <c r="W410" s="132">
        <f>IF(AND(H410="L", V410&gt;=50%), "Pass",
IF(AND(H410="U", V410&gt;=60%), "Pass",
IF(AND(H410="O", V410&gt;=75%), "Pass", "Fail")))</f>
        <v/>
      </c>
      <c r="X410" s="132">
        <f>IF(AND(Q410="Pass", W410="Pass"), "Pass", "Fail")</f>
        <v/>
      </c>
      <c r="Y410" s="15">
        <f>IF($X410="Pass",$H410,
IF(H410="L","I",
IF(H410="U","L",
IF(H410="O","U",
"I"))))</f>
        <v/>
      </c>
    </row>
    <row r="411">
      <c r="A411" s="147">
        <f>ROW()-2</f>
        <v/>
      </c>
      <c r="B411" s="127" t="n">
        <v>900792</v>
      </c>
      <c r="C411" s="128" t="inlineStr">
        <is>
          <t>KALAN KARAYAN  M</t>
        </is>
      </c>
      <c r="D411" s="127" t="inlineStr">
        <is>
          <t>PRODUCTION</t>
        </is>
      </c>
      <c r="E411" s="129" t="inlineStr">
        <is>
          <t>TYRE BUILDING-P1</t>
        </is>
      </c>
      <c r="F411" s="130" t="n">
        <v>41821</v>
      </c>
      <c r="G411" s="131">
        <f>NOW()-F411</f>
        <v/>
      </c>
      <c r="H411" s="104" t="inlineStr">
        <is>
          <t>O</t>
        </is>
      </c>
      <c r="I411" s="104" t="inlineStr">
        <is>
          <t>O</t>
        </is>
      </c>
      <c r="J411" s="104" t="n">
        <v>10</v>
      </c>
      <c r="K411" s="104" t="n">
        <v>10</v>
      </c>
      <c r="L411" s="104" t="n">
        <v>7</v>
      </c>
      <c r="M411" s="104" t="n">
        <v>9</v>
      </c>
      <c r="N411" s="104" t="n"/>
      <c r="O411" s="104">
        <f>SUM(J411:N411)</f>
        <v/>
      </c>
      <c r="P411" s="12">
        <f>O411/IF(H411="L",20,IF(H411="U",30,IF(H411="O",40,IF(H411="I",20,""))))</f>
        <v/>
      </c>
      <c r="Q411" s="132">
        <f>IF(AND(H411="L", P411&gt;=50%), "Pass",
IF(AND(H411="U", P411&gt;=60%), "Pass",
IF(AND(H411="O", P411&gt;=75%), "Pass", "Fail")))</f>
        <v/>
      </c>
      <c r="R411" s="104" t="n"/>
      <c r="S411" s="104" t="n">
        <v>16</v>
      </c>
      <c r="T411" s="104" t="n">
        <v>15</v>
      </c>
      <c r="U411" s="104">
        <f>SUM(S411:T411)</f>
        <v/>
      </c>
      <c r="V411" s="12">
        <f>U411/IF(H411="L",35,IF(H411="U",35,IF(H411="O",35,IF(H411="I",35,""))))</f>
        <v/>
      </c>
      <c r="W411" s="132">
        <f>IF(AND(H411="L", V411&gt;=50%), "Pass",
IF(AND(H411="U", V411&gt;=60%), "Pass",
IF(AND(H411="O", V411&gt;=75%), "Pass", "Fail")))</f>
        <v/>
      </c>
      <c r="X411" s="132">
        <f>IF(AND(Q411="Pass", W411="Pass"), "Pass", "Fail")</f>
        <v/>
      </c>
      <c r="Y411" s="15">
        <f>IF($X411="Pass",$H411,
IF(H411="L","I",
IF(H411="U","L",
IF(H411="O","U",
"I"))))</f>
        <v/>
      </c>
      <c r="Z411" s="82" t="n"/>
    </row>
    <row r="412">
      <c r="A412" s="147">
        <f>ROW()-2</f>
        <v/>
      </c>
      <c r="B412" s="127" t="n">
        <v>900793</v>
      </c>
      <c r="C412" s="128" t="inlineStr">
        <is>
          <t>ANAND U</t>
        </is>
      </c>
      <c r="D412" s="127" t="inlineStr">
        <is>
          <t>PRODUCTION</t>
        </is>
      </c>
      <c r="E412" s="129" t="inlineStr">
        <is>
          <t>TYRE BUILDING-P2</t>
        </is>
      </c>
      <c r="F412" s="130" t="n">
        <v>41821</v>
      </c>
      <c r="G412" s="131">
        <f>NOW()-F412</f>
        <v/>
      </c>
      <c r="H412" s="104" t="inlineStr">
        <is>
          <t>O</t>
        </is>
      </c>
      <c r="I412" s="104" t="inlineStr">
        <is>
          <t>O</t>
        </is>
      </c>
      <c r="J412" s="104" t="n">
        <v>10</v>
      </c>
      <c r="K412" s="104" t="n">
        <v>9</v>
      </c>
      <c r="L412" s="104" t="n">
        <v>8</v>
      </c>
      <c r="M412" s="104" t="n">
        <v>10</v>
      </c>
      <c r="N412" s="104" t="n"/>
      <c r="O412" s="104">
        <f>SUM(J412:N412)</f>
        <v/>
      </c>
      <c r="P412" s="12">
        <f>O412/IF(H412="L",20,IF(H412="U",30,IF(H412="O",40,IF(H412="I",20,""))))</f>
        <v/>
      </c>
      <c r="Q412" s="132">
        <f>IF(AND(H412="L", P412&gt;=50%), "Pass",
IF(AND(H412="U", P412&gt;=60%), "Pass",
IF(AND(H412="O", P412&gt;=75%), "Pass", "Fail")))</f>
        <v/>
      </c>
      <c r="R412" s="104" t="n"/>
      <c r="S412" s="104" t="n">
        <v>15</v>
      </c>
      <c r="T412" s="104" t="n">
        <v>12</v>
      </c>
      <c r="U412" s="104">
        <f>SUM(S412:T412)</f>
        <v/>
      </c>
      <c r="V412" s="12">
        <f>U412/IF(H412="L",35,IF(H412="U",35,IF(H412="O",35,IF(H412="I",35,""))))</f>
        <v/>
      </c>
      <c r="W412" s="132">
        <f>IF(AND(H412="L", V412&gt;=50%), "Pass",
IF(AND(H412="U", V412&gt;=60%), "Pass",
IF(AND(H412="O", V412&gt;=75%), "Pass", "Fail")))</f>
        <v/>
      </c>
      <c r="X412" s="132">
        <f>IF(AND(Q412="Pass", W412="Pass"), "Pass", "Fail")</f>
        <v/>
      </c>
      <c r="Y412" s="15">
        <f>IF($X412="Pass",$H412,
IF(H412="L","I",
IF(H412="U","L",
IF(H412="O","U",
"I"))))</f>
        <v/>
      </c>
    </row>
    <row r="413">
      <c r="A413" s="147">
        <f>ROW()-2</f>
        <v/>
      </c>
      <c r="B413" s="127" t="n">
        <v>900794</v>
      </c>
      <c r="C413" s="128" t="inlineStr">
        <is>
          <t>BALASUBRAMANIAN K</t>
        </is>
      </c>
      <c r="D413" s="127" t="inlineStr">
        <is>
          <t>PRODUCTION</t>
        </is>
      </c>
      <c r="E413" s="129" t="inlineStr">
        <is>
          <t>TYRE BUILDING-P1</t>
        </is>
      </c>
      <c r="F413" s="130" t="n">
        <v>41821</v>
      </c>
      <c r="G413" s="131">
        <f>NOW()-F413</f>
        <v/>
      </c>
      <c r="H413" s="104" t="inlineStr">
        <is>
          <t>O</t>
        </is>
      </c>
      <c r="I413" s="104" t="inlineStr">
        <is>
          <t>O</t>
        </is>
      </c>
      <c r="J413" s="104" t="n">
        <v>9</v>
      </c>
      <c r="K413" s="104" t="n">
        <v>10</v>
      </c>
      <c r="L413" s="104" t="n">
        <v>8</v>
      </c>
      <c r="M413" s="104" t="n">
        <v>9</v>
      </c>
      <c r="N413" s="104" t="n"/>
      <c r="O413" s="104">
        <f>SUM(J413:N413)</f>
        <v/>
      </c>
      <c r="P413" s="12">
        <f>O413/IF(H413="L",20,IF(H413="U",30,IF(H413="O",40,IF(H413="I",20,""))))</f>
        <v/>
      </c>
      <c r="Q413" s="132">
        <f>IF(AND(H413="L", P413&gt;=50%), "Pass",
IF(AND(H413="U", P413&gt;=60%), "Pass",
IF(AND(H413="O", P413&gt;=75%), "Pass", "Fail")))</f>
        <v/>
      </c>
      <c r="R413" s="104" t="n"/>
      <c r="S413" s="104" t="n">
        <v>16</v>
      </c>
      <c r="T413" s="104" t="n">
        <v>15</v>
      </c>
      <c r="U413" s="104">
        <f>SUM(S413:T413)</f>
        <v/>
      </c>
      <c r="V413" s="12">
        <f>U413/IF(H413="L",35,IF(H413="U",35,IF(H413="O",35,IF(H413="I",35,""))))</f>
        <v/>
      </c>
      <c r="W413" s="132">
        <f>IF(AND(H413="L", V413&gt;=50%), "Pass",
IF(AND(H413="U", V413&gt;=60%), "Pass",
IF(AND(H413="O", V413&gt;=75%), "Pass", "Fail")))</f>
        <v/>
      </c>
      <c r="X413" s="132">
        <f>IF(AND(Q413="Pass", W413="Pass"), "Pass", "Fail")</f>
        <v/>
      </c>
      <c r="Y413" s="15">
        <f>IF($X413="Pass",$H413,
IF(H413="L","I",
IF(H413="U","L",
IF(H413="O","U",
"I"))))</f>
        <v/>
      </c>
    </row>
    <row r="414">
      <c r="A414" s="147">
        <f>ROW()-2</f>
        <v/>
      </c>
      <c r="B414" s="127" t="n">
        <v>900795</v>
      </c>
      <c r="C414" s="128" t="inlineStr">
        <is>
          <t>SHANMUGANATHAN P</t>
        </is>
      </c>
      <c r="D414" s="127" t="inlineStr">
        <is>
          <t>PRODUCTION</t>
        </is>
      </c>
      <c r="E414" s="129" t="inlineStr">
        <is>
          <t>TYRE BUILDING-P1</t>
        </is>
      </c>
      <c r="F414" s="130" t="n">
        <v>41821</v>
      </c>
      <c r="G414" s="131">
        <f>NOW()-F414</f>
        <v/>
      </c>
      <c r="H414" s="104" t="inlineStr">
        <is>
          <t>O</t>
        </is>
      </c>
      <c r="I414" s="104" t="inlineStr">
        <is>
          <t>O</t>
        </is>
      </c>
      <c r="J414" s="104" t="n">
        <v>7</v>
      </c>
      <c r="K414" s="104" t="n">
        <v>10</v>
      </c>
      <c r="L414" s="104" t="n">
        <v>8</v>
      </c>
      <c r="M414" s="104" t="n">
        <v>8</v>
      </c>
      <c r="N414" s="104" t="n"/>
      <c r="O414" s="104">
        <f>SUM(J414:N414)</f>
        <v/>
      </c>
      <c r="P414" s="12">
        <f>O414/IF(H414="L",20,IF(H414="U",30,IF(H414="O",40,IF(H414="I",20,""))))</f>
        <v/>
      </c>
      <c r="Q414" s="132">
        <f>IF(AND(H414="L", P414&gt;=50%), "Pass",
IF(AND(H414="U", P414&gt;=60%), "Pass",
IF(AND(H414="O", P414&gt;=75%), "Pass", "Fail")))</f>
        <v/>
      </c>
      <c r="R414" s="104" t="n"/>
      <c r="S414" s="104" t="n">
        <v>16</v>
      </c>
      <c r="T414" s="104" t="n">
        <v>15</v>
      </c>
      <c r="U414" s="104">
        <f>SUM(S414:T414)</f>
        <v/>
      </c>
      <c r="V414" s="12">
        <f>U414/IF(H414="L",35,IF(H414="U",35,IF(H414="O",35,IF(H414="I",35,""))))</f>
        <v/>
      </c>
      <c r="W414" s="132">
        <f>IF(AND(H414="L", V414&gt;=50%), "Pass",
IF(AND(H414="U", V414&gt;=60%), "Pass",
IF(AND(H414="O", V414&gt;=75%), "Pass", "Fail")))</f>
        <v/>
      </c>
      <c r="X414" s="132">
        <f>IF(AND(Q414="Pass", W414="Pass"), "Pass", "Fail")</f>
        <v/>
      </c>
      <c r="Y414" s="15">
        <f>IF($X414="Pass",$H414,
IF(H414="L","I",
IF(H414="U","L",
IF(H414="O","U",
"I"))))</f>
        <v/>
      </c>
    </row>
    <row r="415">
      <c r="A415" s="147">
        <f>ROW()-2</f>
        <v/>
      </c>
      <c r="B415" s="127" t="n">
        <v>900796</v>
      </c>
      <c r="C415" s="128" t="inlineStr">
        <is>
          <t>DINESH YADAV</t>
        </is>
      </c>
      <c r="D415" s="127" t="inlineStr">
        <is>
          <t>PRODUCTION</t>
        </is>
      </c>
      <c r="E415" s="129" t="inlineStr">
        <is>
          <t>TYRE BUILDING-P2</t>
        </is>
      </c>
      <c r="F415" s="130" t="n">
        <v>41821</v>
      </c>
      <c r="G415" s="131">
        <f>NOW()-F415</f>
        <v/>
      </c>
      <c r="H415" s="104" t="inlineStr">
        <is>
          <t>O</t>
        </is>
      </c>
      <c r="I415" s="104" t="inlineStr">
        <is>
          <t>O</t>
        </is>
      </c>
      <c r="J415" s="104" t="n">
        <v>8</v>
      </c>
      <c r="K415" s="104" t="n">
        <v>9</v>
      </c>
      <c r="L415" s="104" t="n">
        <v>8</v>
      </c>
      <c r="M415" s="104" t="n">
        <v>8</v>
      </c>
      <c r="N415" s="104" t="n"/>
      <c r="O415" s="104">
        <f>SUM(J415:N415)</f>
        <v/>
      </c>
      <c r="P415" s="12">
        <f>O415/IF(H415="L",20,IF(H415="U",30,IF(H415="O",40,IF(H415="I",20,""))))</f>
        <v/>
      </c>
      <c r="Q415" s="132">
        <f>IF(AND(H415="L", P415&gt;=50%), "Pass",
IF(AND(H415="U", P415&gt;=60%), "Pass",
IF(AND(H415="O", P415&gt;=75%), "Pass", "Fail")))</f>
        <v/>
      </c>
      <c r="R415" s="104" t="n"/>
      <c r="S415" s="104" t="n">
        <v>15</v>
      </c>
      <c r="T415" s="104" t="n">
        <v>12</v>
      </c>
      <c r="U415" s="104">
        <f>SUM(S415:T415)</f>
        <v/>
      </c>
      <c r="V415" s="12">
        <f>U415/IF(H415="L",35,IF(H415="U",35,IF(H415="O",35,IF(H415="I",35,""))))</f>
        <v/>
      </c>
      <c r="W415" s="132">
        <f>IF(AND(H415="L", V415&gt;=50%), "Pass",
IF(AND(H415="U", V415&gt;=60%), "Pass",
IF(AND(H415="O", V415&gt;=75%), "Pass", "Fail")))</f>
        <v/>
      </c>
      <c r="X415" s="132">
        <f>IF(AND(Q415="Pass", W415="Pass"), "Pass", "Fail")</f>
        <v/>
      </c>
      <c r="Y415" s="15">
        <f>IF($X415="Pass",$H415,
IF(H415="L","I",
IF(H415="U","L",
IF(H415="O","U",
"I"))))</f>
        <v/>
      </c>
      <c r="Z415" s="81">
        <f>V415-75%</f>
        <v/>
      </c>
    </row>
    <row r="416">
      <c r="A416" s="147">
        <f>ROW()-2</f>
        <v/>
      </c>
      <c r="B416" s="127" t="n">
        <v>900797</v>
      </c>
      <c r="C416" s="128" t="inlineStr">
        <is>
          <t>SUJEET YADAV</t>
        </is>
      </c>
      <c r="D416" s="127" t="inlineStr">
        <is>
          <t>PRODUCTION</t>
        </is>
      </c>
      <c r="E416" s="129" t="inlineStr">
        <is>
          <t>TYRE BUILDING-P2</t>
        </is>
      </c>
      <c r="F416" s="130" t="n">
        <v>41821</v>
      </c>
      <c r="G416" s="131">
        <f>NOW()-F416</f>
        <v/>
      </c>
      <c r="H416" s="104" t="inlineStr">
        <is>
          <t>O</t>
        </is>
      </c>
      <c r="I416" s="104" t="inlineStr">
        <is>
          <t>U</t>
        </is>
      </c>
      <c r="J416" s="104" t="n">
        <v>8</v>
      </c>
      <c r="K416" s="104" t="n">
        <v>10</v>
      </c>
      <c r="L416" s="104" t="n">
        <v>7</v>
      </c>
      <c r="M416" s="104" t="n">
        <v>6</v>
      </c>
      <c r="N416" s="104" t="n"/>
      <c r="O416" s="104">
        <f>SUM(J416:N416)</f>
        <v/>
      </c>
      <c r="P416" s="12">
        <f>O416/IF(H416="L",20,IF(H416="U",30,IF(H416="O",40,IF(H416="I",20,""))))</f>
        <v/>
      </c>
      <c r="Q416" s="132">
        <f>IF(AND(H416="L", P416&gt;=50%), "Pass",
IF(AND(H416="U", P416&gt;=60%), "Pass",
IF(AND(H416="O", P416&gt;=75%), "Pass", "Fail")))</f>
        <v/>
      </c>
      <c r="R416" s="104" t="n"/>
      <c r="S416" s="104" t="n">
        <v>15</v>
      </c>
      <c r="T416" s="104" t="n">
        <v>10</v>
      </c>
      <c r="U416" s="104">
        <f>SUM(S416:T416)</f>
        <v/>
      </c>
      <c r="V416" s="12">
        <f>U416/IF(H416="L",35,IF(H416="U",35,IF(H416="O",35,IF(H416="I",35,""))))</f>
        <v/>
      </c>
      <c r="W416" s="132">
        <f>IF(AND(H416="L", V416&gt;=50%), "Pass",
IF(AND(H416="U", V416&gt;=60%), "Pass",
IF(AND(H416="O", V416&gt;=75%), "Pass", "Fail")))</f>
        <v/>
      </c>
      <c r="X416" s="132">
        <f>IF(AND(Q416="Pass", W416="Pass"), "Pass", "Fail")</f>
        <v/>
      </c>
      <c r="Y416" s="15">
        <f>IF($X416="Pass",$H416,
IF(H416="L","I",
IF(H416="U","L",
IF(H416="O","U",
"I"))))</f>
        <v/>
      </c>
    </row>
    <row r="417">
      <c r="A417" s="147">
        <f>ROW()-2</f>
        <v/>
      </c>
      <c r="B417" s="127" t="n">
        <v>900798</v>
      </c>
      <c r="C417" s="128" t="inlineStr">
        <is>
          <t xml:space="preserve">SRI BAGAWAN SHARMA </t>
        </is>
      </c>
      <c r="D417" s="127" t="inlineStr">
        <is>
          <t>PRODUCTION</t>
        </is>
      </c>
      <c r="E417" s="129" t="inlineStr">
        <is>
          <t>TYRE BUILDING-P3</t>
        </is>
      </c>
      <c r="F417" s="130" t="n">
        <v>41821</v>
      </c>
      <c r="G417" s="131">
        <f>NOW()-F417</f>
        <v/>
      </c>
      <c r="H417" s="104" t="inlineStr">
        <is>
          <t>O</t>
        </is>
      </c>
      <c r="I417" s="104" t="inlineStr">
        <is>
          <t>O</t>
        </is>
      </c>
      <c r="J417" s="104" t="n">
        <v>10</v>
      </c>
      <c r="K417" s="104" t="n">
        <v>9</v>
      </c>
      <c r="L417" s="104" t="n">
        <v>8</v>
      </c>
      <c r="M417" s="104" t="n">
        <v>9</v>
      </c>
      <c r="N417" s="104" t="n"/>
      <c r="O417" s="104">
        <f>SUM(J417:N417)</f>
        <v/>
      </c>
      <c r="P417" s="12">
        <f>O417/IF(H417="L",20,IF(H417="U",30,IF(H417="O",40,IF(H417="I",20,""))))</f>
        <v/>
      </c>
      <c r="Q417" s="132">
        <f>IF(AND(H417="L", P417&gt;=50%), "Pass",
IF(AND(H417="U", P417&gt;=60%), "Pass",
IF(AND(H417="O", P417&gt;=75%), "Pass", "Fail")))</f>
        <v/>
      </c>
      <c r="R417" s="104" t="n"/>
      <c r="S417" s="104" t="n">
        <v>19</v>
      </c>
      <c r="T417" s="104" t="n">
        <v>13</v>
      </c>
      <c r="U417" s="104">
        <f>SUM(S417:T417)</f>
        <v/>
      </c>
      <c r="V417" s="12">
        <f>U417/IF(H417="L",35,IF(H417="U",35,IF(H417="O",35,IF(H417="I",35,""))))</f>
        <v/>
      </c>
      <c r="W417" s="132">
        <f>IF(AND(H417="L", V417&gt;=50%), "Pass",
IF(AND(H417="U", V417&gt;=60%), "Pass",
IF(AND(H417="O", V417&gt;=75%), "Pass", "Fail")))</f>
        <v/>
      </c>
      <c r="X417" s="132">
        <f>IF(AND(Q417="Pass", W417="Pass"), "Pass", "Fail")</f>
        <v/>
      </c>
      <c r="Y417" s="15">
        <f>IF($X417="Pass",$H417,
IF(H417="L","I",
IF(H417="U","L",
IF(H417="O","U",
"I"))))</f>
        <v/>
      </c>
    </row>
    <row r="418">
      <c r="A418" s="147">
        <f>ROW()-2</f>
        <v/>
      </c>
      <c r="B418" s="127" t="n">
        <v>900799</v>
      </c>
      <c r="C418" s="128" t="inlineStr">
        <is>
          <t xml:space="preserve">BALWANT YADAV </t>
        </is>
      </c>
      <c r="D418" s="127" t="inlineStr">
        <is>
          <t>PRODUCTION</t>
        </is>
      </c>
      <c r="E418" s="129" t="inlineStr">
        <is>
          <t>TYRE BUILDING-P3</t>
        </is>
      </c>
      <c r="F418" s="130" t="n">
        <v>41821</v>
      </c>
      <c r="G418" s="131">
        <f>NOW()-F418</f>
        <v/>
      </c>
      <c r="H418" s="104" t="inlineStr">
        <is>
          <t>O</t>
        </is>
      </c>
      <c r="I418" s="104" t="inlineStr">
        <is>
          <t>O</t>
        </is>
      </c>
      <c r="J418" s="104" t="n">
        <v>8</v>
      </c>
      <c r="K418" s="104" t="n">
        <v>9</v>
      </c>
      <c r="L418" s="104" t="n">
        <v>6</v>
      </c>
      <c r="M418" s="104" t="n">
        <v>9</v>
      </c>
      <c r="N418" s="104" t="n"/>
      <c r="O418" s="104">
        <f>SUM(J418:N418)</f>
        <v/>
      </c>
      <c r="P418" s="12">
        <f>O418/IF(H418="L",20,IF(H418="U",30,IF(H418="O",40,IF(H418="I",20,""))))</f>
        <v/>
      </c>
      <c r="Q418" s="132">
        <f>IF(AND(H418="L", P418&gt;=50%), "Pass",
IF(AND(H418="U", P418&gt;=60%), "Pass",
IF(AND(H418="O", P418&gt;=75%), "Pass", "Fail")))</f>
        <v/>
      </c>
      <c r="R418" s="104" t="n"/>
      <c r="S418" s="104" t="n">
        <v>18</v>
      </c>
      <c r="T418" s="104" t="n">
        <v>14</v>
      </c>
      <c r="U418" s="104">
        <f>SUM(S418:T418)</f>
        <v/>
      </c>
      <c r="V418" s="12">
        <f>U418/IF(H418="L",35,IF(H418="U",35,IF(H418="O",35,IF(H418="I",35,""))))</f>
        <v/>
      </c>
      <c r="W418" s="132">
        <f>IF(AND(H418="L", V418&gt;=50%), "Pass",
IF(AND(H418="U", V418&gt;=60%), "Pass",
IF(AND(H418="O", V418&gt;=75%), "Pass", "Fail")))</f>
        <v/>
      </c>
      <c r="X418" s="132">
        <f>IF(AND(Q418="Pass", W418="Pass"), "Pass", "Fail")</f>
        <v/>
      </c>
      <c r="Y418" s="15">
        <f>IF($X418="Pass",$H418,
IF(H418="L","I",
IF(H418="U","L",
IF(H418="O","U",
"I"))))</f>
        <v/>
      </c>
    </row>
    <row r="419">
      <c r="A419" s="147">
        <f>ROW()-2</f>
        <v/>
      </c>
      <c r="B419" s="127" t="n">
        <v>900800</v>
      </c>
      <c r="C419" s="128" t="inlineStr">
        <is>
          <t>MUTHU GANESH A</t>
        </is>
      </c>
      <c r="D419" s="127" t="inlineStr">
        <is>
          <t>PRODUCTION</t>
        </is>
      </c>
      <c r="E419" s="129" t="inlineStr">
        <is>
          <t>TYRE BUILDING-P2</t>
        </is>
      </c>
      <c r="F419" s="130" t="n">
        <v>41821</v>
      </c>
      <c r="G419" s="131">
        <f>NOW()-F419</f>
        <v/>
      </c>
      <c r="H419" s="104" t="inlineStr">
        <is>
          <t>O</t>
        </is>
      </c>
      <c r="I419" s="104" t="inlineStr">
        <is>
          <t>O</t>
        </is>
      </c>
      <c r="J419" s="104" t="n">
        <v>10</v>
      </c>
      <c r="K419" s="104" t="n">
        <v>10</v>
      </c>
      <c r="L419" s="104" t="n">
        <v>8</v>
      </c>
      <c r="M419" s="104" t="n">
        <v>8</v>
      </c>
      <c r="N419" s="104" t="n"/>
      <c r="O419" s="104">
        <f>SUM(J419:N419)</f>
        <v/>
      </c>
      <c r="P419" s="12">
        <f>O419/IF(H419="L",20,IF(H419="U",30,IF(H419="O",40,IF(H419="I",20,""))))</f>
        <v/>
      </c>
      <c r="Q419" s="132">
        <f>IF(AND(H419="L", P419&gt;=50%), "Pass",
IF(AND(H419="U", P419&gt;=60%), "Pass",
IF(AND(H419="O", P419&gt;=75%), "Pass", "Fail")))</f>
        <v/>
      </c>
      <c r="R419" s="104" t="n"/>
      <c r="S419" s="104" t="n">
        <v>14</v>
      </c>
      <c r="T419" s="104" t="n">
        <v>11</v>
      </c>
      <c r="U419" s="104">
        <f>SUM(S419:T419)</f>
        <v/>
      </c>
      <c r="V419" s="12">
        <f>U419/IF(H419="L",35,IF(H419="U",35,IF(H419="O",35,IF(H419="I",35,""))))</f>
        <v/>
      </c>
      <c r="W419" s="132">
        <f>IF(AND(H419="L", V419&gt;=50%), "Pass",
IF(AND(H419="U", V419&gt;=60%), "Pass",
IF(AND(H419="O", V419&gt;=75%), "Pass", "Fail")))</f>
        <v/>
      </c>
      <c r="X419" s="132">
        <f>IF(AND(Q419="Pass", W419="Pass"), "Pass", "Fail")</f>
        <v/>
      </c>
      <c r="Y419" s="15">
        <f>IF($X419="Pass",$H419,
IF(H419="L","I",
IF(H419="U","L",
IF(H419="O","U",
"I"))))</f>
        <v/>
      </c>
    </row>
    <row r="420">
      <c r="A420" s="147">
        <f>ROW()-2</f>
        <v/>
      </c>
      <c r="B420" s="127" t="n">
        <v>900801</v>
      </c>
      <c r="C420" s="128" t="inlineStr">
        <is>
          <t>SRI RAM PERUMAL K</t>
        </is>
      </c>
      <c r="D420" s="127" t="inlineStr">
        <is>
          <t>PRODUCTION</t>
        </is>
      </c>
      <c r="E420" s="129" t="inlineStr">
        <is>
          <t>TYRE BUILDING-P2</t>
        </is>
      </c>
      <c r="F420" s="130" t="n">
        <v>41821</v>
      </c>
      <c r="G420" s="131">
        <f>NOW()-F420</f>
        <v/>
      </c>
      <c r="H420" s="104" t="inlineStr">
        <is>
          <t>O</t>
        </is>
      </c>
      <c r="I420" s="104" t="inlineStr">
        <is>
          <t>O</t>
        </is>
      </c>
      <c r="J420" s="104" t="n">
        <v>10</v>
      </c>
      <c r="K420" s="104" t="n">
        <v>10</v>
      </c>
      <c r="L420" s="104" t="n">
        <v>8</v>
      </c>
      <c r="M420" s="104" t="n">
        <v>10</v>
      </c>
      <c r="N420" s="104" t="n"/>
      <c r="O420" s="104">
        <f>SUM(J420:N420)</f>
        <v/>
      </c>
      <c r="P420" s="12">
        <f>O420/IF(H420="L",20,IF(H420="U",30,IF(H420="O",40,IF(H420="I",20,""))))</f>
        <v/>
      </c>
      <c r="Q420" s="132">
        <f>IF(AND(H420="L", P420&gt;=50%), "Pass",
IF(AND(H420="U", P420&gt;=60%), "Pass",
IF(AND(H420="O", P420&gt;=75%), "Pass", "Fail")))</f>
        <v/>
      </c>
      <c r="R420" s="104" t="n"/>
      <c r="S420" s="104" t="n">
        <v>14</v>
      </c>
      <c r="T420" s="104" t="n">
        <v>11</v>
      </c>
      <c r="U420" s="104">
        <f>SUM(S420:T420)</f>
        <v/>
      </c>
      <c r="V420" s="12">
        <f>U420/IF(H420="L",35,IF(H420="U",35,IF(H420="O",35,IF(H420="I",35,""))))</f>
        <v/>
      </c>
      <c r="W420" s="132">
        <f>IF(AND(H420="L", V420&gt;=50%), "Pass",
IF(AND(H420="U", V420&gt;=60%), "Pass",
IF(AND(H420="O", V420&gt;=75%), "Pass", "Fail")))</f>
        <v/>
      </c>
      <c r="X420" s="132">
        <f>IF(AND(Q420="Pass", W420="Pass"), "Pass", "Fail")</f>
        <v/>
      </c>
      <c r="Y420" s="15">
        <f>IF($X420="Pass",$H420,
IF(H420="L","I",
IF(H420="U","L",
IF(H420="O","U",
"I"))))</f>
        <v/>
      </c>
    </row>
    <row r="421">
      <c r="A421" s="147">
        <f>ROW()-2</f>
        <v/>
      </c>
      <c r="B421" s="127" t="n">
        <v>900803</v>
      </c>
      <c r="C421" s="128" t="inlineStr">
        <is>
          <t>SUBRAMANIAN M</t>
        </is>
      </c>
      <c r="D421" s="127" t="inlineStr">
        <is>
          <t>PRODUCTION</t>
        </is>
      </c>
      <c r="E421" s="129" t="inlineStr">
        <is>
          <t>TYRE BUILDING-P1</t>
        </is>
      </c>
      <c r="F421" s="130" t="n">
        <v>41821</v>
      </c>
      <c r="G421" s="131">
        <f>NOW()-F421</f>
        <v/>
      </c>
      <c r="H421" s="104" t="inlineStr">
        <is>
          <t>O</t>
        </is>
      </c>
      <c r="I421" s="104" t="inlineStr">
        <is>
          <t>U</t>
        </is>
      </c>
      <c r="J421" s="104" t="n">
        <v>7</v>
      </c>
      <c r="K421" s="104" t="n">
        <v>9</v>
      </c>
      <c r="L421" s="104" t="n">
        <v>8</v>
      </c>
      <c r="M421" s="104" t="n">
        <v>8</v>
      </c>
      <c r="N421" s="104" t="n"/>
      <c r="O421" s="104">
        <f>SUM(J421:N421)</f>
        <v/>
      </c>
      <c r="P421" s="12">
        <f>O421/IF(H421="L",20,IF(H421="U",30,IF(H421="O",40,IF(H421="I",20,""))))</f>
        <v/>
      </c>
      <c r="Q421" s="132">
        <f>IF(AND(H421="L", P421&gt;=50%), "Pass",
IF(AND(H421="U", P421&gt;=60%), "Pass",
IF(AND(H421="O", P421&gt;=75%), "Pass", "Fail")))</f>
        <v/>
      </c>
      <c r="R421" s="104" t="n"/>
      <c r="S421" s="104" t="n">
        <v>13</v>
      </c>
      <c r="T421" s="104" t="n">
        <v>15</v>
      </c>
      <c r="U421" s="104">
        <f>SUM(S421:T421)</f>
        <v/>
      </c>
      <c r="V421" s="12">
        <f>U421/IF(H421="L",35,IF(H421="U",35,IF(H421="O",35,IF(H421="I",35,""))))</f>
        <v/>
      </c>
      <c r="W421" s="132">
        <f>IF(AND(H421="L", V421&gt;=50%), "Pass",
IF(AND(H421="U", V421&gt;=60%), "Pass",
IF(AND(H421="O", V421&gt;=75%), "Pass", "Fail")))</f>
        <v/>
      </c>
      <c r="X421" s="132">
        <f>IF(AND(Q421="Pass", W421="Pass"), "Pass", "Fail")</f>
        <v/>
      </c>
      <c r="Y421" s="15">
        <f>IF($X421="Pass",$H421,
IF(H421="L","I",
IF(H421="U","L",
IF(H421="O","U",
"I"))))</f>
        <v/>
      </c>
    </row>
    <row r="422">
      <c r="A422" s="147">
        <f>ROW()-2</f>
        <v/>
      </c>
      <c r="B422" s="127" t="n">
        <v>900804</v>
      </c>
      <c r="C422" s="128" t="inlineStr">
        <is>
          <t xml:space="preserve">DURGAPRASAD </t>
        </is>
      </c>
      <c r="D422" s="127" t="inlineStr">
        <is>
          <t>PRODUCTION</t>
        </is>
      </c>
      <c r="E422" s="129" t="inlineStr">
        <is>
          <t>TYRE BUILDING-P2</t>
        </is>
      </c>
      <c r="F422" s="130" t="n">
        <v>41821</v>
      </c>
      <c r="G422" s="131">
        <f>NOW()-F422</f>
        <v/>
      </c>
      <c r="H422" s="104" t="inlineStr">
        <is>
          <t>O</t>
        </is>
      </c>
      <c r="I422" s="104" t="inlineStr">
        <is>
          <t>O</t>
        </is>
      </c>
      <c r="J422" s="104" t="n">
        <v>9</v>
      </c>
      <c r="K422" s="104" t="n">
        <v>9</v>
      </c>
      <c r="L422" s="104" t="n">
        <v>7</v>
      </c>
      <c r="M422" s="104" t="n">
        <v>7</v>
      </c>
      <c r="N422" s="104" t="n"/>
      <c r="O422" s="104">
        <f>SUM(J422:N422)</f>
        <v/>
      </c>
      <c r="P422" s="12">
        <f>O422/IF(H422="L",20,IF(H422="U",30,IF(H422="O",40,IF(H422="I",20,""))))</f>
        <v/>
      </c>
      <c r="Q422" s="132">
        <f>IF(AND(H422="L", P422&gt;=50%), "Pass",
IF(AND(H422="U", P422&gt;=60%), "Pass",
IF(AND(H422="O", P422&gt;=75%), "Pass", "Fail")))</f>
        <v/>
      </c>
      <c r="R422" s="104" t="n"/>
      <c r="S422" s="104" t="n">
        <v>12</v>
      </c>
      <c r="T422" s="104" t="n">
        <v>11</v>
      </c>
      <c r="U422" s="104">
        <f>SUM(S422:T422)</f>
        <v/>
      </c>
      <c r="V422" s="12">
        <f>U422/IF(H422="L",35,IF(H422="U",35,IF(H422="O",35,IF(H422="I",35,""))))</f>
        <v/>
      </c>
      <c r="W422" s="132">
        <f>IF(AND(H422="L", V422&gt;=50%), "Pass",
IF(AND(H422="U", V422&gt;=60%), "Pass",
IF(AND(H422="O", V422&gt;=75%), "Pass", "Fail")))</f>
        <v/>
      </c>
      <c r="X422" s="132">
        <f>IF(AND(Q422="Pass", W422="Pass"), "Pass", "Fail")</f>
        <v/>
      </c>
      <c r="Y422" s="15">
        <f>IF($X422="Pass",$H422,
IF(H422="L","I",
IF(H422="U","L",
IF(H422="O","U",
"I"))))</f>
        <v/>
      </c>
    </row>
    <row r="423">
      <c r="A423" s="147">
        <f>ROW()-2</f>
        <v/>
      </c>
      <c r="B423" s="127" t="n">
        <v>900805</v>
      </c>
      <c r="C423" s="128" t="inlineStr">
        <is>
          <t>RAMANATHAN A</t>
        </is>
      </c>
      <c r="D423" s="127" t="inlineStr">
        <is>
          <t>PRODUCTION</t>
        </is>
      </c>
      <c r="E423" s="129" t="inlineStr">
        <is>
          <t>TYRE BUILDING-P2</t>
        </is>
      </c>
      <c r="F423" s="130" t="n">
        <v>41821</v>
      </c>
      <c r="G423" s="131">
        <f>NOW()-F423</f>
        <v/>
      </c>
      <c r="H423" s="104" t="inlineStr">
        <is>
          <t>O</t>
        </is>
      </c>
      <c r="I423" s="104" t="inlineStr">
        <is>
          <t>O</t>
        </is>
      </c>
      <c r="J423" s="104" t="n">
        <v>9</v>
      </c>
      <c r="K423" s="104" t="n">
        <v>9</v>
      </c>
      <c r="L423" s="104" t="n">
        <v>7</v>
      </c>
      <c r="M423" s="104" t="n">
        <v>6</v>
      </c>
      <c r="N423" s="104" t="n"/>
      <c r="O423" s="104">
        <f>SUM(J423:N423)</f>
        <v/>
      </c>
      <c r="P423" s="12">
        <f>O423/IF(H423="L",20,IF(H423="U",30,IF(H423="O",40,IF(H423="I",20,""))))</f>
        <v/>
      </c>
      <c r="Q423" s="132">
        <f>IF(AND(H423="L", P423&gt;=50%), "Pass",
IF(AND(H423="U", P423&gt;=60%), "Pass",
IF(AND(H423="O", P423&gt;=75%), "Pass", "Fail")))</f>
        <v/>
      </c>
      <c r="R423" s="104" t="n"/>
      <c r="S423" s="104" t="n">
        <v>15</v>
      </c>
      <c r="T423" s="104" t="n">
        <v>12</v>
      </c>
      <c r="U423" s="104">
        <f>SUM(S423:T423)</f>
        <v/>
      </c>
      <c r="V423" s="12">
        <f>U423/IF(H423="L",35,IF(H423="U",35,IF(H423="O",35,IF(H423="I",35,""))))</f>
        <v/>
      </c>
      <c r="W423" s="132">
        <f>IF(AND(H423="L", V423&gt;=50%), "Pass",
IF(AND(H423="U", V423&gt;=60%), "Pass",
IF(AND(H423="O", V423&gt;=75%), "Pass", "Fail")))</f>
        <v/>
      </c>
      <c r="X423" s="132">
        <f>IF(AND(Q423="Pass", W423="Pass"), "Pass", "Fail")</f>
        <v/>
      </c>
      <c r="Y423" s="15">
        <f>IF($X423="Pass",$H423,
IF(H423="L","I",
IF(H423="U","L",
IF(H423="O","U",
"I"))))</f>
        <v/>
      </c>
    </row>
    <row r="424">
      <c r="A424" s="147">
        <f>ROW()-2</f>
        <v/>
      </c>
      <c r="B424" s="127" t="n">
        <v>900807</v>
      </c>
      <c r="C424" s="128" t="inlineStr">
        <is>
          <t>RAMAN V P</t>
        </is>
      </c>
      <c r="D424" s="127" t="inlineStr">
        <is>
          <t>PRODUCTION</t>
        </is>
      </c>
      <c r="E424" s="129" t="inlineStr">
        <is>
          <t>TYRE BUILDING-P2</t>
        </is>
      </c>
      <c r="F424" s="130" t="n">
        <v>41821</v>
      </c>
      <c r="G424" s="131">
        <f>NOW()-F424</f>
        <v/>
      </c>
      <c r="H424" s="104" t="inlineStr">
        <is>
          <t>O</t>
        </is>
      </c>
      <c r="I424" s="104" t="inlineStr">
        <is>
          <t>U</t>
        </is>
      </c>
      <c r="J424" s="104" t="n">
        <v>7</v>
      </c>
      <c r="K424" s="104" t="n">
        <v>9</v>
      </c>
      <c r="L424" s="104" t="n">
        <v>9</v>
      </c>
      <c r="M424" s="104" t="n">
        <v>6</v>
      </c>
      <c r="N424" s="104" t="n"/>
      <c r="O424" s="104">
        <f>SUM(J424:N424)</f>
        <v/>
      </c>
      <c r="P424" s="12">
        <f>O424/IF(H424="L",20,IF(H424="U",30,IF(H424="O",40,IF(H424="I",20,""))))</f>
        <v/>
      </c>
      <c r="Q424" s="132">
        <f>IF(AND(H424="L", P424&gt;=50%), "Pass",
IF(AND(H424="U", P424&gt;=60%), "Pass",
IF(AND(H424="O", P424&gt;=75%), "Pass", "Fail")))</f>
        <v/>
      </c>
      <c r="R424" s="104" t="n"/>
      <c r="S424" s="104" t="n">
        <v>10</v>
      </c>
      <c r="T424" s="104" t="n">
        <v>11</v>
      </c>
      <c r="U424" s="104">
        <f>SUM(S424:T424)</f>
        <v/>
      </c>
      <c r="V424" s="12">
        <f>U424/IF(H424="L",35,IF(H424="U",35,IF(H424="O",35,IF(H424="I",35,""))))</f>
        <v/>
      </c>
      <c r="W424" s="132">
        <f>IF(AND(H424="L", V424&gt;=50%), "Pass",
IF(AND(H424="U", V424&gt;=60%), "Pass",
IF(AND(H424="O", V424&gt;=75%), "Pass", "Fail")))</f>
        <v/>
      </c>
      <c r="X424" s="132">
        <f>IF(AND(Q424="Pass", W424="Pass"), "Pass", "Fail")</f>
        <v/>
      </c>
      <c r="Y424" s="15">
        <f>IF($X424="Pass",$H424,
IF(H424="L","I",
IF(H424="U","L",
IF(H424="O","U",
"I"))))</f>
        <v/>
      </c>
    </row>
    <row r="425">
      <c r="A425" s="147">
        <f>ROW()-2</f>
        <v/>
      </c>
      <c r="B425" s="127" t="n">
        <v>900808</v>
      </c>
      <c r="C425" s="128" t="inlineStr">
        <is>
          <t>BINOD KUMAR SINGH</t>
        </is>
      </c>
      <c r="D425" s="127" t="inlineStr">
        <is>
          <t>PRODUCTION</t>
        </is>
      </c>
      <c r="E425" s="129" t="inlineStr">
        <is>
          <t>TYRE BUILDING-P1</t>
        </is>
      </c>
      <c r="F425" s="130" t="n">
        <v>41821</v>
      </c>
      <c r="G425" s="131">
        <f>NOW()-F425</f>
        <v/>
      </c>
      <c r="H425" s="104" t="inlineStr">
        <is>
          <t>O</t>
        </is>
      </c>
      <c r="I425" s="104" t="inlineStr">
        <is>
          <t>O</t>
        </is>
      </c>
      <c r="J425" s="104" t="n">
        <v>10</v>
      </c>
      <c r="K425" s="104" t="n">
        <v>9</v>
      </c>
      <c r="L425" s="104" t="n">
        <v>7</v>
      </c>
      <c r="M425" s="104" t="n">
        <v>8</v>
      </c>
      <c r="N425" s="104" t="n"/>
      <c r="O425" s="104">
        <f>SUM(J425:N425)</f>
        <v/>
      </c>
      <c r="P425" s="12">
        <f>O425/IF(H425="L",20,IF(H425="U",30,IF(H425="O",40,IF(H425="I",20,""))))</f>
        <v/>
      </c>
      <c r="Q425" s="132">
        <f>IF(AND(H425="L", P425&gt;=50%), "Pass",
IF(AND(H425="U", P425&gt;=60%), "Pass",
IF(AND(H425="O", P425&gt;=75%), "Pass", "Fail")))</f>
        <v/>
      </c>
      <c r="R425" s="104" t="n"/>
      <c r="S425" s="104" t="n">
        <v>16</v>
      </c>
      <c r="T425" s="104" t="n">
        <v>15</v>
      </c>
      <c r="U425" s="104">
        <f>SUM(S425:T425)</f>
        <v/>
      </c>
      <c r="V425" s="12">
        <f>U425/IF(H425="L",35,IF(H425="U",35,IF(H425="O",35,IF(H425="I",35,""))))</f>
        <v/>
      </c>
      <c r="W425" s="132">
        <f>IF(AND(H425="L", V425&gt;=50%), "Pass",
IF(AND(H425="U", V425&gt;=60%), "Pass",
IF(AND(H425="O", V425&gt;=75%), "Pass", "Fail")))</f>
        <v/>
      </c>
      <c r="X425" s="132">
        <f>IF(AND(Q425="Pass", W425="Pass"), "Pass", "Fail")</f>
        <v/>
      </c>
      <c r="Y425" s="15">
        <f>IF($X425="Pass",$H425,
IF(H425="L","I",
IF(H425="U","L",
IF(H425="O","U",
"I"))))</f>
        <v/>
      </c>
    </row>
    <row r="426">
      <c r="A426" s="147">
        <f>ROW()-2</f>
        <v/>
      </c>
      <c r="B426" s="127" t="n">
        <v>900809</v>
      </c>
      <c r="C426" s="128" t="inlineStr">
        <is>
          <t>BITTU KUMAR SINGH</t>
        </is>
      </c>
      <c r="D426" s="127" t="inlineStr">
        <is>
          <t>PRODUCTION</t>
        </is>
      </c>
      <c r="E426" s="129" t="inlineStr">
        <is>
          <t>TYRE BUILDING-P1</t>
        </is>
      </c>
      <c r="F426" s="130" t="n">
        <v>41821</v>
      </c>
      <c r="G426" s="131">
        <f>NOW()-F426</f>
        <v/>
      </c>
      <c r="H426" s="104" t="inlineStr">
        <is>
          <t>O</t>
        </is>
      </c>
      <c r="I426" s="104" t="inlineStr">
        <is>
          <t>O</t>
        </is>
      </c>
      <c r="J426" s="104" t="n">
        <v>10</v>
      </c>
      <c r="K426" s="104" t="n">
        <v>10</v>
      </c>
      <c r="L426" s="104" t="n">
        <v>9</v>
      </c>
      <c r="M426" s="104" t="n">
        <v>8</v>
      </c>
      <c r="N426" s="104" t="n"/>
      <c r="O426" s="104">
        <f>SUM(J426:N426)</f>
        <v/>
      </c>
      <c r="P426" s="12">
        <f>O426/IF(H426="L",20,IF(H426="U",30,IF(H426="O",40,IF(H426="I",20,""))))</f>
        <v/>
      </c>
      <c r="Q426" s="132">
        <f>IF(AND(H426="L", P426&gt;=50%), "Pass",
IF(AND(H426="U", P426&gt;=60%), "Pass",
IF(AND(H426="O", P426&gt;=75%), "Pass", "Fail")))</f>
        <v/>
      </c>
      <c r="R426" s="104" t="n"/>
      <c r="S426" s="104" t="n">
        <v>16</v>
      </c>
      <c r="T426" s="104" t="n">
        <v>15</v>
      </c>
      <c r="U426" s="104">
        <f>SUM(S426:T426)</f>
        <v/>
      </c>
      <c r="V426" s="12">
        <f>U426/IF(H426="L",35,IF(H426="U",35,IF(H426="O",35,IF(H426="I",35,""))))</f>
        <v/>
      </c>
      <c r="W426" s="132">
        <f>IF(AND(H426="L", V426&gt;=50%), "Pass",
IF(AND(H426="U", V426&gt;=60%), "Pass",
IF(AND(H426="O", V426&gt;=75%), "Pass", "Fail")))</f>
        <v/>
      </c>
      <c r="X426" s="132">
        <f>IF(AND(Q426="Pass", W426="Pass"), "Pass", "Fail")</f>
        <v/>
      </c>
      <c r="Y426" s="15">
        <f>IF($X426="Pass",$H426,
IF(H426="L","I",
IF(H426="U","L",
IF(H426="O","U",
"I"))))</f>
        <v/>
      </c>
    </row>
    <row r="427">
      <c r="A427" s="147">
        <f>ROW()-2</f>
        <v/>
      </c>
      <c r="B427" s="127" t="n">
        <v>900810</v>
      </c>
      <c r="C427" s="128" t="inlineStr">
        <is>
          <t>ASHUTOSH KUMAR</t>
        </is>
      </c>
      <c r="D427" s="127" t="inlineStr">
        <is>
          <t>PRODUCTION</t>
        </is>
      </c>
      <c r="E427" s="129" t="inlineStr">
        <is>
          <t>TYRE BUILDING-P1</t>
        </is>
      </c>
      <c r="F427" s="130" t="n">
        <v>41821</v>
      </c>
      <c r="G427" s="131">
        <f>NOW()-F427</f>
        <v/>
      </c>
      <c r="H427" s="104" t="inlineStr">
        <is>
          <t>O</t>
        </is>
      </c>
      <c r="I427" s="104" t="inlineStr">
        <is>
          <t>O</t>
        </is>
      </c>
      <c r="J427" s="104" t="n">
        <v>10</v>
      </c>
      <c r="K427" s="104" t="n">
        <v>9</v>
      </c>
      <c r="L427" s="104" t="n">
        <v>9</v>
      </c>
      <c r="M427" s="104" t="n">
        <v>9</v>
      </c>
      <c r="N427" s="104" t="n"/>
      <c r="O427" s="104">
        <f>SUM(J427:N427)</f>
        <v/>
      </c>
      <c r="P427" s="12">
        <f>O427/IF(H427="L",20,IF(H427="U",30,IF(H427="O",40,IF(H427="I",20,""))))</f>
        <v/>
      </c>
      <c r="Q427" s="132">
        <f>IF(AND(H427="L", P427&gt;=50%), "Pass",
IF(AND(H427="U", P427&gt;=60%), "Pass",
IF(AND(H427="O", P427&gt;=75%), "Pass", "Fail")))</f>
        <v/>
      </c>
      <c r="R427" s="104" t="n"/>
      <c r="S427" s="104" t="n">
        <v>15</v>
      </c>
      <c r="T427" s="104" t="n">
        <v>15</v>
      </c>
      <c r="U427" s="104">
        <f>SUM(S427:T427)</f>
        <v/>
      </c>
      <c r="V427" s="12">
        <f>U427/IF(H427="L",35,IF(H427="U",35,IF(H427="O",35,IF(H427="I",35,""))))</f>
        <v/>
      </c>
      <c r="W427" s="132">
        <f>IF(AND(H427="L", V427&gt;=50%), "Pass",
IF(AND(H427="U", V427&gt;=60%), "Pass",
IF(AND(H427="O", V427&gt;=75%), "Pass", "Fail")))</f>
        <v/>
      </c>
      <c r="X427" s="132">
        <f>IF(AND(Q427="Pass", W427="Pass"), "Pass", "Fail")</f>
        <v/>
      </c>
      <c r="Y427" s="15">
        <f>IF($X427="Pass",$H427,
IF(H427="L","I",
IF(H427="U","L",
IF(H427="O","U",
"I"))))</f>
        <v/>
      </c>
    </row>
    <row r="428">
      <c r="A428" s="147">
        <f>ROW()-2</f>
        <v/>
      </c>
      <c r="B428" s="127" t="n">
        <v>900811</v>
      </c>
      <c r="C428" s="128" t="inlineStr">
        <is>
          <t>VIKAS RAI</t>
        </is>
      </c>
      <c r="D428" s="127" t="inlineStr">
        <is>
          <t>PRODUCTION</t>
        </is>
      </c>
      <c r="E428" s="129" t="inlineStr">
        <is>
          <t>TYRE BUILDING-P2</t>
        </is>
      </c>
      <c r="F428" s="130" t="n">
        <v>41821</v>
      </c>
      <c r="G428" s="131">
        <f>NOW()-F428</f>
        <v/>
      </c>
      <c r="H428" s="104" t="inlineStr">
        <is>
          <t>O</t>
        </is>
      </c>
      <c r="I428" s="104" t="inlineStr">
        <is>
          <t>U</t>
        </is>
      </c>
      <c r="J428" s="104" t="n">
        <v>9</v>
      </c>
      <c r="K428" s="104" t="n">
        <v>8</v>
      </c>
      <c r="L428" s="104" t="n">
        <v>6</v>
      </c>
      <c r="M428" s="104" t="n">
        <v>6</v>
      </c>
      <c r="N428" s="104" t="n"/>
      <c r="O428" s="104">
        <f>SUM(J428:N428)</f>
        <v/>
      </c>
      <c r="P428" s="12">
        <f>O428/IF(H428="L",20,IF(H428="U",30,IF(H428="O",40,IF(H428="I",20,""))))</f>
        <v/>
      </c>
      <c r="Q428" s="132">
        <f>IF(AND(H428="L", P428&gt;=50%), "Pass",
IF(AND(H428="U", P428&gt;=60%), "Pass",
IF(AND(H428="O", P428&gt;=75%), "Pass", "Fail")))</f>
        <v/>
      </c>
      <c r="R428" s="104" t="n"/>
      <c r="S428" s="104" t="n">
        <v>8</v>
      </c>
      <c r="T428" s="104" t="n">
        <v>7</v>
      </c>
      <c r="U428" s="104">
        <f>SUM(S428:T428)</f>
        <v/>
      </c>
      <c r="V428" s="12">
        <f>U428/IF(H428="L",35,IF(H428="U",35,IF(H428="O",35,IF(H428="I",35,""))))</f>
        <v/>
      </c>
      <c r="W428" s="132">
        <f>IF(AND(H428="L", V428&gt;=50%), "Pass",
IF(AND(H428="U", V428&gt;=60%), "Pass",
IF(AND(H428="O", V428&gt;=75%), "Pass", "Fail")))</f>
        <v/>
      </c>
      <c r="X428" s="132">
        <f>IF(AND(Q428="Pass", W428="Pass"), "Pass", "Fail")</f>
        <v/>
      </c>
      <c r="Y428" s="15">
        <f>IF($X428="Pass",$H428,
IF(H428="L","I",
IF(H428="U","L",
IF(H428="O","U",
"I"))))</f>
        <v/>
      </c>
    </row>
    <row r="429">
      <c r="A429" s="147">
        <f>ROW()-2</f>
        <v/>
      </c>
      <c r="B429" s="127" t="n">
        <v>900812</v>
      </c>
      <c r="C429" s="128" t="inlineStr">
        <is>
          <t>PREM SHANKAR SINGH</t>
        </is>
      </c>
      <c r="D429" s="127" t="inlineStr">
        <is>
          <t>PRODUCTION</t>
        </is>
      </c>
      <c r="E429" s="129" t="inlineStr">
        <is>
          <t>TYRE BUILDING-P1</t>
        </is>
      </c>
      <c r="F429" s="130" t="n">
        <v>41821</v>
      </c>
      <c r="G429" s="131">
        <f>NOW()-F429</f>
        <v/>
      </c>
      <c r="H429" s="104" t="inlineStr">
        <is>
          <t>O</t>
        </is>
      </c>
      <c r="I429" s="104" t="inlineStr">
        <is>
          <t>O</t>
        </is>
      </c>
      <c r="J429" s="104" t="n">
        <v>10</v>
      </c>
      <c r="K429" s="104" t="n">
        <v>8</v>
      </c>
      <c r="L429" s="104" t="n">
        <v>6</v>
      </c>
      <c r="M429" s="104" t="n">
        <v>10</v>
      </c>
      <c r="N429" s="104" t="n"/>
      <c r="O429" s="104">
        <f>SUM(J429:N429)</f>
        <v/>
      </c>
      <c r="P429" s="12">
        <f>O429/IF(H429="L",20,IF(H429="U",30,IF(H429="O",40,IF(H429="I",20,""))))</f>
        <v/>
      </c>
      <c r="Q429" s="132">
        <f>IF(AND(H429="L", P429&gt;=50%), "Pass",
IF(AND(H429="U", P429&gt;=60%), "Pass",
IF(AND(H429="O", P429&gt;=75%), "Pass", "Fail")))</f>
        <v/>
      </c>
      <c r="R429" s="104" t="n"/>
      <c r="S429" s="104" t="n">
        <v>15</v>
      </c>
      <c r="T429" s="104" t="n">
        <v>15</v>
      </c>
      <c r="U429" s="104">
        <f>SUM(S429:T429)</f>
        <v/>
      </c>
      <c r="V429" s="12">
        <f>U429/IF(H429="L",35,IF(H429="U",35,IF(H429="O",35,IF(H429="I",35,""))))</f>
        <v/>
      </c>
      <c r="W429" s="132">
        <f>IF(AND(H429="L", V429&gt;=50%), "Pass",
IF(AND(H429="U", V429&gt;=60%), "Pass",
IF(AND(H429="O", V429&gt;=75%), "Pass", "Fail")))</f>
        <v/>
      </c>
      <c r="X429" s="132">
        <f>IF(AND(Q429="Pass", W429="Pass"), "Pass", "Fail")</f>
        <v/>
      </c>
      <c r="Y429" s="15">
        <f>IF($X429="Pass",$H429,
IF(H429="L","I",
IF(H429="U","L",
IF(H429="O","U",
"I"))))</f>
        <v/>
      </c>
    </row>
    <row r="430">
      <c r="A430" s="147">
        <f>ROW()-2</f>
        <v/>
      </c>
      <c r="B430" s="127" t="n">
        <v>900813</v>
      </c>
      <c r="C430" s="128" t="inlineStr">
        <is>
          <t>SARVESH YADAV</t>
        </is>
      </c>
      <c r="D430" s="127" t="inlineStr">
        <is>
          <t>PRODUCTION</t>
        </is>
      </c>
      <c r="E430" s="129" t="inlineStr">
        <is>
          <t>TYRE BUILDING-P3</t>
        </is>
      </c>
      <c r="F430" s="130" t="n">
        <v>41821</v>
      </c>
      <c r="G430" s="131">
        <f>NOW()-F430</f>
        <v/>
      </c>
      <c r="H430" s="104" t="inlineStr">
        <is>
          <t>O</t>
        </is>
      </c>
      <c r="I430" s="104" t="inlineStr">
        <is>
          <t>O</t>
        </is>
      </c>
      <c r="J430" s="104" t="n">
        <v>10</v>
      </c>
      <c r="K430" s="104" t="n">
        <v>10</v>
      </c>
      <c r="L430" s="104" t="n">
        <v>8</v>
      </c>
      <c r="M430" s="104" t="n">
        <v>10</v>
      </c>
      <c r="N430" s="104" t="n"/>
      <c r="O430" s="104">
        <f>SUM(J430:N430)</f>
        <v/>
      </c>
      <c r="P430" s="12">
        <f>O430/IF(H430="L",20,IF(H430="U",30,IF(H430="O",40,IF(H430="I",20,""))))</f>
        <v/>
      </c>
      <c r="Q430" s="132">
        <f>IF(AND(H430="L", P430&gt;=50%), "Pass",
IF(AND(H430="U", P430&gt;=60%), "Pass",
IF(AND(H430="O", P430&gt;=75%), "Pass", "Fail")))</f>
        <v/>
      </c>
      <c r="R430" s="104" t="n"/>
      <c r="S430" s="43" t="n">
        <v>17</v>
      </c>
      <c r="T430" s="43" t="n">
        <v>15</v>
      </c>
      <c r="U430" s="104">
        <f>SUM(S430:T430)</f>
        <v/>
      </c>
      <c r="V430" s="12">
        <f>U430/IF(H430="L",35,IF(H430="U",35,IF(H430="O",35,IF(H430="I",35,""))))</f>
        <v/>
      </c>
      <c r="W430" s="132">
        <f>IF(AND(H430="L", V430&gt;=50%), "Pass",
IF(AND(H430="U", V430&gt;=60%), "Pass",
IF(AND(H430="O", V430&gt;=75%), "Pass", "Fail")))</f>
        <v/>
      </c>
      <c r="X430" s="132">
        <f>IF(AND(Q430="Pass", W430="Pass"), "Pass", "Fail")</f>
        <v/>
      </c>
      <c r="Y430" s="15">
        <f>IF($X430="Pass",$H430,
IF(H430="L","I",
IF(H430="U","L",
IF(H430="O","U",
"I"))))</f>
        <v/>
      </c>
      <c r="Z430" s="81">
        <f>V430-75%</f>
        <v/>
      </c>
    </row>
    <row r="431">
      <c r="A431" s="147">
        <f>ROW()-2</f>
        <v/>
      </c>
      <c r="B431" s="127" t="n">
        <v>900814</v>
      </c>
      <c r="C431" s="128" t="inlineStr">
        <is>
          <t>KANHYALAL YADAV</t>
        </is>
      </c>
      <c r="D431" s="127" t="inlineStr">
        <is>
          <t>PRODUCTION</t>
        </is>
      </c>
      <c r="E431" s="129" t="inlineStr">
        <is>
          <t>TYRE BUILDING-P3</t>
        </is>
      </c>
      <c r="F431" s="130" t="n">
        <v>41821</v>
      </c>
      <c r="G431" s="131">
        <f>NOW()-F431</f>
        <v/>
      </c>
      <c r="H431" s="104" t="inlineStr">
        <is>
          <t>O</t>
        </is>
      </c>
      <c r="I431" s="104" t="inlineStr">
        <is>
          <t>O</t>
        </is>
      </c>
      <c r="J431" s="104" t="n">
        <v>10</v>
      </c>
      <c r="K431" s="104" t="n">
        <v>10</v>
      </c>
      <c r="L431" s="104" t="n">
        <v>8</v>
      </c>
      <c r="M431" s="104" t="n">
        <v>9</v>
      </c>
      <c r="N431" s="104" t="n"/>
      <c r="O431" s="104">
        <f>SUM(J431:N431)</f>
        <v/>
      </c>
      <c r="P431" s="12">
        <f>O431/IF(H431="L",20,IF(H431="U",30,IF(H431="O",40,IF(H431="I",20,""))))</f>
        <v/>
      </c>
      <c r="Q431" s="132">
        <f>IF(AND(H431="L", P431&gt;=50%), "Pass",
IF(AND(H431="U", P431&gt;=60%), "Pass",
IF(AND(H431="O", P431&gt;=75%), "Pass", "Fail")))</f>
        <v/>
      </c>
      <c r="R431" s="104" t="n"/>
      <c r="S431" s="43" t="n">
        <v>17</v>
      </c>
      <c r="T431" s="43" t="n">
        <v>15</v>
      </c>
      <c r="U431" s="104">
        <f>SUM(S431:T431)</f>
        <v/>
      </c>
      <c r="V431" s="12">
        <f>U431/IF(H431="L",35,IF(H431="U",35,IF(H431="O",35,IF(H431="I",35,""))))</f>
        <v/>
      </c>
      <c r="W431" s="132">
        <f>IF(AND(H431="L", V431&gt;=50%), "Pass",
IF(AND(H431="U", V431&gt;=60%), "Pass",
IF(AND(H431="O", V431&gt;=75%), "Pass", "Fail")))</f>
        <v/>
      </c>
      <c r="X431" s="132">
        <f>IF(AND(Q431="Pass", W431="Pass"), "Pass", "Fail")</f>
        <v/>
      </c>
      <c r="Y431" s="15">
        <f>IF($X431="Pass",$H431,
IF(H431="L","I",
IF(H431="U","L",
IF(H431="O","U",
"I"))))</f>
        <v/>
      </c>
    </row>
    <row r="432">
      <c r="A432" s="147">
        <f>ROW()-2</f>
        <v/>
      </c>
      <c r="B432" s="127" t="n">
        <v>900815</v>
      </c>
      <c r="C432" s="128" t="inlineStr">
        <is>
          <t xml:space="preserve">KASHI KUSHWAHA </t>
        </is>
      </c>
      <c r="D432" s="127" t="inlineStr">
        <is>
          <t>PRODUCTION</t>
        </is>
      </c>
      <c r="E432" s="129" t="inlineStr">
        <is>
          <t>TYRE BUILDING-P3</t>
        </is>
      </c>
      <c r="F432" s="130" t="n">
        <v>41821</v>
      </c>
      <c r="G432" s="131">
        <f>NOW()-F432</f>
        <v/>
      </c>
      <c r="H432" s="104" t="inlineStr">
        <is>
          <t>O</t>
        </is>
      </c>
      <c r="I432" s="104" t="inlineStr">
        <is>
          <t>U</t>
        </is>
      </c>
      <c r="J432" s="104" t="n">
        <v>9</v>
      </c>
      <c r="K432" s="104" t="n">
        <v>4</v>
      </c>
      <c r="L432" s="104" t="n">
        <v>7</v>
      </c>
      <c r="M432" s="104" t="n">
        <v>10</v>
      </c>
      <c r="N432" s="104" t="n"/>
      <c r="O432" s="104">
        <f>SUM(J432:N432)</f>
        <v/>
      </c>
      <c r="P432" s="12">
        <f>O432/IF(H432="L",20,IF(H432="U",30,IF(H432="O",40,IF(H432="I",20,""))))</f>
        <v/>
      </c>
      <c r="Q432" s="132">
        <f>IF(AND(H432="L", P432&gt;=50%), "Pass",
IF(AND(H432="U", P432&gt;=60%), "Pass",
IF(AND(H432="O", P432&gt;=75%), "Pass", "Fail")))</f>
        <v/>
      </c>
      <c r="R432" s="104" t="n"/>
      <c r="S432" s="104" t="n">
        <v>17</v>
      </c>
      <c r="T432" s="104" t="n">
        <v>15</v>
      </c>
      <c r="U432" s="104">
        <f>SUM(S432:T432)</f>
        <v/>
      </c>
      <c r="V432" s="12">
        <f>U432/IF(H432="L",35,IF(H432="U",35,IF(H432="O",35,IF(H432="I",35,""))))</f>
        <v/>
      </c>
      <c r="W432" s="132">
        <f>IF(AND(H432="L", V432&gt;=50%), "Pass",
IF(AND(H432="U", V432&gt;=60%), "Pass",
IF(AND(H432="O", V432&gt;=75%), "Pass", "Fail")))</f>
        <v/>
      </c>
      <c r="X432" s="132">
        <f>IF(AND(Q432="Pass", W432="Pass"), "Pass", "Fail")</f>
        <v/>
      </c>
      <c r="Y432" s="15">
        <f>IF($X432="Pass",$H432,
IF(H432="L","I",
IF(H432="U","L",
IF(H432="O","U",
"I"))))</f>
        <v/>
      </c>
    </row>
    <row r="433">
      <c r="A433" s="147">
        <f>ROW()-2</f>
        <v/>
      </c>
      <c r="B433" s="127" t="n">
        <v>900816</v>
      </c>
      <c r="C433" s="128" t="inlineStr">
        <is>
          <t>ANGAD KUSHWAHA</t>
        </is>
      </c>
      <c r="D433" s="127" t="inlineStr">
        <is>
          <t>PRODUCTION</t>
        </is>
      </c>
      <c r="E433" s="129" t="inlineStr">
        <is>
          <t>TYRE BUILDING-P3</t>
        </is>
      </c>
      <c r="F433" s="130" t="n">
        <v>41821</v>
      </c>
      <c r="G433" s="131">
        <f>NOW()-F433</f>
        <v/>
      </c>
      <c r="H433" s="104" t="inlineStr">
        <is>
          <t>O</t>
        </is>
      </c>
      <c r="I433" s="104" t="inlineStr">
        <is>
          <t>O</t>
        </is>
      </c>
      <c r="J433" s="104" t="n">
        <v>9</v>
      </c>
      <c r="K433" s="104" t="n">
        <v>9</v>
      </c>
      <c r="L433" s="104" t="n">
        <v>7</v>
      </c>
      <c r="M433" s="104" t="n">
        <v>6</v>
      </c>
      <c r="N433" s="104" t="n"/>
      <c r="O433" s="104">
        <f>SUM(J433:N433)</f>
        <v/>
      </c>
      <c r="P433" s="12">
        <f>O433/IF(H433="L",20,IF(H433="U",30,IF(H433="O",40,IF(H433="I",20,""))))</f>
        <v/>
      </c>
      <c r="Q433" s="132">
        <f>IF(AND(H433="L", P433&gt;=50%), "Pass",
IF(AND(H433="U", P433&gt;=60%), "Pass",
IF(AND(H433="O", P433&gt;=75%), "Pass", "Fail")))</f>
        <v/>
      </c>
      <c r="R433" s="104" t="n"/>
      <c r="S433" s="43" t="n">
        <v>18</v>
      </c>
      <c r="T433" s="43" t="n">
        <v>15</v>
      </c>
      <c r="U433" s="104">
        <f>SUM(S433:T433)</f>
        <v/>
      </c>
      <c r="V433" s="12">
        <f>U433/IF(H433="L",35,IF(H433="U",35,IF(H433="O",35,IF(H433="I",35,""))))</f>
        <v/>
      </c>
      <c r="W433" s="132">
        <f>IF(AND(H433="L", V433&gt;=50%), "Pass",
IF(AND(H433="U", V433&gt;=60%), "Pass",
IF(AND(H433="O", V433&gt;=75%), "Pass", "Fail")))</f>
        <v/>
      </c>
      <c r="X433" s="132">
        <f>IF(AND(Q433="Pass", W433="Pass"), "Pass", "Fail")</f>
        <v/>
      </c>
      <c r="Y433" s="15">
        <f>IF($X433="Pass",$H433,
IF(H433="L","I",
IF(H433="U","L",
IF(H433="O","U",
"I"))))</f>
        <v/>
      </c>
    </row>
    <row r="434">
      <c r="A434" s="147">
        <f>ROW()-2</f>
        <v/>
      </c>
      <c r="B434" s="127" t="n">
        <v>900817</v>
      </c>
      <c r="C434" s="128" t="inlineStr">
        <is>
          <t>DHANJAY KUSHWAHA</t>
        </is>
      </c>
      <c r="D434" s="127" t="inlineStr">
        <is>
          <t>PRODUCTION</t>
        </is>
      </c>
      <c r="E434" s="129" t="inlineStr">
        <is>
          <t>TYRE BUILDING-P3</t>
        </is>
      </c>
      <c r="F434" s="130" t="n">
        <v>41821</v>
      </c>
      <c r="G434" s="131">
        <f>NOW()-F434</f>
        <v/>
      </c>
      <c r="H434" s="104" t="inlineStr">
        <is>
          <t>O</t>
        </is>
      </c>
      <c r="I434" s="104" t="inlineStr">
        <is>
          <t>U</t>
        </is>
      </c>
      <c r="J434" s="104" t="n">
        <v>10</v>
      </c>
      <c r="K434" s="104" t="n">
        <v>9</v>
      </c>
      <c r="L434" s="104" t="n">
        <v>6</v>
      </c>
      <c r="M434" s="104" t="n">
        <v>9</v>
      </c>
      <c r="N434" s="104" t="n"/>
      <c r="O434" s="104">
        <f>SUM(J434:N434)</f>
        <v/>
      </c>
      <c r="P434" s="12">
        <f>O434/IF(H434="L",20,IF(H434="U",30,IF(H434="O",40,IF(H434="I",20,""))))</f>
        <v/>
      </c>
      <c r="Q434" s="132">
        <f>IF(AND(H434="L", P434&gt;=50%), "Pass",
IF(AND(H434="U", P434&gt;=60%), "Pass",
IF(AND(H434="O", P434&gt;=75%), "Pass", "Fail")))</f>
        <v/>
      </c>
      <c r="R434" s="104" t="n"/>
      <c r="S434" s="104" t="n">
        <v>18</v>
      </c>
      <c r="T434" s="104" t="n">
        <v>14</v>
      </c>
      <c r="U434" s="104">
        <f>SUM(S434:T434)</f>
        <v/>
      </c>
      <c r="V434" s="12">
        <f>U434/IF(H434="L",35,IF(H434="U",35,IF(H434="O",35,IF(H434="I",35,""))))</f>
        <v/>
      </c>
      <c r="W434" s="132">
        <f>IF(AND(H434="L", V434&gt;=50%), "Pass",
IF(AND(H434="U", V434&gt;=60%), "Pass",
IF(AND(H434="O", V434&gt;=75%), "Pass", "Fail")))</f>
        <v/>
      </c>
      <c r="X434" s="132">
        <f>IF(AND(Q434="Pass", W434="Pass"), "Pass", "Fail")</f>
        <v/>
      </c>
      <c r="Y434" s="15">
        <f>IF($X434="Pass",$H434,
IF(H434="L","I",
IF(H434="U","L",
IF(H434="O","U",
"I"))))</f>
        <v/>
      </c>
    </row>
    <row r="435">
      <c r="A435" s="147">
        <f>ROW()-2</f>
        <v/>
      </c>
      <c r="B435" s="127" t="n">
        <v>900818</v>
      </c>
      <c r="C435" s="128" t="inlineStr">
        <is>
          <t>ANAND KUSHWAHA</t>
        </is>
      </c>
      <c r="D435" s="127" t="inlineStr">
        <is>
          <t>PRODUCTION</t>
        </is>
      </c>
      <c r="E435" s="129" t="inlineStr">
        <is>
          <t>TYRE BUILDING-P3</t>
        </is>
      </c>
      <c r="F435" s="130" t="n">
        <v>41821</v>
      </c>
      <c r="G435" s="131">
        <f>NOW()-F435</f>
        <v/>
      </c>
      <c r="H435" s="104" t="inlineStr">
        <is>
          <t>O</t>
        </is>
      </c>
      <c r="I435" s="104" t="inlineStr">
        <is>
          <t>O</t>
        </is>
      </c>
      <c r="J435" s="104" t="n">
        <v>6</v>
      </c>
      <c r="K435" s="104" t="n">
        <v>8</v>
      </c>
      <c r="L435" s="104" t="n">
        <v>5</v>
      </c>
      <c r="M435" s="104" t="n">
        <v>6</v>
      </c>
      <c r="N435" s="104" t="n"/>
      <c r="O435" s="104">
        <f>SUM(J435:N435)</f>
        <v/>
      </c>
      <c r="P435" s="12">
        <f>O435/IF(H435="L",20,IF(H435="U",30,IF(H435="O",40,IF(H435="I",20,""))))</f>
        <v/>
      </c>
      <c r="Q435" s="132">
        <f>IF(AND(H435="L", P435&gt;=50%), "Pass",
IF(AND(H435="U", P435&gt;=60%), "Pass",
IF(AND(H435="O", P435&gt;=75%), "Pass", "Fail")))</f>
        <v/>
      </c>
      <c r="R435" s="104" t="n"/>
      <c r="S435" s="104" t="n">
        <v>18</v>
      </c>
      <c r="T435" s="104" t="n">
        <v>14</v>
      </c>
      <c r="U435" s="104">
        <f>SUM(S435:T435)</f>
        <v/>
      </c>
      <c r="V435" s="12">
        <f>U435/IF(H435="L",35,IF(H435="U",35,IF(H435="O",35,IF(H435="I",35,""))))</f>
        <v/>
      </c>
      <c r="W435" s="132">
        <f>IF(AND(H435="L", V435&gt;=50%), "Pass",
IF(AND(H435="U", V435&gt;=60%), "Pass",
IF(AND(H435="O", V435&gt;=75%), "Pass", "Fail")))</f>
        <v/>
      </c>
      <c r="X435" s="132">
        <f>IF(AND(Q435="Pass", W435="Pass"), "Pass", "Fail")</f>
        <v/>
      </c>
      <c r="Y435" s="15">
        <f>IF($X435="Pass",$H435,
IF(H435="L","I",
IF(H435="U","L",
IF(H435="O","U",
"I"))))</f>
        <v/>
      </c>
    </row>
    <row r="436">
      <c r="A436" s="147">
        <f>ROW()-2</f>
        <v/>
      </c>
      <c r="B436" s="127" t="n">
        <v>900819</v>
      </c>
      <c r="C436" s="128" t="inlineStr">
        <is>
          <t>RAJA A</t>
        </is>
      </c>
      <c r="D436" s="127" t="inlineStr">
        <is>
          <t>PRODUCTION</t>
        </is>
      </c>
      <c r="E436" s="129" t="inlineStr">
        <is>
          <t>BIAS MARANGONI&amp;BESTRY</t>
        </is>
      </c>
      <c r="F436" s="130" t="n">
        <v>41821</v>
      </c>
      <c r="G436" s="131">
        <f>NOW()-F436</f>
        <v/>
      </c>
      <c r="H436" s="104" t="inlineStr">
        <is>
          <t>O</t>
        </is>
      </c>
      <c r="I436" s="104" t="inlineStr">
        <is>
          <t>U</t>
        </is>
      </c>
      <c r="J436" s="104" t="n">
        <v>9</v>
      </c>
      <c r="K436" s="104" t="n">
        <v>9</v>
      </c>
      <c r="L436" s="104" t="n">
        <v>10</v>
      </c>
      <c r="M436" s="104" t="n">
        <v>6</v>
      </c>
      <c r="N436" s="104" t="n"/>
      <c r="O436" s="104">
        <f>SUM(J436:N436)</f>
        <v/>
      </c>
      <c r="P436" s="12">
        <f>O436/IF(H436="L",20,IF(H436="U",30,IF(H436="O",40,IF(H436="I",20,""))))</f>
        <v/>
      </c>
      <c r="Q436" s="132">
        <f>IF(AND(H436="L", P436&gt;=50%), "Pass",
IF(AND(H436="U", P436&gt;=60%), "Pass",
IF(AND(H436="O", P436&gt;=75%), "Pass", "Fail")))</f>
        <v/>
      </c>
      <c r="R436" s="104" t="n"/>
      <c r="S436" s="104" t="n">
        <v>15</v>
      </c>
      <c r="T436" s="104" t="n">
        <v>12</v>
      </c>
      <c r="U436" s="104">
        <f>SUM(S436:T436)</f>
        <v/>
      </c>
      <c r="V436" s="12">
        <f>U436/IF(H436="L",35,IF(H436="U",35,IF(H436="O",35,IF(H436="I",35,""))))</f>
        <v/>
      </c>
      <c r="W436" s="132">
        <f>IF(AND(H436="L", V436&gt;=50%), "Pass",
IF(AND(H436="U", V436&gt;=60%), "Pass",
IF(AND(H436="O", V436&gt;=75%), "Pass", "Fail")))</f>
        <v/>
      </c>
      <c r="X436" s="132">
        <f>IF(AND(Q436="Pass", W436="Pass"), "Pass", "Fail")</f>
        <v/>
      </c>
      <c r="Y436" s="15">
        <f>IF($X436="Pass",$H436,
IF(H436="L","I",
IF(H436="U","L",
IF(H436="O","U",
"I"))))</f>
        <v/>
      </c>
    </row>
    <row r="437">
      <c r="A437" s="147">
        <f>ROW()-2</f>
        <v/>
      </c>
      <c r="B437" s="127" t="n">
        <v>900820</v>
      </c>
      <c r="C437" s="128" t="inlineStr">
        <is>
          <t>ARISANKAR E</t>
        </is>
      </c>
      <c r="D437" s="127" t="inlineStr">
        <is>
          <t>PRODUCTION</t>
        </is>
      </c>
      <c r="E437" s="129" t="inlineStr">
        <is>
          <t>YANTHAI</t>
        </is>
      </c>
      <c r="F437" s="130" t="n">
        <v>41821</v>
      </c>
      <c r="G437" s="131">
        <f>NOW()-F437</f>
        <v/>
      </c>
      <c r="H437" s="104" t="inlineStr">
        <is>
          <t>O</t>
        </is>
      </c>
      <c r="I437" s="104" t="inlineStr">
        <is>
          <t>U</t>
        </is>
      </c>
      <c r="J437" s="104" t="n">
        <v>8</v>
      </c>
      <c r="K437" s="104" t="n">
        <v>9</v>
      </c>
      <c r="L437" s="104" t="n">
        <v>10</v>
      </c>
      <c r="M437" s="104" t="n">
        <v>8</v>
      </c>
      <c r="N437" s="104" t="n"/>
      <c r="O437" s="104">
        <f>SUM(J437:N437)</f>
        <v/>
      </c>
      <c r="P437" s="12">
        <f>O437/IF(H437="L",20,IF(H437="U",30,IF(H437="O",40,IF(H437="I",20,""))))</f>
        <v/>
      </c>
      <c r="Q437" s="132">
        <f>IF(AND(H437="L", P437&gt;=50%), "Pass",
IF(AND(H437="U", P437&gt;=60%), "Pass",
IF(AND(H437="O", P437&gt;=75%), "Pass", "Fail")))</f>
        <v/>
      </c>
      <c r="R437" s="104" t="n"/>
      <c r="S437" s="104" t="n">
        <v>16</v>
      </c>
      <c r="T437" s="104" t="n">
        <v>15</v>
      </c>
      <c r="U437" s="104">
        <f>SUM(S437:T437)</f>
        <v/>
      </c>
      <c r="V437" s="12">
        <f>U437/IF(H437="L",35,IF(H437="U",35,IF(H437="O",35,IF(H437="I",35,""))))</f>
        <v/>
      </c>
      <c r="W437" s="132">
        <f>IF(AND(H437="L", V437&gt;=50%), "Pass",
IF(AND(H437="U", V437&gt;=60%), "Pass",
IF(AND(H437="O", V437&gt;=75%), "Pass", "Fail")))</f>
        <v/>
      </c>
      <c r="X437" s="132">
        <f>IF(AND(Q437="Pass", W437="Pass"), "Pass", "Fail")</f>
        <v/>
      </c>
      <c r="Y437" s="15">
        <f>IF($X437="Pass",$H437,
IF(H437="L","I",
IF(H437="U","L",
IF(H437="O","U",
"I"))))</f>
        <v/>
      </c>
    </row>
    <row r="438">
      <c r="A438" s="147">
        <f>ROW()-2</f>
        <v/>
      </c>
      <c r="B438" s="127" t="n">
        <v>900821</v>
      </c>
      <c r="C438" s="128" t="inlineStr">
        <is>
          <t>RAGURAMAN S</t>
        </is>
      </c>
      <c r="D438" s="127" t="inlineStr">
        <is>
          <t>PRODUCTION</t>
        </is>
      </c>
      <c r="E438" s="129" t="inlineStr">
        <is>
          <t>YANTHAI</t>
        </is>
      </c>
      <c r="F438" s="130" t="n">
        <v>41821</v>
      </c>
      <c r="G438" s="131">
        <f>NOW()-F438</f>
        <v/>
      </c>
      <c r="H438" s="104" t="inlineStr">
        <is>
          <t>O</t>
        </is>
      </c>
      <c r="I438" s="104" t="inlineStr">
        <is>
          <t>O</t>
        </is>
      </c>
      <c r="J438" s="104" t="n">
        <v>9</v>
      </c>
      <c r="K438" s="104" t="n">
        <v>9</v>
      </c>
      <c r="L438" s="104" t="n">
        <v>10</v>
      </c>
      <c r="M438" s="104" t="n">
        <v>8</v>
      </c>
      <c r="N438" s="104" t="n"/>
      <c r="O438" s="104">
        <f>SUM(J438:N438)</f>
        <v/>
      </c>
      <c r="P438" s="12">
        <f>O438/IF(H438="L",20,IF(H438="U",30,IF(H438="O",40,IF(H438="I",20,""))))</f>
        <v/>
      </c>
      <c r="Q438" s="132">
        <f>IF(AND(H438="L", P438&gt;=50%), "Pass",
IF(AND(H438="U", P438&gt;=60%), "Pass",
IF(AND(H438="O", P438&gt;=75%), "Pass", "Fail")))</f>
        <v/>
      </c>
      <c r="R438" s="104" t="n"/>
      <c r="S438" s="104" t="n">
        <v>18</v>
      </c>
      <c r="T438" s="104" t="n">
        <v>15</v>
      </c>
      <c r="U438" s="104">
        <f>SUM(S438:T438)</f>
        <v/>
      </c>
      <c r="V438" s="12">
        <f>U438/IF(H438="L",35,IF(H438="U",35,IF(H438="O",35,IF(H438="I",35,""))))</f>
        <v/>
      </c>
      <c r="W438" s="132">
        <f>IF(AND(H438="L", V438&gt;=50%), "Pass",
IF(AND(H438="U", V438&gt;=60%), "Pass",
IF(AND(H438="O", V438&gt;=75%), "Pass", "Fail")))</f>
        <v/>
      </c>
      <c r="X438" s="132">
        <f>IF(AND(Q438="Pass", W438="Pass"), "Pass", "Fail")</f>
        <v/>
      </c>
      <c r="Y438" s="15">
        <f>IF($X438="Pass",$H438,
IF(H438="L","I",
IF(H438="U","L",
IF(H438="O","U",
"I"))))</f>
        <v/>
      </c>
    </row>
    <row r="439">
      <c r="A439" s="147">
        <f>ROW()-2</f>
        <v/>
      </c>
      <c r="B439" s="127" t="n">
        <v>900822</v>
      </c>
      <c r="C439" s="128" t="inlineStr">
        <is>
          <t>YOGESH GORKSHANATH KOLATE</t>
        </is>
      </c>
      <c r="D439" s="127" t="inlineStr">
        <is>
          <t>PRODUCTION</t>
        </is>
      </c>
      <c r="E439" s="129" t="inlineStr">
        <is>
          <t>BIAS MARANGONI&amp;BESTRY</t>
        </is>
      </c>
      <c r="F439" s="130" t="n">
        <v>41821</v>
      </c>
      <c r="G439" s="131">
        <f>NOW()-F439</f>
        <v/>
      </c>
      <c r="H439" s="104" t="inlineStr">
        <is>
          <t>O</t>
        </is>
      </c>
      <c r="I439" s="104" t="inlineStr">
        <is>
          <t>O</t>
        </is>
      </c>
      <c r="J439" s="104" t="n">
        <v>7</v>
      </c>
      <c r="K439" s="104" t="n">
        <v>8</v>
      </c>
      <c r="L439" s="104" t="n">
        <v>10</v>
      </c>
      <c r="M439" s="104" t="n">
        <v>10</v>
      </c>
      <c r="N439" s="104" t="n"/>
      <c r="O439" s="104">
        <f>SUM(J439:N439)</f>
        <v/>
      </c>
      <c r="P439" s="12">
        <f>O439/IF(H439="L",20,IF(H439="U",30,IF(H439="O",40,IF(H439="I",20,""))))</f>
        <v/>
      </c>
      <c r="Q439" s="132">
        <f>IF(AND(H439="L", P439&gt;=50%), "Pass",
IF(AND(H439="U", P439&gt;=60%), "Pass",
IF(AND(H439="O", P439&gt;=75%), "Pass", "Fail")))</f>
        <v/>
      </c>
      <c r="R439" s="104" t="n"/>
      <c r="S439" s="104" t="n">
        <v>16</v>
      </c>
      <c r="T439" s="104" t="n">
        <v>12</v>
      </c>
      <c r="U439" s="104">
        <f>SUM(S439:T439)</f>
        <v/>
      </c>
      <c r="V439" s="12">
        <f>U439/IF(H439="L",35,IF(H439="U",35,IF(H439="O",35,IF(H439="I",35,""))))</f>
        <v/>
      </c>
      <c r="W439" s="132">
        <f>IF(AND(H439="L", V439&gt;=50%), "Pass",
IF(AND(H439="U", V439&gt;=60%), "Pass",
IF(AND(H439="O", V439&gt;=75%), "Pass", "Fail")))</f>
        <v/>
      </c>
      <c r="X439" s="132">
        <f>IF(AND(Q439="Pass", W439="Pass"), "Pass", "Fail")</f>
        <v/>
      </c>
      <c r="Y439" s="15">
        <f>IF($X439="Pass",$H439,
IF(H439="L","I",
IF(H439="U","L",
IF(H439="O","U",
"I"))))</f>
        <v/>
      </c>
    </row>
    <row r="440">
      <c r="A440" s="147">
        <f>ROW()-2</f>
        <v/>
      </c>
      <c r="B440" s="127" t="n">
        <v>900823</v>
      </c>
      <c r="C440" s="128" t="inlineStr">
        <is>
          <t>BHARATHIRAJA M</t>
        </is>
      </c>
      <c r="D440" s="127" t="inlineStr">
        <is>
          <t>PRODUCTION</t>
        </is>
      </c>
      <c r="E440" s="129" t="inlineStr">
        <is>
          <t>RADIAL MARANGONI</t>
        </is>
      </c>
      <c r="F440" s="130" t="n">
        <v>41821</v>
      </c>
      <c r="G440" s="131">
        <f>NOW()-F440</f>
        <v/>
      </c>
      <c r="H440" s="104" t="inlineStr">
        <is>
          <t>O</t>
        </is>
      </c>
      <c r="I440" s="104" t="inlineStr">
        <is>
          <t>O</t>
        </is>
      </c>
      <c r="J440" s="104" t="n">
        <v>7</v>
      </c>
      <c r="K440" s="104" t="n">
        <v>8</v>
      </c>
      <c r="L440" s="104" t="n">
        <v>9</v>
      </c>
      <c r="M440" s="104" t="n">
        <v>9</v>
      </c>
      <c r="N440" s="104" t="n"/>
      <c r="O440" s="104">
        <f>SUM(J440:N440)</f>
        <v/>
      </c>
      <c r="P440" s="12">
        <f>O440/IF(H440="L",20,IF(H440="U",30,IF(H440="O",40,IF(H440="I",20,""))))</f>
        <v/>
      </c>
      <c r="Q440" s="132">
        <f>IF(AND(H440="L", P440&gt;=50%), "Pass",
IF(AND(H440="U", P440&gt;=60%), "Pass",
IF(AND(H440="O", P440&gt;=75%), "Pass", "Fail")))</f>
        <v/>
      </c>
      <c r="R440" s="104" t="n"/>
      <c r="S440" s="104" t="n">
        <v>15</v>
      </c>
      <c r="T440" s="104" t="n">
        <v>12</v>
      </c>
      <c r="U440" s="104">
        <f>SUM(S440:T440)</f>
        <v/>
      </c>
      <c r="V440" s="12">
        <f>U440/IF(H440="L",35,IF(H440="U",35,IF(H440="O",35,IF(H440="I",35,""))))</f>
        <v/>
      </c>
      <c r="W440" s="132">
        <f>IF(AND(H440="L", V440&gt;=50%), "Pass",
IF(AND(H440="U", V440&gt;=60%), "Pass",
IF(AND(H440="O", V440&gt;=75%), "Pass", "Fail")))</f>
        <v/>
      </c>
      <c r="X440" s="132">
        <f>IF(AND(Q440="Pass", W440="Pass"), "Pass", "Fail")</f>
        <v/>
      </c>
      <c r="Y440" s="15">
        <f>IF($X440="Pass",$H440,
IF(H440="L","I",
IF(H440="U","L",
IF(H440="O","U",
"I"))))</f>
        <v/>
      </c>
    </row>
    <row r="441">
      <c r="A441" s="147">
        <f>ROW()-2</f>
        <v/>
      </c>
      <c r="B441" s="127" t="n">
        <v>900824</v>
      </c>
      <c r="C441" s="128" t="inlineStr">
        <is>
          <t>ARUNPRAKASH R</t>
        </is>
      </c>
      <c r="D441" s="127" t="inlineStr">
        <is>
          <t>PRODUCTION</t>
        </is>
      </c>
      <c r="E441" s="129" t="inlineStr">
        <is>
          <t>YANTHAI</t>
        </is>
      </c>
      <c r="F441" s="130" t="n">
        <v>41821</v>
      </c>
      <c r="G441" s="131">
        <f>NOW()-F441</f>
        <v/>
      </c>
      <c r="H441" s="104" t="inlineStr">
        <is>
          <t>O</t>
        </is>
      </c>
      <c r="I441" s="104" t="inlineStr">
        <is>
          <t>O</t>
        </is>
      </c>
      <c r="J441" s="104" t="n">
        <v>10</v>
      </c>
      <c r="K441" s="104" t="n">
        <v>10</v>
      </c>
      <c r="L441" s="104" t="n">
        <v>10</v>
      </c>
      <c r="M441" s="104" t="n">
        <v>10</v>
      </c>
      <c r="N441" s="104" t="n"/>
      <c r="O441" s="104">
        <f>SUM(J441:N441)</f>
        <v/>
      </c>
      <c r="P441" s="12">
        <f>O441/IF(H441="L",20,IF(H441="U",30,IF(H441="O",40,IF(H441="I",20,""))))</f>
        <v/>
      </c>
      <c r="Q441" s="132">
        <f>IF(AND(H441="L", P441&gt;=50%), "Pass",
IF(AND(H441="U", P441&gt;=60%), "Pass",
IF(AND(H441="O", P441&gt;=75%), "Pass", "Fail")))</f>
        <v/>
      </c>
      <c r="R441" s="104" t="n"/>
      <c r="S441" s="104" t="n">
        <v>19</v>
      </c>
      <c r="T441" s="104" t="n">
        <v>14</v>
      </c>
      <c r="U441" s="104">
        <f>SUM(S441:T441)</f>
        <v/>
      </c>
      <c r="V441" s="12">
        <f>U441/IF(H441="L",35,IF(H441="U",35,IF(H441="O",35,IF(H441="I",35,""))))</f>
        <v/>
      </c>
      <c r="W441" s="132">
        <f>IF(AND(H441="L", V441&gt;=50%), "Pass",
IF(AND(H441="U", V441&gt;=60%), "Pass",
IF(AND(H441="O", V441&gt;=75%), "Pass", "Fail")))</f>
        <v/>
      </c>
      <c r="X441" s="132">
        <f>IF(AND(Q441="Pass", W441="Pass"), "Pass", "Fail")</f>
        <v/>
      </c>
      <c r="Y441" s="15">
        <f>IF($X441="Pass",$H441,
IF(H441="L","I",
IF(H441="U","L",
IF(H441="O","U",
"I"))))</f>
        <v/>
      </c>
    </row>
    <row r="442">
      <c r="A442" s="147">
        <f>ROW()-2</f>
        <v/>
      </c>
      <c r="B442" s="127" t="n">
        <v>900825</v>
      </c>
      <c r="C442" s="128" t="inlineStr">
        <is>
          <t>SURESH KUMAR P</t>
        </is>
      </c>
      <c r="D442" s="127" t="inlineStr">
        <is>
          <t>PRODUCTION</t>
        </is>
      </c>
      <c r="E442" s="129" t="inlineStr">
        <is>
          <t>TYRE CURING</t>
        </is>
      </c>
      <c r="F442" s="130" t="n">
        <v>41821</v>
      </c>
      <c r="G442" s="131">
        <f>NOW()-F442</f>
        <v/>
      </c>
      <c r="H442" s="104" t="inlineStr">
        <is>
          <t>O</t>
        </is>
      </c>
      <c r="I442" s="104" t="inlineStr">
        <is>
          <t>O</t>
        </is>
      </c>
      <c r="J442" s="104" t="n">
        <v>9</v>
      </c>
      <c r="K442" s="104" t="n">
        <v>9</v>
      </c>
      <c r="L442" s="104" t="n">
        <v>9</v>
      </c>
      <c r="M442" s="104" t="n">
        <v>8</v>
      </c>
      <c r="N442" s="104" t="n"/>
      <c r="O442" s="104">
        <f>SUM(J442:N442)</f>
        <v/>
      </c>
      <c r="P442" s="12">
        <f>O442/IF(H442="L",20,IF(H442="U",30,IF(H442="O",40,IF(H442="I",20,""))))</f>
        <v/>
      </c>
      <c r="Q442" s="132">
        <f>IF(AND(H442="L", P442&gt;=50%), "Pass",
IF(AND(H442="U", P442&gt;=60%), "Pass",
IF(AND(H442="O", P442&gt;=75%), "Pass", "Fail")))</f>
        <v/>
      </c>
      <c r="R442" s="104" t="n"/>
      <c r="S442" s="104" t="n">
        <v>12</v>
      </c>
      <c r="T442" s="104" t="n">
        <v>12</v>
      </c>
      <c r="U442" s="104">
        <f>SUM(S442:T442)</f>
        <v/>
      </c>
      <c r="V442" s="12">
        <f>U442/IF(H442="L",35,IF(H442="U",35,IF(H442="O",35,IF(H442="I",35,""))))</f>
        <v/>
      </c>
      <c r="W442" s="132">
        <f>IF(AND(H442="L", V442&gt;=50%), "Pass",
IF(AND(H442="U", V442&gt;=60%), "Pass",
IF(AND(H442="O", V442&gt;=75%), "Pass", "Fail")))</f>
        <v/>
      </c>
      <c r="X442" s="132">
        <f>IF(AND(Q442="Pass", W442="Pass"), "Pass", "Fail")</f>
        <v/>
      </c>
      <c r="Y442" s="15">
        <f>IF($X442="Pass",$H442,
IF(H442="L","I",
IF(H442="U","L",
IF(H442="O","U",
"I"))))</f>
        <v/>
      </c>
      <c r="Z442" s="81">
        <f>V442-75%</f>
        <v/>
      </c>
    </row>
    <row r="443">
      <c r="A443" s="147">
        <f>ROW()-2</f>
        <v/>
      </c>
      <c r="B443" s="127" t="n">
        <v>900826</v>
      </c>
      <c r="C443" s="128" t="inlineStr">
        <is>
          <t>ARUMUGA NAINAR S</t>
        </is>
      </c>
      <c r="D443" s="127" t="inlineStr">
        <is>
          <t>PRODUCTION</t>
        </is>
      </c>
      <c r="E443" s="129" t="inlineStr">
        <is>
          <t>TYRE CURING</t>
        </is>
      </c>
      <c r="F443" s="130" t="n">
        <v>41821</v>
      </c>
      <c r="G443" s="131">
        <f>NOW()-F443</f>
        <v/>
      </c>
      <c r="H443" s="104" t="inlineStr">
        <is>
          <t>O</t>
        </is>
      </c>
      <c r="I443" s="104" t="inlineStr">
        <is>
          <t>O</t>
        </is>
      </c>
      <c r="J443" s="104" t="n">
        <v>9</v>
      </c>
      <c r="K443" s="104" t="n">
        <v>10</v>
      </c>
      <c r="L443" s="104" t="n">
        <v>10</v>
      </c>
      <c r="M443" s="104" t="n">
        <v>9</v>
      </c>
      <c r="N443" s="104" t="n"/>
      <c r="O443" s="104">
        <f>SUM(J443:N443)</f>
        <v/>
      </c>
      <c r="P443" s="12">
        <f>O443/IF(H443="L",20,IF(H443="U",30,IF(H443="O",40,IF(H443="I",20,""))))</f>
        <v/>
      </c>
      <c r="Q443" s="132">
        <f>IF(AND(H443="L", P443&gt;=50%), "Pass",
IF(AND(H443="U", P443&gt;=60%), "Pass",
IF(AND(H443="O", P443&gt;=75%), "Pass", "Fail")))</f>
        <v/>
      </c>
      <c r="R443" s="104" t="n"/>
      <c r="S443" s="104" t="n">
        <v>16</v>
      </c>
      <c r="T443" s="104" t="n">
        <v>12</v>
      </c>
      <c r="U443" s="104">
        <f>SUM(S443:T443)</f>
        <v/>
      </c>
      <c r="V443" s="12">
        <f>U443/IF(H443="L",35,IF(H443="U",35,IF(H443="O",35,IF(H443="I",35,""))))</f>
        <v/>
      </c>
      <c r="W443" s="132">
        <f>IF(AND(H443="L", V443&gt;=50%), "Pass",
IF(AND(H443="U", V443&gt;=60%), "Pass",
IF(AND(H443="O", V443&gt;=75%), "Pass", "Fail")))</f>
        <v/>
      </c>
      <c r="X443" s="132">
        <f>IF(AND(Q443="Pass", W443="Pass"), "Pass", "Fail")</f>
        <v/>
      </c>
      <c r="Y443" s="15">
        <f>IF($X443="Pass",$H443,
IF(H443="L","I",
IF(H443="U","L",
IF(H443="O","U",
"I"))))</f>
        <v/>
      </c>
    </row>
    <row r="444">
      <c r="A444" s="147">
        <f>ROW()-2</f>
        <v/>
      </c>
      <c r="B444" s="127" t="n">
        <v>900827</v>
      </c>
      <c r="C444" s="128" t="inlineStr">
        <is>
          <t>KALAISELVAN V</t>
        </is>
      </c>
      <c r="D444" s="127" t="inlineStr">
        <is>
          <t>PRODUCTION</t>
        </is>
      </c>
      <c r="E444" s="129" t="inlineStr">
        <is>
          <t>TYRE CURING</t>
        </is>
      </c>
      <c r="F444" s="130" t="n">
        <v>41821</v>
      </c>
      <c r="G444" s="131">
        <f>NOW()-F444</f>
        <v/>
      </c>
      <c r="H444" s="104" t="inlineStr">
        <is>
          <t>O</t>
        </is>
      </c>
      <c r="I444" s="104" t="inlineStr">
        <is>
          <t>O</t>
        </is>
      </c>
      <c r="J444" s="104" t="n">
        <v>9</v>
      </c>
      <c r="K444" s="104" t="n">
        <v>9</v>
      </c>
      <c r="L444" s="104" t="n">
        <v>10</v>
      </c>
      <c r="M444" s="104" t="n">
        <v>9</v>
      </c>
      <c r="N444" s="104" t="n"/>
      <c r="O444" s="104">
        <f>SUM(J444:N444)</f>
        <v/>
      </c>
      <c r="P444" s="12">
        <f>O444/IF(H444="L",20,IF(H444="U",30,IF(H444="O",40,IF(H444="I",20,""))))</f>
        <v/>
      </c>
      <c r="Q444" s="132">
        <f>IF(AND(H444="L", P444&gt;=50%), "Pass",
IF(AND(H444="U", P444&gt;=60%), "Pass",
IF(AND(H444="O", P444&gt;=75%), "Pass", "Fail")))</f>
        <v/>
      </c>
      <c r="R444" s="104" t="n"/>
      <c r="S444" s="104" t="n">
        <v>16</v>
      </c>
      <c r="T444" s="104" t="n">
        <v>12</v>
      </c>
      <c r="U444" s="104">
        <f>SUM(S444:T444)</f>
        <v/>
      </c>
      <c r="V444" s="12">
        <f>U444/IF(H444="L",35,IF(H444="U",35,IF(H444="O",35,IF(H444="I",35,""))))</f>
        <v/>
      </c>
      <c r="W444" s="132">
        <f>IF(AND(H444="L", V444&gt;=50%), "Pass",
IF(AND(H444="U", V444&gt;=60%), "Pass",
IF(AND(H444="O", V444&gt;=75%), "Pass", "Fail")))</f>
        <v/>
      </c>
      <c r="X444" s="132">
        <f>IF(AND(Q444="Pass", W444="Pass"), "Pass", "Fail")</f>
        <v/>
      </c>
      <c r="Y444" s="15">
        <f>IF($X444="Pass",$H444,
IF(H444="L","I",
IF(H444="U","L",
IF(H444="O","U",
"I"))))</f>
        <v/>
      </c>
      <c r="Z444" s="82">
        <f>V444-75%</f>
        <v/>
      </c>
    </row>
    <row r="445">
      <c r="A445" s="147">
        <f>ROW()-2</f>
        <v/>
      </c>
      <c r="B445" s="127" t="n">
        <v>900828</v>
      </c>
      <c r="C445" s="128" t="inlineStr">
        <is>
          <t>SIVANAR V</t>
        </is>
      </c>
      <c r="D445" s="127" t="inlineStr">
        <is>
          <t>PRODUCTION</t>
        </is>
      </c>
      <c r="E445" s="129" t="inlineStr">
        <is>
          <t>TYRE CURING</t>
        </is>
      </c>
      <c r="F445" s="130" t="n">
        <v>41821</v>
      </c>
      <c r="G445" s="131">
        <f>NOW()-F445</f>
        <v/>
      </c>
      <c r="H445" s="104" t="inlineStr">
        <is>
          <t>O</t>
        </is>
      </c>
      <c r="I445" s="104" t="inlineStr">
        <is>
          <t>U</t>
        </is>
      </c>
      <c r="J445" s="104" t="n">
        <v>7</v>
      </c>
      <c r="K445" s="104" t="n">
        <v>8</v>
      </c>
      <c r="L445" s="104" t="n">
        <v>7</v>
      </c>
      <c r="M445" s="104" t="n">
        <v>5</v>
      </c>
      <c r="N445" s="104" t="n"/>
      <c r="O445" s="104">
        <f>SUM(J445:N445)</f>
        <v/>
      </c>
      <c r="P445" s="12">
        <f>O445/IF(H445="L",20,IF(H445="U",30,IF(H445="O",40,IF(H445="I",20,""))))</f>
        <v/>
      </c>
      <c r="Q445" s="132">
        <f>IF(AND(H445="L", P445&gt;=50%), "Pass",
IF(AND(H445="U", P445&gt;=60%), "Pass",
IF(AND(H445="O", P445&gt;=75%), "Pass", "Fail")))</f>
        <v/>
      </c>
      <c r="R445" s="104" t="n"/>
      <c r="S445" s="104" t="n">
        <v>13</v>
      </c>
      <c r="T445" s="104" t="n">
        <v>9</v>
      </c>
      <c r="U445" s="104">
        <f>SUM(S445:T445)</f>
        <v/>
      </c>
      <c r="V445" s="12">
        <f>U445/IF(H445="L",35,IF(H445="U",35,IF(H445="O",35,IF(H445="I",35,""))))</f>
        <v/>
      </c>
      <c r="W445" s="132">
        <f>IF(AND(H445="L", V445&gt;=50%), "Pass",
IF(AND(H445="U", V445&gt;=60%), "Pass",
IF(AND(H445="O", V445&gt;=75%), "Pass", "Fail")))</f>
        <v/>
      </c>
      <c r="X445" s="132">
        <f>IF(AND(Q445="Pass", W445="Pass"), "Pass", "Fail")</f>
        <v/>
      </c>
      <c r="Y445" s="15">
        <f>IF($X445="Pass",$H445,
IF(H445="L","I",
IF(H445="U","L",
IF(H445="O","U",
"I"))))</f>
        <v/>
      </c>
    </row>
    <row r="446">
      <c r="A446" s="147">
        <f>ROW()-2</f>
        <v/>
      </c>
      <c r="B446" s="127" t="n">
        <v>900829</v>
      </c>
      <c r="C446" s="128" t="inlineStr">
        <is>
          <t>MUNDA SAMY G</t>
        </is>
      </c>
      <c r="D446" s="127" t="inlineStr">
        <is>
          <t>PRODUCTION</t>
        </is>
      </c>
      <c r="E446" s="129" t="inlineStr">
        <is>
          <t>TYRE CURING</t>
        </is>
      </c>
      <c r="F446" s="130" t="n">
        <v>41821</v>
      </c>
      <c r="G446" s="131">
        <f>NOW()-F446</f>
        <v/>
      </c>
      <c r="H446" s="104" t="inlineStr">
        <is>
          <t>O</t>
        </is>
      </c>
      <c r="I446" s="104" t="inlineStr">
        <is>
          <t>O</t>
        </is>
      </c>
      <c r="J446" s="104" t="n">
        <v>9</v>
      </c>
      <c r="K446" s="104" t="n">
        <v>8</v>
      </c>
      <c r="L446" s="104" t="n">
        <v>9</v>
      </c>
      <c r="M446" s="104" t="n">
        <v>6</v>
      </c>
      <c r="N446" s="104" t="n"/>
      <c r="O446" s="104">
        <f>SUM(J446:N446)</f>
        <v/>
      </c>
      <c r="P446" s="12">
        <f>O446/IF(H446="L",20,IF(H446="U",30,IF(H446="O",40,IF(H446="I",20,""))))</f>
        <v/>
      </c>
      <c r="Q446" s="132">
        <f>IF(AND(H446="L", P446&gt;=50%), "Pass",
IF(AND(H446="U", P446&gt;=60%), "Pass",
IF(AND(H446="O", P446&gt;=75%), "Pass", "Fail")))</f>
        <v/>
      </c>
      <c r="R446" s="104" t="n"/>
      <c r="S446" s="104" t="n">
        <v>17</v>
      </c>
      <c r="T446" s="104" t="n">
        <v>11</v>
      </c>
      <c r="U446" s="104">
        <f>SUM(S446:T446)</f>
        <v/>
      </c>
      <c r="V446" s="12">
        <f>U446/IF(H446="L",35,IF(H446="U",35,IF(H446="O",35,IF(H446="I",35,""))))</f>
        <v/>
      </c>
      <c r="W446" s="132">
        <f>IF(AND(H446="L", V446&gt;=50%), "Pass",
IF(AND(H446="U", V446&gt;=60%), "Pass",
IF(AND(H446="O", V446&gt;=75%), "Pass", "Fail")))</f>
        <v/>
      </c>
      <c r="X446" s="132">
        <f>IF(AND(Q446="Pass", W446="Pass"), "Pass", "Fail")</f>
        <v/>
      </c>
      <c r="Y446" s="15">
        <f>IF($X446="Pass",$H446,
IF(H446="L","I",
IF(H446="U","L",
IF(H446="O","U",
"I"))))</f>
        <v/>
      </c>
    </row>
    <row r="447">
      <c r="A447" s="147">
        <f>ROW()-2</f>
        <v/>
      </c>
      <c r="B447" s="127" t="n">
        <v>900830</v>
      </c>
      <c r="C447" s="128" t="inlineStr">
        <is>
          <t>CHANDRA SEKHAR B S</t>
        </is>
      </c>
      <c r="D447" s="127" t="inlineStr">
        <is>
          <t>PRODUCTION</t>
        </is>
      </c>
      <c r="E447" s="129" t="inlineStr">
        <is>
          <t>BIAS CUTTING-1</t>
        </is>
      </c>
      <c r="F447" s="130" t="n">
        <v>41821</v>
      </c>
      <c r="G447" s="131">
        <f>NOW()-F447</f>
        <v/>
      </c>
      <c r="H447" s="104" t="inlineStr">
        <is>
          <t>O</t>
        </is>
      </c>
      <c r="I447" s="104" t="inlineStr">
        <is>
          <t>O</t>
        </is>
      </c>
      <c r="J447" s="104" t="n">
        <v>9</v>
      </c>
      <c r="K447" s="104" t="n">
        <v>8</v>
      </c>
      <c r="L447" s="104" t="n">
        <v>8</v>
      </c>
      <c r="M447" s="104" t="n">
        <v>7</v>
      </c>
      <c r="N447" s="104" t="n"/>
      <c r="O447" s="104">
        <f>SUM(J447:N447)</f>
        <v/>
      </c>
      <c r="P447" s="12">
        <f>O447/IF(H447="L",20,IF(H447="U",30,IF(H447="O",40,IF(H447="I",20,""))))</f>
        <v/>
      </c>
      <c r="Q447" s="132">
        <f>IF(AND(H447="L", P447&gt;=50%), "Pass",
IF(AND(H447="U", P447&gt;=60%), "Pass",
IF(AND(H447="O", P447&gt;=75%), "Pass", "Fail")))</f>
        <v/>
      </c>
      <c r="R447" s="104" t="n"/>
      <c r="S447" s="104" t="n">
        <v>18</v>
      </c>
      <c r="T447" s="104" t="n">
        <v>15</v>
      </c>
      <c r="U447" s="104">
        <f>SUM(S447:T447)</f>
        <v/>
      </c>
      <c r="V447" s="12">
        <f>U447/IF(H447="L",35,IF(H447="U",35,IF(H447="O",35,IF(H447="I",35,""))))</f>
        <v/>
      </c>
      <c r="W447" s="132">
        <f>IF(AND(H447="L", V447&gt;=50%), "Pass",
IF(AND(H447="U", V447&gt;=60%), "Pass",
IF(AND(H447="O", V447&gt;=75%), "Pass", "Fail")))</f>
        <v/>
      </c>
      <c r="X447" s="132">
        <f>IF(AND(Q447="Pass", W447="Pass"), "Pass", "Fail")</f>
        <v/>
      </c>
      <c r="Y447" s="15">
        <f>IF($X447="Pass",$H447,
IF(H447="L","I",
IF(H447="U","L",
IF(H447="O","U",
"I"))))</f>
        <v/>
      </c>
    </row>
    <row r="448">
      <c r="A448" s="147">
        <f>ROW()-2</f>
        <v/>
      </c>
      <c r="B448" s="127" t="n">
        <v>900831</v>
      </c>
      <c r="C448" s="128" t="inlineStr">
        <is>
          <t>RAM SUBRAMANIAN L</t>
        </is>
      </c>
      <c r="D448" s="127" t="inlineStr">
        <is>
          <t>PRODUCTION</t>
        </is>
      </c>
      <c r="E448" s="129" t="inlineStr">
        <is>
          <t>TYRE CURING</t>
        </is>
      </c>
      <c r="F448" s="130" t="n">
        <v>41821</v>
      </c>
      <c r="G448" s="131">
        <f>NOW()-F448</f>
        <v/>
      </c>
      <c r="H448" s="104" t="inlineStr">
        <is>
          <t>O</t>
        </is>
      </c>
      <c r="I448" s="104" t="inlineStr">
        <is>
          <t>O</t>
        </is>
      </c>
      <c r="J448" s="104" t="n">
        <v>8</v>
      </c>
      <c r="K448" s="104" t="n">
        <v>9</v>
      </c>
      <c r="L448" s="104" t="n">
        <v>9</v>
      </c>
      <c r="M448" s="104" t="n">
        <v>6</v>
      </c>
      <c r="N448" s="104" t="n"/>
      <c r="O448" s="104">
        <f>SUM(J448:N448)</f>
        <v/>
      </c>
      <c r="P448" s="12">
        <f>O448/IF(H448="L",20,IF(H448="U",30,IF(H448="O",40,IF(H448="I",20,""))))</f>
        <v/>
      </c>
      <c r="Q448" s="132">
        <f>IF(AND(H448="L", P448&gt;=50%), "Pass",
IF(AND(H448="U", P448&gt;=60%), "Pass",
IF(AND(H448="O", P448&gt;=75%), "Pass", "Fail")))</f>
        <v/>
      </c>
      <c r="R448" s="104" t="n"/>
      <c r="S448" s="104" t="n">
        <v>17</v>
      </c>
      <c r="T448" s="104" t="n">
        <v>13</v>
      </c>
      <c r="U448" s="104">
        <f>SUM(S448:T448)</f>
        <v/>
      </c>
      <c r="V448" s="12">
        <f>U448/IF(H448="L",35,IF(H448="U",35,IF(H448="O",35,IF(H448="I",35,""))))</f>
        <v/>
      </c>
      <c r="W448" s="132">
        <f>IF(AND(H448="L", V448&gt;=50%), "Pass",
IF(AND(H448="U", V448&gt;=60%), "Pass",
IF(AND(H448="O", V448&gt;=75%), "Pass", "Fail")))</f>
        <v/>
      </c>
      <c r="X448" s="132">
        <f>IF(AND(Q448="Pass", W448="Pass"), "Pass", "Fail")</f>
        <v/>
      </c>
      <c r="Y448" s="15">
        <f>IF($X448="Pass",$H448,
IF(H448="L","I",
IF(H448="U","L",
IF(H448="O","U",
"I"))))</f>
        <v/>
      </c>
    </row>
    <row r="449">
      <c r="A449" s="147">
        <f>ROW()-2</f>
        <v/>
      </c>
      <c r="B449" s="127" t="n">
        <v>900832</v>
      </c>
      <c r="C449" s="128" t="inlineStr">
        <is>
          <t>MARI C</t>
        </is>
      </c>
      <c r="D449" s="127" t="inlineStr">
        <is>
          <t>PRODUCTION</t>
        </is>
      </c>
      <c r="E449" s="129" t="inlineStr">
        <is>
          <t>TYRE CURING</t>
        </is>
      </c>
      <c r="F449" s="130" t="n">
        <v>41821</v>
      </c>
      <c r="G449" s="131">
        <f>NOW()-F449</f>
        <v/>
      </c>
      <c r="H449" s="104" t="inlineStr">
        <is>
          <t>O</t>
        </is>
      </c>
      <c r="I449" s="104" t="inlineStr">
        <is>
          <t>O</t>
        </is>
      </c>
      <c r="J449" s="104" t="n">
        <v>8</v>
      </c>
      <c r="K449" s="104" t="n">
        <v>9</v>
      </c>
      <c r="L449" s="104" t="n">
        <v>8</v>
      </c>
      <c r="M449" s="104" t="n">
        <v>7</v>
      </c>
      <c r="N449" s="104" t="n"/>
      <c r="O449" s="104">
        <f>SUM(J449:N449)</f>
        <v/>
      </c>
      <c r="P449" s="12">
        <f>O449/IF(H449="L",20,IF(H449="U",30,IF(H449="O",40,IF(H449="I",20,""))))</f>
        <v/>
      </c>
      <c r="Q449" s="132">
        <f>IF(AND(H449="L", P449&gt;=50%), "Pass",
IF(AND(H449="U", P449&gt;=60%), "Pass",
IF(AND(H449="O", P449&gt;=75%), "Pass", "Fail")))</f>
        <v/>
      </c>
      <c r="R449" s="104" t="n"/>
      <c r="S449" s="104" t="n">
        <v>17</v>
      </c>
      <c r="T449" s="104" t="n">
        <v>12</v>
      </c>
      <c r="U449" s="104">
        <f>SUM(S449:T449)</f>
        <v/>
      </c>
      <c r="V449" s="12">
        <f>U449/IF(H449="L",35,IF(H449="U",35,IF(H449="O",35,IF(H449="I",35,""))))</f>
        <v/>
      </c>
      <c r="W449" s="132">
        <f>IF(AND(H449="L", V449&gt;=50%), "Pass",
IF(AND(H449="U", V449&gt;=60%), "Pass",
IF(AND(H449="O", V449&gt;=75%), "Pass", "Fail")))</f>
        <v/>
      </c>
      <c r="X449" s="132">
        <f>IF(AND(Q449="Pass", W449="Pass"), "Pass", "Fail")</f>
        <v/>
      </c>
      <c r="Y449" s="15">
        <f>IF($X449="Pass",$H449,
IF(H449="L","I",
IF(H449="U","L",
IF(H449="O","U",
"I"))))</f>
        <v/>
      </c>
    </row>
    <row r="450">
      <c r="A450" s="147">
        <f>ROW()-2</f>
        <v/>
      </c>
      <c r="B450" s="127" t="n">
        <v>900833</v>
      </c>
      <c r="C450" s="128" t="inlineStr">
        <is>
          <t>MADASAMY P</t>
        </is>
      </c>
      <c r="D450" s="127" t="inlineStr">
        <is>
          <t>PRODUCTION</t>
        </is>
      </c>
      <c r="E450" s="129" t="inlineStr">
        <is>
          <t>TYRE CURING</t>
        </is>
      </c>
      <c r="F450" s="130" t="n">
        <v>41821</v>
      </c>
      <c r="G450" s="131">
        <f>NOW()-F450</f>
        <v/>
      </c>
      <c r="H450" s="104" t="inlineStr">
        <is>
          <t>O</t>
        </is>
      </c>
      <c r="I450" s="104" t="inlineStr">
        <is>
          <t>O</t>
        </is>
      </c>
      <c r="J450" s="104" t="n">
        <v>10</v>
      </c>
      <c r="K450" s="104" t="n">
        <v>9</v>
      </c>
      <c r="L450" s="104" t="n">
        <v>9</v>
      </c>
      <c r="M450" s="104" t="n">
        <v>6</v>
      </c>
      <c r="N450" s="104" t="n"/>
      <c r="O450" s="104">
        <f>SUM(J450:N450)</f>
        <v/>
      </c>
      <c r="P450" s="12">
        <f>O450/IF(H450="L",20,IF(H450="U",30,IF(H450="O",40,IF(H450="I",20,""))))</f>
        <v/>
      </c>
      <c r="Q450" s="132">
        <f>IF(AND(H450="L", P450&gt;=50%), "Pass",
IF(AND(H450="U", P450&gt;=60%), "Pass",
IF(AND(H450="O", P450&gt;=75%), "Pass", "Fail")))</f>
        <v/>
      </c>
      <c r="R450" s="104" t="n"/>
      <c r="S450" s="104" t="n">
        <v>15</v>
      </c>
      <c r="T450" s="104" t="n">
        <v>9</v>
      </c>
      <c r="U450" s="104">
        <f>SUM(S450:T450)</f>
        <v/>
      </c>
      <c r="V450" s="12">
        <f>U450/IF(H450="L",35,IF(H450="U",35,IF(H450="O",35,IF(H450="I",35,""))))</f>
        <v/>
      </c>
      <c r="W450" s="132">
        <f>IF(AND(H450="L", V450&gt;=50%), "Pass",
IF(AND(H450="U", V450&gt;=60%), "Pass",
IF(AND(H450="O", V450&gt;=75%), "Pass", "Fail")))</f>
        <v/>
      </c>
      <c r="X450" s="132">
        <f>IF(AND(Q450="Pass", W450="Pass"), "Pass", "Fail")</f>
        <v/>
      </c>
      <c r="Y450" s="15">
        <f>IF($X450="Pass",$H450,
IF(H450="L","I",
IF(H450="U","L",
IF(H450="O","U",
"I"))))</f>
        <v/>
      </c>
    </row>
    <row r="451">
      <c r="A451" s="147">
        <f>ROW()-2</f>
        <v/>
      </c>
      <c r="B451" s="127" t="n">
        <v>900834</v>
      </c>
      <c r="C451" s="128" t="inlineStr">
        <is>
          <t>KALI MUTHU M</t>
        </is>
      </c>
      <c r="D451" s="127" t="inlineStr">
        <is>
          <t>PRODUCTION</t>
        </is>
      </c>
      <c r="E451" s="129" t="inlineStr">
        <is>
          <t>TYRE CURING</t>
        </is>
      </c>
      <c r="F451" s="130" t="n">
        <v>41821</v>
      </c>
      <c r="G451" s="131">
        <f>NOW()-F451</f>
        <v/>
      </c>
      <c r="H451" s="104" t="inlineStr">
        <is>
          <t>O</t>
        </is>
      </c>
      <c r="I451" s="104" t="inlineStr">
        <is>
          <t>O</t>
        </is>
      </c>
      <c r="J451" s="104" t="n">
        <v>8</v>
      </c>
      <c r="K451" s="104" t="n">
        <v>9</v>
      </c>
      <c r="L451" s="104" t="n">
        <v>7</v>
      </c>
      <c r="M451" s="104" t="n">
        <v>7</v>
      </c>
      <c r="N451" s="104" t="n"/>
      <c r="O451" s="104">
        <f>SUM(J451:N451)</f>
        <v/>
      </c>
      <c r="P451" s="12">
        <f>O451/IF(H451="L",20,IF(H451="U",30,IF(H451="O",40,IF(H451="I",20,""))))</f>
        <v/>
      </c>
      <c r="Q451" s="132">
        <f>IF(AND(H451="L", P451&gt;=50%), "Pass",
 IF(AND(H451="U", P451&gt;=60%), "Pass",
 IF(AND(H451="O", P451&gt;=75%), "Pass", "Fail")))</f>
        <v/>
      </c>
      <c r="R451" s="104" t="n"/>
      <c r="S451" s="104" t="n">
        <v>15</v>
      </c>
      <c r="T451" s="104" t="n">
        <v>12</v>
      </c>
      <c r="U451" s="104">
        <f>SUM(S451:T451)</f>
        <v/>
      </c>
      <c r="V451" s="12">
        <f>U451/IF(H451="L",35,IF(H451="U",35,IF(H451="O",35,IF(H451="I",35,""))))</f>
        <v/>
      </c>
      <c r="W451" s="132">
        <f>IF(AND(H451="L", V451&gt;=50%), "Pass",
 IF(AND(H451="U", V451&gt;=60%), "Pass",
 IF(AND(H451="O", V451&gt;=75%), "Pass", "Fail")))</f>
        <v/>
      </c>
      <c r="X451" s="132">
        <f>IF(AND(Q451="Pass", W451="Pass"), "Pass", "Fail")</f>
        <v/>
      </c>
      <c r="Y451" s="15">
        <f>IF($X451="Pass",$H451,
IF(H451="L","I",
IF(H451="U","L",
IF(H451="O","U",
"I"))))</f>
        <v/>
      </c>
    </row>
    <row r="452">
      <c r="A452" s="147">
        <f>ROW()-2</f>
        <v/>
      </c>
      <c r="B452" s="127" t="n">
        <v>900835</v>
      </c>
      <c r="C452" s="128" t="inlineStr">
        <is>
          <t>PRABHAKARAN  S</t>
        </is>
      </c>
      <c r="D452" s="127" t="inlineStr">
        <is>
          <t>PRODUCTION</t>
        </is>
      </c>
      <c r="E452" s="129" t="inlineStr">
        <is>
          <t>TYRE CURING</t>
        </is>
      </c>
      <c r="F452" s="130" t="n">
        <v>41821</v>
      </c>
      <c r="G452" s="131">
        <f>NOW()-F452</f>
        <v/>
      </c>
      <c r="H452" s="104" t="inlineStr">
        <is>
          <t>O</t>
        </is>
      </c>
      <c r="I452" s="104" t="inlineStr">
        <is>
          <t>O</t>
        </is>
      </c>
      <c r="J452" s="104" t="n">
        <v>8</v>
      </c>
      <c r="K452" s="104" t="n">
        <v>8</v>
      </c>
      <c r="L452" s="104" t="n">
        <v>8</v>
      </c>
      <c r="M452" s="104" t="n">
        <v>5</v>
      </c>
      <c r="N452" s="104" t="n"/>
      <c r="O452" s="104">
        <f>SUM(J452:N452)</f>
        <v/>
      </c>
      <c r="P452" s="12">
        <f>O452/IF(H452="L",20,IF(H452="U",30,IF(H452="O",40,IF(H452="I",20,""))))</f>
        <v/>
      </c>
      <c r="Q452" s="132">
        <f>IF(AND(H452="L", P452&gt;=50%), "Pass",
IF(AND(H452="U", P452&gt;=60%), "Pass",
IF(AND(H452="O", P452&gt;=75%), "Pass", "Fail")))</f>
        <v/>
      </c>
      <c r="R452" s="104" t="n"/>
      <c r="S452" s="104" t="n">
        <v>14</v>
      </c>
      <c r="T452" s="104" t="n">
        <v>11</v>
      </c>
      <c r="U452" s="104">
        <f>SUM(S452:T452)</f>
        <v/>
      </c>
      <c r="V452" s="12">
        <f>U452/IF(H452="L",35,IF(H452="U",35,IF(H452="O",35,IF(H452="I",35,""))))</f>
        <v/>
      </c>
      <c r="W452" s="132">
        <f>IF(AND(H452="L", V452&gt;=50%), "Pass",
IF(AND(H452="U", V452&gt;=60%), "Pass",
IF(AND(H452="O", V452&gt;=75%), "Pass", "Fail")))</f>
        <v/>
      </c>
      <c r="X452" s="132">
        <f>IF(AND(Q452="Pass", W452="Pass"), "Pass", "Fail")</f>
        <v/>
      </c>
      <c r="Y452" s="15">
        <f>IF($X452="Pass",$H452,
IF(H452="L","I",
IF(H452="U","L",
IF(H452="O","U",
"I"))))</f>
        <v/>
      </c>
    </row>
    <row r="453">
      <c r="A453" s="147">
        <f>ROW()-2</f>
        <v/>
      </c>
      <c r="B453" s="127" t="n">
        <v>900836</v>
      </c>
      <c r="C453" s="128" t="inlineStr">
        <is>
          <t>SETHURAMAN V</t>
        </is>
      </c>
      <c r="D453" s="127" t="inlineStr">
        <is>
          <t>PRODUCTION</t>
        </is>
      </c>
      <c r="E453" s="129" t="inlineStr">
        <is>
          <t>TYRE CURING</t>
        </is>
      </c>
      <c r="F453" s="130" t="n">
        <v>41821</v>
      </c>
      <c r="G453" s="131">
        <f>NOW()-F453</f>
        <v/>
      </c>
      <c r="H453" s="104" t="inlineStr">
        <is>
          <t>O</t>
        </is>
      </c>
      <c r="I453" s="104" t="inlineStr">
        <is>
          <t>O</t>
        </is>
      </c>
      <c r="J453" s="104" t="n">
        <v>9</v>
      </c>
      <c r="K453" s="104" t="n">
        <v>9</v>
      </c>
      <c r="L453" s="104" t="n">
        <v>8</v>
      </c>
      <c r="M453" s="104" t="n">
        <v>7</v>
      </c>
      <c r="N453" s="104" t="n"/>
      <c r="O453" s="104">
        <f>SUM(J453:N453)</f>
        <v/>
      </c>
      <c r="P453" s="12">
        <f>O453/IF(H453="L",20,IF(H453="U",30,IF(H453="O",40,IF(H453="I",20,""))))</f>
        <v/>
      </c>
      <c r="Q453" s="132">
        <f>IF(AND(H453="L", P453&gt;=50%), "Pass",
IF(AND(H453="U", P453&gt;=60%), "Pass",
IF(AND(H453="O", P453&gt;=75%), "Pass", "Fail")))</f>
        <v/>
      </c>
      <c r="R453" s="104" t="n"/>
      <c r="S453" s="104" t="n">
        <v>16</v>
      </c>
      <c r="T453" s="104" t="n">
        <v>12</v>
      </c>
      <c r="U453" s="104">
        <f>SUM(S453:T453)</f>
        <v/>
      </c>
      <c r="V453" s="12">
        <f>U453/IF(H453="L",35,IF(H453="U",35,IF(H453="O",35,IF(H453="I",35,""))))</f>
        <v/>
      </c>
      <c r="W453" s="132">
        <f>IF(AND(H453="L", V453&gt;=50%), "Pass",
IF(AND(H453="U", V453&gt;=60%), "Pass",
IF(AND(H453="O", V453&gt;=75%), "Pass", "Fail")))</f>
        <v/>
      </c>
      <c r="X453" s="132">
        <f>IF(AND(Q453="Pass", W453="Pass"), "Pass", "Fail")</f>
        <v/>
      </c>
      <c r="Y453" s="15">
        <f>IF($X453="Pass",$H453,
IF(H453="L","I",
IF(H453="U","L",
IF(H453="O","U",
"I"))))</f>
        <v/>
      </c>
    </row>
    <row r="454">
      <c r="A454" s="147">
        <f>ROW()-2</f>
        <v/>
      </c>
      <c r="B454" s="127" t="n">
        <v>900837</v>
      </c>
      <c r="C454" s="128" t="inlineStr">
        <is>
          <t>EBENEZER A</t>
        </is>
      </c>
      <c r="D454" s="127" t="inlineStr">
        <is>
          <t>PRODUCTION</t>
        </is>
      </c>
      <c r="E454" s="129" t="inlineStr">
        <is>
          <t>TYRE BUILDING-P3</t>
        </is>
      </c>
      <c r="F454" s="130" t="n">
        <v>41821</v>
      </c>
      <c r="G454" s="131">
        <f>NOW()-F454</f>
        <v/>
      </c>
      <c r="H454" s="104" t="inlineStr">
        <is>
          <t>O</t>
        </is>
      </c>
      <c r="I454" s="104" t="inlineStr">
        <is>
          <t>U</t>
        </is>
      </c>
      <c r="J454" s="104" t="n">
        <v>10</v>
      </c>
      <c r="K454" s="104" t="n">
        <v>10</v>
      </c>
      <c r="L454" s="104" t="n">
        <v>6</v>
      </c>
      <c r="M454" s="104" t="n">
        <v>5</v>
      </c>
      <c r="N454" s="104" t="n"/>
      <c r="O454" s="104">
        <f>SUM(J454:N454)</f>
        <v/>
      </c>
      <c r="P454" s="12">
        <f>O454/IF(H454="L",20,IF(H454="U",30,IF(H454="O",40,IF(H454="I",20,""))))</f>
        <v/>
      </c>
      <c r="Q454" s="132">
        <f>IF(AND(H454="L", P454&gt;=50%), "Pass",
IF(AND(H454="U", P454&gt;=60%), "Pass",
IF(AND(H454="O", P454&gt;=75%), "Pass", "Fail")))</f>
        <v/>
      </c>
      <c r="R454" s="104" t="n"/>
      <c r="S454" s="104" t="n">
        <v>18</v>
      </c>
      <c r="T454" s="104" t="n">
        <v>14</v>
      </c>
      <c r="U454" s="104">
        <f>SUM(S454:T454)</f>
        <v/>
      </c>
      <c r="V454" s="12">
        <f>U454/IF(H454="L",35,IF(H454="U",35,IF(H454="O",35,IF(H454="I",35,""))))</f>
        <v/>
      </c>
      <c r="W454" s="132">
        <f>IF(AND(H454="L", V454&gt;=50%), "Pass",
IF(AND(H454="U", V454&gt;=60%), "Pass",
IF(AND(H454="O", V454&gt;=75%), "Pass", "Fail")))</f>
        <v/>
      </c>
      <c r="X454" s="132">
        <f>IF(AND(Q454="Pass", W454="Pass"), "Pass", "Fail")</f>
        <v/>
      </c>
      <c r="Y454" s="15">
        <f>IF($X454="Pass",$H454,
IF(H454="L","I",
IF(H454="U","L",
IF(H454="O","U",
"I"))))</f>
        <v/>
      </c>
      <c r="Z454" s="81">
        <f>V454-75%</f>
        <v/>
      </c>
    </row>
    <row r="455">
      <c r="A455" s="147">
        <f>ROW()-2</f>
        <v/>
      </c>
      <c r="B455" s="127" t="n">
        <v>900838</v>
      </c>
      <c r="C455" s="128" t="inlineStr">
        <is>
          <t>SUBRAMANIAN SAMY C</t>
        </is>
      </c>
      <c r="D455" s="127" t="inlineStr">
        <is>
          <t>PRODUCTION</t>
        </is>
      </c>
      <c r="E455" s="129" t="inlineStr">
        <is>
          <t>TYRE CURING</t>
        </is>
      </c>
      <c r="F455" s="130" t="n">
        <v>41821</v>
      </c>
      <c r="G455" s="131">
        <f>NOW()-F455</f>
        <v/>
      </c>
      <c r="H455" s="104" t="inlineStr">
        <is>
          <t>O</t>
        </is>
      </c>
      <c r="I455" s="104" t="inlineStr">
        <is>
          <t>O</t>
        </is>
      </c>
      <c r="J455" s="104" t="n">
        <v>10</v>
      </c>
      <c r="K455" s="104" t="n">
        <v>9</v>
      </c>
      <c r="L455" s="104" t="n">
        <v>9</v>
      </c>
      <c r="M455" s="104" t="n">
        <v>9</v>
      </c>
      <c r="N455" s="104" t="n"/>
      <c r="O455" s="104">
        <f>SUM(J455:N455)</f>
        <v/>
      </c>
      <c r="P455" s="12">
        <f>O455/IF(H455="L",20,IF(H455="U",30,IF(H455="O",40,IF(H455="I",20,""))))</f>
        <v/>
      </c>
      <c r="Q455" s="132">
        <f>IF(AND(H455="L", P455&gt;=50%), "Pass",
IF(AND(H455="U", P455&gt;=60%), "Pass",
IF(AND(H455="O", P455&gt;=75%), "Pass", "Fail")))</f>
        <v/>
      </c>
      <c r="R455" s="104" t="n"/>
      <c r="S455" s="104" t="n">
        <v>14</v>
      </c>
      <c r="T455" s="104" t="n">
        <v>10</v>
      </c>
      <c r="U455" s="104">
        <f>SUM(S455:T455)</f>
        <v/>
      </c>
      <c r="V455" s="12">
        <f>U455/IF(H455="L",35,IF(H455="U",35,IF(H455="O",35,IF(H455="I",35,""))))</f>
        <v/>
      </c>
      <c r="W455" s="132">
        <f>IF(AND(H455="L", V455&gt;=50%), "Pass",
IF(AND(H455="U", V455&gt;=60%), "Pass",
IF(AND(H455="O", V455&gt;=75%), "Pass", "Fail")))</f>
        <v/>
      </c>
      <c r="X455" s="132">
        <f>IF(AND(Q455="Pass", W455="Pass"), "Pass", "Fail")</f>
        <v/>
      </c>
      <c r="Y455" s="15">
        <f>IF($X455="Pass",$H455,
IF(H455="L","I",
IF(H455="U","L",
IF(H455="O","U",
"I"))))</f>
        <v/>
      </c>
    </row>
    <row r="456">
      <c r="A456" s="147">
        <f>ROW()-2</f>
        <v/>
      </c>
      <c r="B456" s="127" t="n">
        <v>900840</v>
      </c>
      <c r="C456" s="128" t="inlineStr">
        <is>
          <t>AJAY KUMAR YADAV</t>
        </is>
      </c>
      <c r="D456" s="127" t="inlineStr">
        <is>
          <t>PRODUCTION</t>
        </is>
      </c>
      <c r="E456" s="129" t="inlineStr">
        <is>
          <t>TYRE CURING</t>
        </is>
      </c>
      <c r="F456" s="130" t="n">
        <v>41821</v>
      </c>
      <c r="G456" s="131">
        <f>NOW()-F456</f>
        <v/>
      </c>
      <c r="H456" s="104" t="inlineStr">
        <is>
          <t>O</t>
        </is>
      </c>
      <c r="I456" s="104" t="inlineStr">
        <is>
          <t>O</t>
        </is>
      </c>
      <c r="J456" s="104" t="n">
        <v>10</v>
      </c>
      <c r="K456" s="104" t="n">
        <v>9</v>
      </c>
      <c r="L456" s="104" t="n">
        <v>7</v>
      </c>
      <c r="M456" s="104" t="n">
        <v>6</v>
      </c>
      <c r="N456" s="104" t="n"/>
      <c r="O456" s="104">
        <f>SUM(J456:N456)</f>
        <v/>
      </c>
      <c r="P456" s="12">
        <f>O456/IF(H456="L",20,IF(H456="U",30,IF(H456="O",40,IF(H456="I",20,""))))</f>
        <v/>
      </c>
      <c r="Q456" s="132">
        <f>IF(AND(H456="L", P456&gt;=50%), "Pass",
IF(AND(H456="U", P456&gt;=60%), "Pass",
IF(AND(H456="O", P456&gt;=75%), "Pass", "Fail")))</f>
        <v/>
      </c>
      <c r="R456" s="104" t="n"/>
      <c r="S456" s="104" t="n">
        <v>16</v>
      </c>
      <c r="T456" s="104" t="n">
        <v>12</v>
      </c>
      <c r="U456" s="104">
        <f>SUM(S456:T456)</f>
        <v/>
      </c>
      <c r="V456" s="12">
        <f>U456/IF(H456="L",35,IF(H456="U",35,IF(H456="O",35,IF(H456="I",35,""))))</f>
        <v/>
      </c>
      <c r="W456" s="132">
        <f>IF(AND(H456="L", V456&gt;=50%), "Pass",
IF(AND(H456="U", V456&gt;=60%), "Pass",
IF(AND(H456="O", V456&gt;=75%), "Pass", "Fail")))</f>
        <v/>
      </c>
      <c r="X456" s="132">
        <f>IF(AND(Q456="Pass", W456="Pass"), "Pass", "Fail")</f>
        <v/>
      </c>
      <c r="Y456" s="15">
        <f>IF($X456="Pass",$H456,
IF(H456="L","I",
IF(H456="U","L",
IF(H456="O","U",
"I"))))</f>
        <v/>
      </c>
    </row>
    <row r="457">
      <c r="A457" s="147">
        <f>ROW()-2</f>
        <v/>
      </c>
      <c r="B457" s="127" t="n">
        <v>900842</v>
      </c>
      <c r="C457" s="128" t="inlineStr">
        <is>
          <t>SUDALAI MANI R</t>
        </is>
      </c>
      <c r="D457" s="127" t="inlineStr">
        <is>
          <t>PRODUCTION</t>
        </is>
      </c>
      <c r="E457" s="129" t="inlineStr">
        <is>
          <t>TYRE BUILDING-P3</t>
        </is>
      </c>
      <c r="F457" s="130" t="n">
        <v>41821</v>
      </c>
      <c r="G457" s="131">
        <f>NOW()-F457</f>
        <v/>
      </c>
      <c r="H457" s="104" t="inlineStr">
        <is>
          <t>O</t>
        </is>
      </c>
      <c r="I457" s="104" t="inlineStr">
        <is>
          <t>O</t>
        </is>
      </c>
      <c r="J457" s="104" t="n">
        <v>10</v>
      </c>
      <c r="K457" s="104" t="n">
        <v>10</v>
      </c>
      <c r="L457" s="104" t="n">
        <v>8</v>
      </c>
      <c r="M457" s="104" t="n">
        <v>9</v>
      </c>
      <c r="N457" s="104" t="n"/>
      <c r="O457" s="104">
        <f>SUM(J457:N457)</f>
        <v/>
      </c>
      <c r="P457" s="12">
        <f>O457/IF(H457="L",20,IF(H457="U",30,IF(H457="O",40,IF(H457="I",20,""))))</f>
        <v/>
      </c>
      <c r="Q457" s="132">
        <f>IF(AND(H457="L", P457&gt;=50%), "Pass",
IF(AND(H457="U", P457&gt;=60%), "Pass",
IF(AND(H457="O", P457&gt;=75%), "Pass", "Fail")))</f>
        <v/>
      </c>
      <c r="R457" s="104" t="n"/>
      <c r="S457" s="43" t="n">
        <v>16</v>
      </c>
      <c r="T457" s="43" t="n">
        <v>12</v>
      </c>
      <c r="U457" s="104">
        <f>SUM(S457:T457)</f>
        <v/>
      </c>
      <c r="V457" s="12">
        <f>U457/IF(H457="L",35,IF(H457="U",35,IF(H457="O",35,IF(H457="I",35,""))))</f>
        <v/>
      </c>
      <c r="W457" s="132">
        <f>IF(AND(H457="L", V457&gt;=50%), "Pass",
IF(AND(H457="U", V457&gt;=60%), "Pass",
IF(AND(H457="O", V457&gt;=75%), "Pass", "Fail")))</f>
        <v/>
      </c>
      <c r="X457" s="132">
        <f>IF(AND(Q457="Pass", W457="Pass"), "Pass", "Fail")</f>
        <v/>
      </c>
      <c r="Y457" s="15">
        <f>IF($X457="Pass",$H457,
IF(H457="L","I",
IF(H457="U","L",
IF(H457="O","U",
"I"))))</f>
        <v/>
      </c>
    </row>
    <row r="458">
      <c r="A458" s="147">
        <f>ROW()-2</f>
        <v/>
      </c>
      <c r="B458" s="127" t="n">
        <v>900843</v>
      </c>
      <c r="C458" s="128" t="inlineStr">
        <is>
          <t>RATHNAVEL G</t>
        </is>
      </c>
      <c r="D458" s="127" t="inlineStr">
        <is>
          <t>PRODUCTION</t>
        </is>
      </c>
      <c r="E458" s="129" t="inlineStr">
        <is>
          <t>TYRE BUILDING-P3</t>
        </is>
      </c>
      <c r="F458" s="130" t="n">
        <v>41821</v>
      </c>
      <c r="G458" s="131">
        <f>NOW()-F458</f>
        <v/>
      </c>
      <c r="H458" s="104" t="inlineStr">
        <is>
          <t>O</t>
        </is>
      </c>
      <c r="I458" s="104" t="inlineStr">
        <is>
          <t>O</t>
        </is>
      </c>
      <c r="J458" s="104" t="n">
        <v>10</v>
      </c>
      <c r="K458" s="104" t="n">
        <v>8</v>
      </c>
      <c r="L458" s="104" t="n">
        <v>3</v>
      </c>
      <c r="M458" s="104" t="n">
        <v>9</v>
      </c>
      <c r="N458" s="104" t="n"/>
      <c r="O458" s="104">
        <f>SUM(J458:N458)</f>
        <v/>
      </c>
      <c r="P458" s="12">
        <f>O458/IF(H458="L",20,IF(H458="U",30,IF(H458="O",40,IF(H458="I",20,""))))</f>
        <v/>
      </c>
      <c r="Q458" s="132">
        <f>IF(AND(H458="L", P458&gt;=50%), "Pass",
IF(AND(H458="U", P458&gt;=60%), "Pass",
IF(AND(H458="O", P458&gt;=75%), "Pass", "Fail")))</f>
        <v/>
      </c>
      <c r="R458" s="104" t="n"/>
      <c r="S458" s="104" t="n">
        <v>18</v>
      </c>
      <c r="T458" s="104" t="n">
        <v>14</v>
      </c>
      <c r="U458" s="104">
        <f>SUM(S458:T458)</f>
        <v/>
      </c>
      <c r="V458" s="12">
        <f>U458/IF(H458="L",35,IF(H458="U",35,IF(H458="O",35,IF(H458="I",35,""))))</f>
        <v/>
      </c>
      <c r="W458" s="132">
        <f>IF(AND(H458="L", V458&gt;=50%), "Pass",
IF(AND(H458="U", V458&gt;=60%), "Pass",
IF(AND(H458="O", V458&gt;=75%), "Pass", "Fail")))</f>
        <v/>
      </c>
      <c r="X458" s="132">
        <f>IF(AND(Q458="Pass", W458="Pass"), "Pass", "Fail")</f>
        <v/>
      </c>
      <c r="Y458" s="15">
        <f>IF($X458="Pass",$H458,
IF(H458="L","I",
IF(H458="U","L",
IF(H458="O","U",
"I"))))</f>
        <v/>
      </c>
    </row>
    <row r="459">
      <c r="A459" s="147">
        <f>ROW()-2</f>
        <v/>
      </c>
      <c r="B459" s="127" t="n">
        <v>900853</v>
      </c>
      <c r="C459" s="128" t="inlineStr">
        <is>
          <t>CHANDRA SEKAR T</t>
        </is>
      </c>
      <c r="D459" s="127" t="inlineStr">
        <is>
          <t>PRODUCTION</t>
        </is>
      </c>
      <c r="E459" s="129" t="inlineStr">
        <is>
          <t>BIAS CUTTING-2</t>
        </is>
      </c>
      <c r="F459" s="130" t="n">
        <v>41821</v>
      </c>
      <c r="G459" s="131">
        <f>NOW()-F459</f>
        <v/>
      </c>
      <c r="H459" s="104" t="inlineStr">
        <is>
          <t>O</t>
        </is>
      </c>
      <c r="I459" s="104" t="inlineStr">
        <is>
          <t>O</t>
        </is>
      </c>
      <c r="J459" s="104" t="n">
        <v>9</v>
      </c>
      <c r="K459" s="104" t="n">
        <v>5</v>
      </c>
      <c r="L459" s="104" t="n">
        <v>1</v>
      </c>
      <c r="M459" s="104" t="n">
        <v>6</v>
      </c>
      <c r="N459" s="104" t="n"/>
      <c r="O459" s="104">
        <f>SUM(J459:N459)</f>
        <v/>
      </c>
      <c r="P459" s="12">
        <f>O459/IF(H459="L",20,IF(H459="U",30,IF(H459="O",40,IF(H459="I",20,""))))</f>
        <v/>
      </c>
      <c r="Q459" s="132">
        <f>IF(AND(H459="L", P459&gt;=50%), "Pass",
IF(AND(H459="U", P459&gt;=60%), "Pass",
IF(AND(H459="O", P459&gt;=75%), "Pass", "Fail")))</f>
        <v/>
      </c>
      <c r="R459" s="104" t="n"/>
      <c r="S459" s="104" t="n">
        <v>15</v>
      </c>
      <c r="T459" s="104" t="n">
        <v>12</v>
      </c>
      <c r="U459" s="104">
        <f>SUM(S459:T459)</f>
        <v/>
      </c>
      <c r="V459" s="12">
        <f>U459/IF(H459="L",35,IF(H459="U",35,IF(H459="O",35,IF(H459="I",35,""))))</f>
        <v/>
      </c>
      <c r="W459" s="132">
        <f>IF(AND(H459="L", V459&gt;=50%), "Pass",
IF(AND(H459="U", V459&gt;=60%), "Pass",
IF(AND(H459="O", V459&gt;=75%), "Pass", "Fail")))</f>
        <v/>
      </c>
      <c r="X459" s="132">
        <f>IF(AND(Q459="Pass", W459="Pass"), "Pass", "Fail")</f>
        <v/>
      </c>
      <c r="Y459" s="15">
        <f>IF($X459="Pass",$H459,
IF(H459="L","I",
IF(H459="U","L",
IF(H459="O","U",
"I"))))</f>
        <v/>
      </c>
    </row>
    <row r="460">
      <c r="A460" s="147">
        <f>ROW()-2</f>
        <v/>
      </c>
      <c r="B460" s="127" t="n">
        <v>900854</v>
      </c>
      <c r="C460" s="128" t="inlineStr">
        <is>
          <t>VIJAYA KRISHNAN A.C</t>
        </is>
      </c>
      <c r="D460" s="127" t="inlineStr">
        <is>
          <t>PRODUCTION</t>
        </is>
      </c>
      <c r="E460" s="129" t="inlineStr">
        <is>
          <t>BAND BUILDING-P2</t>
        </is>
      </c>
      <c r="F460" s="130" t="n">
        <v>41821</v>
      </c>
      <c r="G460" s="131">
        <f>NOW()-F460</f>
        <v/>
      </c>
      <c r="H460" s="104" t="inlineStr">
        <is>
          <t>O</t>
        </is>
      </c>
      <c r="I460" s="104" t="inlineStr">
        <is>
          <t>O</t>
        </is>
      </c>
      <c r="J460" s="104" t="n">
        <v>8</v>
      </c>
      <c r="K460" s="104" t="n">
        <v>7</v>
      </c>
      <c r="L460" s="104" t="n">
        <v>7</v>
      </c>
      <c r="M460" s="104" t="n">
        <v>8</v>
      </c>
      <c r="N460" s="104" t="n"/>
      <c r="O460" s="104">
        <f>SUM(J460:N460)</f>
        <v/>
      </c>
      <c r="P460" s="12">
        <f>O460/IF(H460="L",20,IF(H460="U",30,IF(H460="O",40,IF(H460="I",20,""))))</f>
        <v/>
      </c>
      <c r="Q460" s="132">
        <f>IF(AND(H460="L", P460&gt;=50%), "Pass",
IF(AND(H460="U", P460&gt;=60%), "Pass",
IF(AND(H460="O", P460&gt;=75%), "Pass", "Fail")))</f>
        <v/>
      </c>
      <c r="R460" s="104" t="n"/>
      <c r="S460" s="104" t="n">
        <v>16</v>
      </c>
      <c r="T460" s="104" t="n">
        <v>12</v>
      </c>
      <c r="U460" s="104">
        <f>SUM(S460:T460)</f>
        <v/>
      </c>
      <c r="V460" s="12">
        <f>U460/IF(H460="L",35,IF(H460="U",35,IF(H460="O",35,IF(H460="I",35,""))))</f>
        <v/>
      </c>
      <c r="W460" s="132">
        <f>IF(AND(H460="L", V460&gt;=50%), "Pass",
IF(AND(H460="U", V460&gt;=60%), "Pass",
IF(AND(H460="O", V460&gt;=75%), "Pass", "Fail")))</f>
        <v/>
      </c>
      <c r="X460" s="132">
        <f>IF(AND(Q460="Pass", W460="Pass"), "Pass", "Fail")</f>
        <v/>
      </c>
      <c r="Y460" s="15">
        <f>IF($X460="Pass",$H460,
IF(H460="L","I",
IF(H460="U","L",
IF(H460="O","U",
"I"))))</f>
        <v/>
      </c>
    </row>
    <row r="461">
      <c r="A461" s="147">
        <f>ROW()-2</f>
        <v/>
      </c>
      <c r="B461" s="127" t="n">
        <v>900855</v>
      </c>
      <c r="C461" s="128" t="inlineStr">
        <is>
          <t>THANGAKALYANI P</t>
        </is>
      </c>
      <c r="D461" s="127" t="inlineStr">
        <is>
          <t>PRODUCTION</t>
        </is>
      </c>
      <c r="E461" s="129" t="inlineStr">
        <is>
          <t>BAND BUILDING-P3</t>
        </is>
      </c>
      <c r="F461" s="130" t="n">
        <v>41821</v>
      </c>
      <c r="G461" s="131">
        <f>NOW()-F461</f>
        <v/>
      </c>
      <c r="H461" s="104" t="inlineStr">
        <is>
          <t>O</t>
        </is>
      </c>
      <c r="I461" s="104" t="inlineStr">
        <is>
          <t>U</t>
        </is>
      </c>
      <c r="J461" s="104" t="n">
        <v>7</v>
      </c>
      <c r="K461" s="104" t="n">
        <v>8</v>
      </c>
      <c r="L461" s="104" t="n">
        <v>6</v>
      </c>
      <c r="M461" s="104" t="n">
        <v>8</v>
      </c>
      <c r="N461" s="104" t="n"/>
      <c r="O461" s="104">
        <f>SUM(J461:N461)</f>
        <v/>
      </c>
      <c r="P461" s="12">
        <f>O461/IF(H461="L",20,IF(H461="U",30,IF(H461="O",40,IF(H461="I",20,""))))</f>
        <v/>
      </c>
      <c r="Q461" s="132">
        <f>IF(AND(H461="L", P461&gt;=50%), "Pass",
IF(AND(H461="U", P461&gt;=60%), "Pass",
IF(AND(H461="O", P461&gt;=75%), "Pass", "Fail")))</f>
        <v/>
      </c>
      <c r="R461" s="104" t="n"/>
      <c r="S461" s="104" t="n">
        <v>15</v>
      </c>
      <c r="T461" s="104" t="n">
        <v>14</v>
      </c>
      <c r="U461" s="104">
        <f>SUM(S461:T461)</f>
        <v/>
      </c>
      <c r="V461" s="12">
        <f>U461/IF(H461="L",35,IF(H461="U",35,IF(H461="O",35,IF(H461="I",35,""))))</f>
        <v/>
      </c>
      <c r="W461" s="132">
        <f>IF(AND(H461="L", V461&gt;=50%), "Pass",
IF(AND(H461="U", V461&gt;=60%), "Pass",
IF(AND(H461="O", V461&gt;=75%), "Pass", "Fail")))</f>
        <v/>
      </c>
      <c r="X461" s="132">
        <f>IF(AND(Q461="Pass", W461="Pass"), "Pass", "Fail")</f>
        <v/>
      </c>
      <c r="Y461" s="15">
        <f>IF($X461="Pass",$H461,
IF(H461="L","I",
IF(H461="U","L",
IF(H461="O","U",
"I"))))</f>
        <v/>
      </c>
    </row>
    <row r="462">
      <c r="A462" s="147">
        <f>ROW()-2</f>
        <v/>
      </c>
      <c r="B462" s="127" t="inlineStr">
        <is>
          <t>PK0104</t>
        </is>
      </c>
      <c r="C462" s="128" t="inlineStr">
        <is>
          <t>JITENDRA</t>
        </is>
      </c>
      <c r="D462" s="127" t="inlineStr">
        <is>
          <t>PRODUCTION</t>
        </is>
      </c>
      <c r="E462" s="129" t="inlineStr">
        <is>
          <t>BIAS CUTTING-5</t>
        </is>
      </c>
      <c r="F462" s="130" t="n">
        <v>41821</v>
      </c>
      <c r="G462" s="131">
        <f>NOW()-F462</f>
        <v/>
      </c>
      <c r="H462" s="104" t="inlineStr">
        <is>
          <t>O</t>
        </is>
      </c>
      <c r="I462" s="104" t="inlineStr">
        <is>
          <t>U</t>
        </is>
      </c>
      <c r="J462" s="104" t="n">
        <v>6</v>
      </c>
      <c r="K462" s="104" t="n">
        <v>2</v>
      </c>
      <c r="L462" s="104" t="n">
        <v>1</v>
      </c>
      <c r="M462" s="104" t="n">
        <v>7</v>
      </c>
      <c r="N462" s="104" t="n"/>
      <c r="O462" s="104">
        <f>SUM(J462:N462)</f>
        <v/>
      </c>
      <c r="P462" s="12">
        <f>O462/IF(H462="L",20,IF(H462="U",30,IF(H462="O",40,IF(H462="I",20,""))))</f>
        <v/>
      </c>
      <c r="Q462" s="132">
        <f>IF(AND(H462="L", P462&gt;=50%), "Pass",
IF(AND(H462="U", P462&gt;=60%), "Pass",
IF(AND(H462="O", P462&gt;=75%), "Pass", "Fail")))</f>
        <v/>
      </c>
      <c r="R462" s="104" t="n"/>
      <c r="S462" s="104" t="n">
        <v>14</v>
      </c>
      <c r="T462" s="104" t="n">
        <v>11</v>
      </c>
      <c r="U462" s="104">
        <f>SUM(S462:T462)</f>
        <v/>
      </c>
      <c r="V462" s="12">
        <f>U462/IF(H462="L",35,IF(H462="U",35,IF(H462="O",35,IF(H462="I",35,""))))</f>
        <v/>
      </c>
      <c r="W462" s="132">
        <f>IF(AND(H462="L", V462&gt;=50%), "Pass",
IF(AND(H462="U", V462&gt;=60%), "Pass",
IF(AND(H462="O", V462&gt;=75%), "Pass", "Fail")))</f>
        <v/>
      </c>
      <c r="X462" s="132">
        <f>IF(AND(Q462="Pass", W462="Pass"), "Pass", "Fail")</f>
        <v/>
      </c>
      <c r="Y462" s="15">
        <f>IF($X462="Pass",$H462,
IF(H462="L","I",
IF(H462="U","L",
IF(H462="O","U",
"I"))))</f>
        <v/>
      </c>
    </row>
    <row r="463">
      <c r="A463" s="147">
        <f>ROW()-2</f>
        <v/>
      </c>
      <c r="B463" s="127" t="inlineStr">
        <is>
          <t>AK0650</t>
        </is>
      </c>
      <c r="C463" s="128" t="inlineStr">
        <is>
          <t>SIVA SANKAR S</t>
        </is>
      </c>
      <c r="D463" s="127" t="inlineStr">
        <is>
          <t>PRODUCTION</t>
        </is>
      </c>
      <c r="E463" s="129" t="inlineStr">
        <is>
          <t>BIAS MARANGONI&amp;BESTRY</t>
        </is>
      </c>
      <c r="F463" s="130" t="n">
        <v>41838</v>
      </c>
      <c r="G463" s="131">
        <f>NOW()-F463</f>
        <v/>
      </c>
      <c r="H463" s="104" t="inlineStr">
        <is>
          <t>O</t>
        </is>
      </c>
      <c r="I463" s="104" t="inlineStr">
        <is>
          <t>U</t>
        </is>
      </c>
      <c r="J463" s="104" t="n">
        <v>9</v>
      </c>
      <c r="K463" s="104" t="n">
        <v>10</v>
      </c>
      <c r="L463" s="104" t="n">
        <v>9</v>
      </c>
      <c r="M463" s="104" t="n">
        <v>8</v>
      </c>
      <c r="N463" s="104" t="n"/>
      <c r="O463" s="104">
        <f>SUM(J463:N463)</f>
        <v/>
      </c>
      <c r="P463" s="12">
        <f>O463/IF(H463="L",20,IF(H463="U",30,IF(H463="O",40,IF(H463="I",20,""))))</f>
        <v/>
      </c>
      <c r="Q463" s="132">
        <f>IF(AND(H463="L", P463&gt;=50%), "Pass",
IF(AND(H463="U", P463&gt;=60%), "Pass",
IF(AND(H463="O", P463&gt;=75%), "Pass", "Fail")))</f>
        <v/>
      </c>
      <c r="R463" s="104" t="n"/>
      <c r="S463" s="104" t="n">
        <v>15</v>
      </c>
      <c r="T463" s="104" t="n">
        <v>12</v>
      </c>
      <c r="U463" s="104">
        <f>SUM(S463:T463)</f>
        <v/>
      </c>
      <c r="V463" s="12">
        <f>U463/IF(H463="L",35,IF(H463="U",35,IF(H463="O",35,IF(H463="I",35,""))))</f>
        <v/>
      </c>
      <c r="W463" s="132">
        <f>IF(AND(H463="L", V463&gt;=50%), "Pass",
IF(AND(H463="U", V463&gt;=60%), "Pass",
IF(AND(H463="O", V463&gt;=75%), "Pass", "Fail")))</f>
        <v/>
      </c>
      <c r="X463" s="132">
        <f>IF(AND(Q463="Pass", W463="Pass"), "Pass", "Fail")</f>
        <v/>
      </c>
      <c r="Y463" s="15">
        <f>IF($X463="Pass",$H463,
IF(H463="L","I",
IF(H463="U","L",
IF(H463="O","U",
"I"))))</f>
        <v/>
      </c>
    </row>
    <row r="464">
      <c r="A464" s="147">
        <f>ROW()-2</f>
        <v/>
      </c>
      <c r="B464" s="127" t="inlineStr">
        <is>
          <t>PK0229</t>
        </is>
      </c>
      <c r="C464" s="128" t="inlineStr">
        <is>
          <t>MUTHU KUMAR R</t>
        </is>
      </c>
      <c r="D464" s="127" t="inlineStr">
        <is>
          <t>PRODUCTION</t>
        </is>
      </c>
      <c r="E464" s="129" t="inlineStr">
        <is>
          <t>BAND BUILDING-P1</t>
        </is>
      </c>
      <c r="F464" s="130" t="n">
        <v>41861</v>
      </c>
      <c r="G464" s="131">
        <f>NOW()-F464</f>
        <v/>
      </c>
      <c r="H464" s="104" t="inlineStr">
        <is>
          <t>O</t>
        </is>
      </c>
      <c r="I464" s="104" t="inlineStr">
        <is>
          <t>O</t>
        </is>
      </c>
      <c r="J464" s="104" t="n">
        <v>10</v>
      </c>
      <c r="K464" s="104" t="n">
        <v>10</v>
      </c>
      <c r="L464" s="104" t="n">
        <v>7</v>
      </c>
      <c r="M464" s="104" t="n">
        <v>6</v>
      </c>
      <c r="N464" s="104" t="n"/>
      <c r="O464" s="104">
        <f>SUM(J464:N464)</f>
        <v/>
      </c>
      <c r="P464" s="12">
        <f>O464/IF(H464="L",20,IF(H464="U",30,IF(H464="O",40,IF(H464="I",20,""))))</f>
        <v/>
      </c>
      <c r="Q464" s="132">
        <f>IF(AND(H464="L", P464&gt;=50%), "Pass",
IF(AND(H464="U", P464&gt;=60%), "Pass",
IF(AND(H464="O", P464&gt;=75%), "Pass", "Fail")))</f>
        <v/>
      </c>
      <c r="R464" s="104" t="n"/>
      <c r="S464" s="104" t="n">
        <v>17</v>
      </c>
      <c r="T464" s="104" t="n">
        <v>15</v>
      </c>
      <c r="U464" s="104">
        <f>SUM(S464:T464)</f>
        <v/>
      </c>
      <c r="V464" s="12">
        <f>U464/IF(H464="L",35,IF(H464="U",35,IF(H464="O",35,IF(H464="I",35,""))))</f>
        <v/>
      </c>
      <c r="W464" s="132">
        <f>IF(AND(H464="L", V464&gt;=50%), "Pass",
IF(AND(H464="U", V464&gt;=60%), "Pass",
IF(AND(H464="O", V464&gt;=75%), "Pass", "Fail")))</f>
        <v/>
      </c>
      <c r="X464" s="132">
        <f>IF(AND(Q464="Pass", W464="Pass"), "Pass", "Fail")</f>
        <v/>
      </c>
      <c r="Y464" s="15">
        <f>IF($X464="Pass",$H464,
IF(H464="L","I",
IF(H464="U","L",
IF(H464="O","U",
"I"))))</f>
        <v/>
      </c>
    </row>
    <row r="465">
      <c r="A465" s="147">
        <f>ROW()-2</f>
        <v/>
      </c>
      <c r="B465" s="127" t="inlineStr">
        <is>
          <t>SK2301</t>
        </is>
      </c>
      <c r="C465" s="128" t="inlineStr">
        <is>
          <t>RAMA KRISHNAN A</t>
        </is>
      </c>
      <c r="D465" s="127" t="inlineStr">
        <is>
          <t>PRODUCTION</t>
        </is>
      </c>
      <c r="E465" s="129" t="inlineStr">
        <is>
          <t>TYRE CURING</t>
        </is>
      </c>
      <c r="F465" s="130" t="n">
        <v>41861</v>
      </c>
      <c r="G465" s="131">
        <f>NOW()-F465</f>
        <v/>
      </c>
      <c r="H465" s="104" t="inlineStr">
        <is>
          <t>O</t>
        </is>
      </c>
      <c r="I465" s="104" t="inlineStr">
        <is>
          <t>O</t>
        </is>
      </c>
      <c r="J465" s="104" t="n">
        <v>8</v>
      </c>
      <c r="K465" s="104" t="n">
        <v>8</v>
      </c>
      <c r="L465" s="104" t="n">
        <v>7</v>
      </c>
      <c r="M465" s="104" t="n">
        <v>6</v>
      </c>
      <c r="N465" s="104" t="n"/>
      <c r="O465" s="104">
        <f>SUM(J465:N465)</f>
        <v/>
      </c>
      <c r="P465" s="12">
        <f>O465/IF(H465="L",20,IF(H465="U",30,IF(H465="O",40,IF(H465="I",20,""))))</f>
        <v/>
      </c>
      <c r="Q465" s="132">
        <f>IF(AND(H465="L", P465&gt;=50%), "Pass",
IF(AND(H465="U", P465&gt;=60%), "Pass",
IF(AND(H465="O", P465&gt;=75%), "Pass", "Fail")))</f>
        <v/>
      </c>
      <c r="R465" s="104" t="n"/>
      <c r="S465" s="104" t="n">
        <v>14</v>
      </c>
      <c r="T465" s="104" t="n">
        <v>12</v>
      </c>
      <c r="U465" s="104">
        <f>SUM(S465:T465)</f>
        <v/>
      </c>
      <c r="V465" s="12">
        <f>U465/IF(H465="L",35,IF(H465="U",35,IF(H465="O",35,IF(H465="I",35,""))))</f>
        <v/>
      </c>
      <c r="W465" s="132">
        <f>IF(AND(H465="L", V465&gt;=50%), "Pass",
IF(AND(H465="U", V465&gt;=60%), "Pass",
IF(AND(H465="O", V465&gt;=75%), "Pass", "Fail")))</f>
        <v/>
      </c>
      <c r="X465" s="132">
        <f>IF(AND(Q465="Pass", W465="Pass"), "Pass", "Fail")</f>
        <v/>
      </c>
      <c r="Y465" s="15">
        <f>IF($X465="Pass",$H465,
IF(H465="L","I",
IF(H465="U","L",
IF(H465="O","U",
"I"))))</f>
        <v/>
      </c>
    </row>
    <row r="466">
      <c r="A466" s="147">
        <f>ROW()-2</f>
        <v/>
      </c>
      <c r="B466" s="127" t="inlineStr">
        <is>
          <t>SK1678</t>
        </is>
      </c>
      <c r="C466" s="128" t="inlineStr">
        <is>
          <t>MURUGA PERUMAL M</t>
        </is>
      </c>
      <c r="D466" s="127" t="inlineStr">
        <is>
          <t>PRODUCTION</t>
        </is>
      </c>
      <c r="E466" s="129" t="inlineStr">
        <is>
          <t>3 ROLL-P2</t>
        </is>
      </c>
      <c r="F466" s="130" t="n">
        <v>41864</v>
      </c>
      <c r="G466" s="131">
        <f>NOW()-F466</f>
        <v/>
      </c>
      <c r="H466" s="104" t="inlineStr">
        <is>
          <t>O</t>
        </is>
      </c>
      <c r="I466" s="104" t="inlineStr">
        <is>
          <t>U</t>
        </is>
      </c>
      <c r="J466" s="104" t="n">
        <v>6</v>
      </c>
      <c r="K466" s="104" t="n">
        <v>7</v>
      </c>
      <c r="L466" s="104" t="n">
        <v>5</v>
      </c>
      <c r="M466" s="104" t="n">
        <v>9</v>
      </c>
      <c r="N466" s="104" t="n"/>
      <c r="O466" s="104">
        <f>SUM(J466:N466)</f>
        <v/>
      </c>
      <c r="P466" s="12">
        <f>O466/IF(H466="L",20,IF(H466="U",30,IF(H466="O",40,IF(H466="I",20,""))))</f>
        <v/>
      </c>
      <c r="Q466" s="132">
        <f>IF(AND(H466="L", P466&gt;=50%), "Pass",
IF(AND(H466="U", P466&gt;=60%), "Pass",
IF(AND(H466="O", P466&gt;=75%), "Pass", "Fail")))</f>
        <v/>
      </c>
      <c r="R466" s="104" t="n"/>
      <c r="S466" s="104" t="n">
        <v>16</v>
      </c>
      <c r="T466" s="104" t="n">
        <v>8</v>
      </c>
      <c r="U466" s="104">
        <f>SUM(S466:T466)</f>
        <v/>
      </c>
      <c r="V466" s="12">
        <f>U466/IF(H466="L",35,IF(H466="U",35,IF(H466="O",35,IF(H466="I",35,""))))</f>
        <v/>
      </c>
      <c r="W466" s="132">
        <f>IF(AND(H466="L", V466&gt;=50%), "Pass",
IF(AND(H466="U", V466&gt;=60%), "Pass",
IF(AND(H466="O", V466&gt;=75%), "Pass", "Fail")))</f>
        <v/>
      </c>
      <c r="X466" s="132">
        <f>IF(AND(Q466="Pass", W466="Pass"), "Pass", "Fail")</f>
        <v/>
      </c>
      <c r="Y466" s="15">
        <f>IF($X466="Pass",$H466,
IF(H466="L","I",
IF(H466="U","L",
IF(H466="O","U",
"I"))))</f>
        <v/>
      </c>
    </row>
    <row r="467">
      <c r="A467" s="147">
        <f>ROW()-2</f>
        <v/>
      </c>
      <c r="B467" s="127" t="inlineStr">
        <is>
          <t>AK0272</t>
        </is>
      </c>
      <c r="C467" s="128" t="inlineStr">
        <is>
          <t>ARUMUGAM M</t>
        </is>
      </c>
      <c r="D467" s="127" t="inlineStr">
        <is>
          <t>PRODUCTION</t>
        </is>
      </c>
      <c r="E467" s="129" t="inlineStr">
        <is>
          <t>EXTRUDER</t>
        </is>
      </c>
      <c r="F467" s="130" t="n">
        <v>41892</v>
      </c>
      <c r="G467" s="131">
        <f>NOW()-F467</f>
        <v/>
      </c>
      <c r="H467" s="104" t="inlineStr">
        <is>
          <t>O</t>
        </is>
      </c>
      <c r="I467" s="104" t="inlineStr">
        <is>
          <t>O</t>
        </is>
      </c>
      <c r="J467" s="104" t="n">
        <v>9</v>
      </c>
      <c r="K467" s="104" t="n">
        <v>8</v>
      </c>
      <c r="L467" s="104" t="n">
        <v>9</v>
      </c>
      <c r="M467" s="104" t="n">
        <v>8</v>
      </c>
      <c r="N467" s="104" t="n"/>
      <c r="O467" s="104">
        <f>SUM(J467:N467)</f>
        <v/>
      </c>
      <c r="P467" s="12">
        <f>O467/IF(H467="L",20,IF(H467="U",30,IF(H467="O",40,IF(H467="I",20,""))))</f>
        <v/>
      </c>
      <c r="Q467" s="132">
        <f>IF(AND(H467="L", P467&gt;=50%), "Pass",
IF(AND(H467="U", P467&gt;=60%), "Pass",
IF(AND(H467="O", P467&gt;=75%), "Pass", "Fail")))</f>
        <v/>
      </c>
      <c r="R467" s="104" t="n"/>
      <c r="S467" s="104" t="n">
        <v>17</v>
      </c>
      <c r="T467" s="104" t="n">
        <v>12</v>
      </c>
      <c r="U467" s="104">
        <f>SUM(S467:T467)</f>
        <v/>
      </c>
      <c r="V467" s="12">
        <f>U467/IF(H467="L",35,IF(H467="U",35,IF(H467="O",35,IF(H467="I",35,""))))</f>
        <v/>
      </c>
      <c r="W467" s="132">
        <f>IF(AND(H467="L", V467&gt;=50%), "Pass",
IF(AND(H467="U", V467&gt;=60%), "Pass",
IF(AND(H467="O", V467&gt;=75%), "Pass", "Fail")))</f>
        <v/>
      </c>
      <c r="X467" s="132">
        <f>IF(AND(Q467="Pass", W467="Pass"), "Pass", "Fail")</f>
        <v/>
      </c>
      <c r="Y467" s="15">
        <f>IF($X467="Pass",$H467,
IF(H467="L","I",
IF(H467="U","L",
IF(H467="O","U",
"I"))))</f>
        <v/>
      </c>
    </row>
    <row r="468">
      <c r="A468" s="147">
        <f>ROW()-2</f>
        <v/>
      </c>
      <c r="B468" s="127" t="inlineStr">
        <is>
          <t>SK2371</t>
        </is>
      </c>
      <c r="C468" s="128" t="inlineStr">
        <is>
          <t>MAHESH MUTHU M</t>
        </is>
      </c>
      <c r="D468" s="127" t="inlineStr">
        <is>
          <t>PRODUCTION</t>
        </is>
      </c>
      <c r="E468" s="129" t="inlineStr">
        <is>
          <t>BIAS CUTTING-1</t>
        </is>
      </c>
      <c r="F468" s="130" t="n">
        <v>41892</v>
      </c>
      <c r="G468" s="131">
        <f>NOW()-F468</f>
        <v/>
      </c>
      <c r="H468" s="104" t="inlineStr">
        <is>
          <t>O</t>
        </is>
      </c>
      <c r="I468" s="104" t="inlineStr">
        <is>
          <t>U</t>
        </is>
      </c>
      <c r="J468" s="104" t="n">
        <v>9</v>
      </c>
      <c r="K468" s="104" t="n">
        <v>4</v>
      </c>
      <c r="L468" s="104" t="n">
        <v>5</v>
      </c>
      <c r="M468" s="104" t="n">
        <v>5</v>
      </c>
      <c r="N468" s="104" t="n"/>
      <c r="O468" s="104">
        <f>SUM(J468:N468)</f>
        <v/>
      </c>
      <c r="P468" s="12">
        <f>O468/IF(H468="L",20,IF(H468="U",30,IF(H468="O",40,IF(H468="I",20,""))))</f>
        <v/>
      </c>
      <c r="Q468" s="132">
        <f>IF(AND(H468="L", P468&gt;=50%), "Pass",
IF(AND(H468="U", P468&gt;=60%), "Pass",
IF(AND(H468="O", P468&gt;=75%), "Pass", "Fail")))</f>
        <v/>
      </c>
      <c r="R468" s="104" t="n"/>
      <c r="S468" s="104" t="n">
        <v>15</v>
      </c>
      <c r="T468" s="104" t="n">
        <v>10</v>
      </c>
      <c r="U468" s="104">
        <f>SUM(S468:T468)</f>
        <v/>
      </c>
      <c r="V468" s="12">
        <f>U468/IF(H468="L",35,IF(H468="U",35,IF(H468="O",35,IF(H468="I",35,""))))</f>
        <v/>
      </c>
      <c r="W468" s="132">
        <f>IF(AND(H468="L", V468&gt;=50%), "Pass",
IF(AND(H468="U", V468&gt;=60%), "Pass",
IF(AND(H468="O", V468&gt;=75%), "Pass", "Fail")))</f>
        <v/>
      </c>
      <c r="X468" s="132">
        <f>IF(AND(Q468="Pass", W468="Pass"), "Pass", "Fail")</f>
        <v/>
      </c>
      <c r="Y468" s="15">
        <f>IF($X468="Pass",$H468,
IF(H468="L","I",
IF(H468="U","L",
IF(H468="O","U",
"I"))))</f>
        <v/>
      </c>
    </row>
    <row r="469">
      <c r="A469" s="147">
        <f>ROW()-2</f>
        <v/>
      </c>
      <c r="B469" s="127" t="inlineStr">
        <is>
          <t>SK1477</t>
        </is>
      </c>
      <c r="C469" s="128" t="inlineStr">
        <is>
          <t>MANOJ KUMAR MAURYA</t>
        </is>
      </c>
      <c r="D469" s="127" t="inlineStr">
        <is>
          <t>PRODUCTION</t>
        </is>
      </c>
      <c r="E469" s="129" t="inlineStr">
        <is>
          <t>TYRE BUILDING-P3</t>
        </is>
      </c>
      <c r="F469" s="130" t="n">
        <v>41919</v>
      </c>
      <c r="G469" s="131">
        <f>NOW()-F469</f>
        <v/>
      </c>
      <c r="H469" s="104" t="inlineStr">
        <is>
          <t>O</t>
        </is>
      </c>
      <c r="I469" s="104" t="inlineStr">
        <is>
          <t>U</t>
        </is>
      </c>
      <c r="J469" s="104" t="n">
        <v>9</v>
      </c>
      <c r="K469" s="104" t="n">
        <v>10</v>
      </c>
      <c r="L469" s="104" t="n">
        <v>8</v>
      </c>
      <c r="M469" s="104" t="n">
        <v>10</v>
      </c>
      <c r="N469" s="104" t="n"/>
      <c r="O469" s="104">
        <f>SUM(J469:N469)</f>
        <v/>
      </c>
      <c r="P469" s="12">
        <f>O469/IF(H469="L",20,IF(H469="U",30,IF(H469="O",40,IF(H469="I",20,""))))</f>
        <v/>
      </c>
      <c r="Q469" s="132">
        <f>IF(AND(H469="L", P469&gt;=50%), "Pass",
IF(AND(H469="U", P469&gt;=60%), "Pass",
IF(AND(H469="O", P469&gt;=75%), "Pass", "Fail")))</f>
        <v/>
      </c>
      <c r="R469" s="104" t="n"/>
      <c r="S469" s="104" t="n">
        <v>19</v>
      </c>
      <c r="T469" s="104" t="n">
        <v>13</v>
      </c>
      <c r="U469" s="104">
        <f>SUM(S469:T469)</f>
        <v/>
      </c>
      <c r="V469" s="12">
        <f>U469/IF(H469="L",35,IF(H469="U",35,IF(H469="O",35,IF(H469="I",35,""))))</f>
        <v/>
      </c>
      <c r="W469" s="132">
        <f>IF(AND(H469="L", V469&gt;=50%), "Pass",
IF(AND(H469="U", V469&gt;=60%), "Pass",
IF(AND(H469="O", V469&gt;=75%), "Pass", "Fail")))</f>
        <v/>
      </c>
      <c r="X469" s="132">
        <f>IF(AND(Q469="Pass", W469="Pass"), "Pass", "Fail")</f>
        <v/>
      </c>
      <c r="Y469" s="15">
        <f>IF($X469="Pass",$H469,
IF(H469="L","I",
IF(H469="U","L",
IF(H469="O","U",
"I"))))</f>
        <v/>
      </c>
      <c r="Z469" s="81">
        <f>V469-75%</f>
        <v/>
      </c>
    </row>
    <row r="470">
      <c r="A470" s="147">
        <f>ROW()-2</f>
        <v/>
      </c>
      <c r="B470" s="133" t="inlineStr">
        <is>
          <t>SR0234</t>
        </is>
      </c>
      <c r="C470" s="148" t="inlineStr">
        <is>
          <t>MATHAVAN V</t>
        </is>
      </c>
      <c r="D470" s="127" t="inlineStr">
        <is>
          <t>PRODUCTION</t>
        </is>
      </c>
      <c r="E470" s="135" t="inlineStr">
        <is>
          <t>MIXING</t>
        </is>
      </c>
      <c r="F470" s="136" t="n">
        <v>41924</v>
      </c>
      <c r="G470" s="131">
        <f>NOW()-F470</f>
        <v/>
      </c>
      <c r="H470" s="104" t="inlineStr">
        <is>
          <t>O</t>
        </is>
      </c>
      <c r="I470" s="104" t="inlineStr">
        <is>
          <t>U</t>
        </is>
      </c>
      <c r="J470" s="104" t="inlineStr">
        <is>
          <t>NIL</t>
        </is>
      </c>
      <c r="K470" s="104" t="n"/>
      <c r="L470" s="104" t="n"/>
      <c r="M470" s="104" t="n"/>
      <c r="N470" s="104" t="n"/>
      <c r="O470" s="104" t="n"/>
      <c r="P470" s="12">
        <f>O470/IF(H470="L",20,IF(H470="U",30,IF(H470="O",40,IF(H470="I",20,""))))</f>
        <v/>
      </c>
      <c r="Q470" s="132">
        <f>IF(AND(H470="L", P470&gt;=50%), "Pass",
IF(AND(H470="U", P470&gt;=60%), "Pass",
IF(AND(H470="O", P470&gt;=75%), "Pass", "Fail")))</f>
        <v/>
      </c>
      <c r="R470" s="104" t="n"/>
      <c r="S470" s="104" t="n">
        <v>13</v>
      </c>
      <c r="T470" s="104" t="n">
        <v>12</v>
      </c>
      <c r="U470" s="104">
        <f>SUM(S470:T470)</f>
        <v/>
      </c>
      <c r="V470" s="12">
        <f>U470/IF(H470="L",35,IF(H470="U",35,IF(H470="O",35,IF(H470="I",35,""))))</f>
        <v/>
      </c>
      <c r="W470" s="132">
        <f>IF(AND(H470="L", V470&gt;=50%), "Pass",
IF(AND(H470="U", V470&gt;=60%), "Pass",
IF(AND(H470="O", V470&gt;=75%), "Pass", "Fail")))</f>
        <v/>
      </c>
      <c r="X470" s="132">
        <f>IF(AND(Q470="Pass", W470="Pass"), "Pass", "Fail")</f>
        <v/>
      </c>
      <c r="Y470" s="15">
        <f>IF($X470="Pass",$H470,
IF(H470="L","I",
IF(H470="U","L",
IF(H470="O","U",
"I"))))</f>
        <v/>
      </c>
    </row>
    <row r="471">
      <c r="A471" s="147">
        <f>ROW()-2</f>
        <v/>
      </c>
      <c r="B471" s="133" t="inlineStr">
        <is>
          <t>SR0235</t>
        </is>
      </c>
      <c r="C471" s="148" t="inlineStr">
        <is>
          <t>RAMASAMY N</t>
        </is>
      </c>
      <c r="D471" s="127" t="inlineStr">
        <is>
          <t>PRODUCTION</t>
        </is>
      </c>
      <c r="E471" s="135" t="inlineStr">
        <is>
          <t>MIXING</t>
        </is>
      </c>
      <c r="F471" s="136" t="n">
        <v>41924</v>
      </c>
      <c r="G471" s="131">
        <f>NOW()-F471</f>
        <v/>
      </c>
      <c r="H471" s="104" t="inlineStr">
        <is>
          <t>O</t>
        </is>
      </c>
      <c r="I471" s="104" t="inlineStr">
        <is>
          <t>U</t>
        </is>
      </c>
      <c r="J471" s="104" t="inlineStr">
        <is>
          <t>NIL</t>
        </is>
      </c>
      <c r="K471" s="104" t="n"/>
      <c r="L471" s="104" t="n"/>
      <c r="M471" s="104" t="n"/>
      <c r="N471" s="104" t="n"/>
      <c r="O471" s="104" t="n"/>
      <c r="P471" s="12">
        <f>O471/IF(H471="L",20,IF(H471="U",30,IF(H471="O",40,IF(H471="I",20,""))))</f>
        <v/>
      </c>
      <c r="Q471" s="132">
        <f>IF(AND(H471="L", P471&gt;=50%), "Pass",
IF(AND(H471="U", P471&gt;=60%), "Pass",
IF(AND(H471="O", P471&gt;=75%), "Pass", "Fail")))</f>
        <v/>
      </c>
      <c r="R471" s="104" t="n"/>
      <c r="S471" s="104" t="n">
        <v>13</v>
      </c>
      <c r="T471" s="104" t="n">
        <v>11</v>
      </c>
      <c r="U471" s="104">
        <f>SUM(S471:T471)</f>
        <v/>
      </c>
      <c r="V471" s="12">
        <f>U471/IF(H471="L",35,IF(H471="U",35,IF(H471="O",35,IF(H471="I",35,""))))</f>
        <v/>
      </c>
      <c r="W471" s="132">
        <f>IF(AND(H471="L", V471&gt;=50%), "Pass",
IF(AND(H471="U", V471&gt;=60%), "Pass",
IF(AND(H471="O", V471&gt;=75%), "Pass", "Fail")))</f>
        <v/>
      </c>
      <c r="X471" s="132">
        <f>IF(AND(Q471="Pass", W471="Pass"), "Pass", "Fail")</f>
        <v/>
      </c>
      <c r="Y471" s="15">
        <f>IF($X471="Pass",$H471,
IF(H471="L","I",
IF(H471="U","L",
IF(H471="O","U",
"I"))))</f>
        <v/>
      </c>
    </row>
    <row r="472">
      <c r="A472" s="147">
        <f>ROW()-2</f>
        <v/>
      </c>
      <c r="B472" s="133" t="inlineStr">
        <is>
          <t>AK0297</t>
        </is>
      </c>
      <c r="C472" s="148" t="inlineStr">
        <is>
          <t>ANTONYRAJ S</t>
        </is>
      </c>
      <c r="D472" s="127" t="inlineStr">
        <is>
          <t>PRODUCTION</t>
        </is>
      </c>
      <c r="E472" s="135" t="inlineStr">
        <is>
          <t>MIXING</t>
        </is>
      </c>
      <c r="F472" s="136" t="n">
        <v>41927</v>
      </c>
      <c r="G472" s="131">
        <f>NOW()-F472</f>
        <v/>
      </c>
      <c r="H472" s="104" t="inlineStr">
        <is>
          <t>O</t>
        </is>
      </c>
      <c r="I472" s="104" t="inlineStr">
        <is>
          <t>U</t>
        </is>
      </c>
      <c r="J472" s="104" t="inlineStr">
        <is>
          <t>NIL</t>
        </is>
      </c>
      <c r="K472" s="104" t="n"/>
      <c r="L472" s="104" t="n"/>
      <c r="M472" s="104" t="n"/>
      <c r="N472" s="104" t="n"/>
      <c r="O472" s="104" t="n"/>
      <c r="P472" s="12">
        <f>O472/IF(H472="L",20,IF(H472="U",30,IF(H472="O",40,IF(H472="I",20,""))))</f>
        <v/>
      </c>
      <c r="Q472" s="132">
        <f>IF(AND(H472="L", P472&gt;=50%), "Pass",
IF(AND(H472="U", P472&gt;=60%), "Pass",
IF(AND(H472="O", P472&gt;=75%), "Pass", "Fail")))</f>
        <v/>
      </c>
      <c r="R472" s="104" t="n"/>
      <c r="S472" s="104" t="n">
        <v>13</v>
      </c>
      <c r="T472" s="104" t="n">
        <v>12</v>
      </c>
      <c r="U472" s="104">
        <f>SUM(S472:T472)</f>
        <v/>
      </c>
      <c r="V472" s="12">
        <f>U472/IF(H472="L",35,IF(H472="U",35,IF(H472="O",35,IF(H472="I",35,""))))</f>
        <v/>
      </c>
      <c r="W472" s="132">
        <f>IF(AND(H472="L", V472&gt;=50%), "Pass",
IF(AND(H472="U", V472&gt;=60%), "Pass",
IF(AND(H472="O", V472&gt;=75%), "Pass", "Fail")))</f>
        <v/>
      </c>
      <c r="X472" s="132">
        <f>IF(AND(Q472="Pass", W472="Pass"), "Pass", "Fail")</f>
        <v/>
      </c>
      <c r="Y472" s="15">
        <f>IF($X472="Pass",$H472,
IF(H472="L","I",
IF(H472="U","L",
IF(H472="O","U",
"I"))))</f>
        <v/>
      </c>
    </row>
    <row r="473">
      <c r="A473" s="147">
        <f>ROW()-2</f>
        <v/>
      </c>
      <c r="B473" s="127" t="inlineStr">
        <is>
          <t>SR0242</t>
        </is>
      </c>
      <c r="C473" s="128" t="inlineStr">
        <is>
          <t>SORNAKUMAR N</t>
        </is>
      </c>
      <c r="D473" s="127" t="inlineStr">
        <is>
          <t>PRODUCTION</t>
        </is>
      </c>
      <c r="E473" s="129" t="inlineStr">
        <is>
          <t>TYRE BUILDING-P2</t>
        </is>
      </c>
      <c r="F473" s="130" t="n">
        <v>41942</v>
      </c>
      <c r="G473" s="131">
        <f>NOW()-F473</f>
        <v/>
      </c>
      <c r="H473" s="104" t="inlineStr">
        <is>
          <t>O</t>
        </is>
      </c>
      <c r="I473" s="104" t="inlineStr">
        <is>
          <t>U</t>
        </is>
      </c>
      <c r="J473" s="104" t="n">
        <v>8</v>
      </c>
      <c r="K473" s="104" t="n">
        <v>8</v>
      </c>
      <c r="L473" s="104" t="n">
        <v>7</v>
      </c>
      <c r="M473" s="104" t="n">
        <v>8</v>
      </c>
      <c r="N473" s="104" t="n"/>
      <c r="O473" s="104">
        <f>SUM(J473:N473)</f>
        <v/>
      </c>
      <c r="P473" s="12">
        <f>O473/IF(H473="L",20,IF(H473="U",30,IF(H473="O",40,IF(H473="I",20,""))))</f>
        <v/>
      </c>
      <c r="Q473" s="132">
        <f>IF(AND(H473="L", P473&gt;=50%), "Pass",
IF(AND(H473="U", P473&gt;=60%), "Pass",
IF(AND(H473="O", P473&gt;=75%), "Pass", "Fail")))</f>
        <v/>
      </c>
      <c r="R473" s="104" t="n"/>
      <c r="S473" s="104" t="n">
        <v>15</v>
      </c>
      <c r="T473" s="104" t="n">
        <v>12</v>
      </c>
      <c r="U473" s="104">
        <f>SUM(S473:T473)</f>
        <v/>
      </c>
      <c r="V473" s="12">
        <f>U473/IF(H473="L",35,IF(H473="U",35,IF(H473="O",35,IF(H473="I",35,""))))</f>
        <v/>
      </c>
      <c r="W473" s="132">
        <f>IF(AND(H473="L", V473&gt;=50%), "Pass",
IF(AND(H473="U", V473&gt;=60%), "Pass",
IF(AND(H473="O", V473&gt;=75%), "Pass", "Fail")))</f>
        <v/>
      </c>
      <c r="X473" s="132">
        <f>IF(AND(Q473="Pass", W473="Pass"), "Pass", "Fail")</f>
        <v/>
      </c>
      <c r="Y473" s="15">
        <f>IF($X473="Pass",$H473,
IF(H473="L","I",
IF(H473="U","L",
IF(H473="O","U",
"I"))))</f>
        <v/>
      </c>
    </row>
    <row r="474">
      <c r="A474" s="147">
        <f>ROW()-2</f>
        <v/>
      </c>
      <c r="B474" s="127" t="inlineStr">
        <is>
          <t>AK0298</t>
        </is>
      </c>
      <c r="C474" s="128" t="inlineStr">
        <is>
          <t>KARUPPA SAMY K</t>
        </is>
      </c>
      <c r="D474" s="127" t="inlineStr">
        <is>
          <t>PRODUCTION</t>
        </is>
      </c>
      <c r="E474" s="129" t="inlineStr">
        <is>
          <t>TYRE CURING</t>
        </is>
      </c>
      <c r="F474" s="130" t="n">
        <v>41943</v>
      </c>
      <c r="G474" s="131">
        <f>NOW()-F474</f>
        <v/>
      </c>
      <c r="H474" s="104" t="inlineStr">
        <is>
          <t>O</t>
        </is>
      </c>
      <c r="I474" s="104" t="inlineStr">
        <is>
          <t>U</t>
        </is>
      </c>
      <c r="J474" s="104" t="n">
        <v>10</v>
      </c>
      <c r="K474" s="104" t="n">
        <v>8</v>
      </c>
      <c r="L474" s="104" t="n">
        <v>9</v>
      </c>
      <c r="M474" s="104" t="n">
        <v>8</v>
      </c>
      <c r="N474" s="104" t="n"/>
      <c r="O474" s="104">
        <f>SUM(J474:N474)</f>
        <v/>
      </c>
      <c r="P474" s="12">
        <f>O474/IF(H474="L",20,IF(H474="U",30,IF(H474="O",40,IF(H474="I",20,""))))</f>
        <v/>
      </c>
      <c r="Q474" s="132">
        <f>IF(AND(H474="L", P474&gt;=50%), "Pass",
IF(AND(H474="U", P474&gt;=60%), "Pass",
IF(AND(H474="O", P474&gt;=75%), "Pass", "Fail")))</f>
        <v/>
      </c>
      <c r="R474" s="104" t="n"/>
      <c r="S474" s="104" t="n">
        <v>16</v>
      </c>
      <c r="T474" s="104" t="n">
        <v>15</v>
      </c>
      <c r="U474" s="104">
        <f>SUM(S474:T474)</f>
        <v/>
      </c>
      <c r="V474" s="12">
        <f>U474/IF(H474="L",35,IF(H474="U",35,IF(H474="O",35,IF(H474="I",35,""))))</f>
        <v/>
      </c>
      <c r="W474" s="132">
        <f>IF(AND(H474="L", V474&gt;=50%), "Pass",
IF(AND(H474="U", V474&gt;=60%), "Pass",
IF(AND(H474="O", V474&gt;=75%), "Pass", "Fail")))</f>
        <v/>
      </c>
      <c r="X474" s="132">
        <f>IF(AND(Q474="Pass", W474="Pass"), "Pass", "Fail")</f>
        <v/>
      </c>
      <c r="Y474" s="15">
        <f>IF($X474="Pass",$H474,
IF(H474="L","I",
IF(H474="U","L",
IF(H474="O","U",
"I"))))</f>
        <v/>
      </c>
      <c r="Z474" s="81">
        <f>V474-75%</f>
        <v/>
      </c>
    </row>
    <row r="475">
      <c r="A475" s="147">
        <f>ROW()-2</f>
        <v/>
      </c>
      <c r="B475" s="127" t="inlineStr">
        <is>
          <t>PK0150</t>
        </is>
      </c>
      <c r="C475" s="128" t="inlineStr">
        <is>
          <t>SHANMUGA RAJA P</t>
        </is>
      </c>
      <c r="D475" s="127" t="inlineStr">
        <is>
          <t>PRODUCTION</t>
        </is>
      </c>
      <c r="E475" s="129" t="inlineStr">
        <is>
          <t>TYRE BUILDING-P2</t>
        </is>
      </c>
      <c r="F475" s="130" t="n">
        <v>41944</v>
      </c>
      <c r="G475" s="131">
        <f>NOW()-F475</f>
        <v/>
      </c>
      <c r="H475" s="104" t="inlineStr">
        <is>
          <t>O</t>
        </is>
      </c>
      <c r="I475" s="104" t="inlineStr">
        <is>
          <t>U</t>
        </is>
      </c>
      <c r="J475" s="104" t="n">
        <v>10</v>
      </c>
      <c r="K475" s="104" t="n">
        <v>8</v>
      </c>
      <c r="L475" s="104" t="n">
        <v>8</v>
      </c>
      <c r="M475" s="104" t="n">
        <v>9</v>
      </c>
      <c r="N475" s="104" t="n"/>
      <c r="O475" s="104">
        <f>SUM(J475:N475)</f>
        <v/>
      </c>
      <c r="P475" s="12">
        <f>O475/IF(H475="L",20,IF(H475="U",30,IF(H475="O",40,IF(H475="I",20,""))))</f>
        <v/>
      </c>
      <c r="Q475" s="132">
        <f>IF(AND(H475="L", P475&gt;=50%), "Pass",
IF(AND(H475="U", P475&gt;=60%), "Pass",
IF(AND(H475="O", P475&gt;=75%), "Pass", "Fail")))</f>
        <v/>
      </c>
      <c r="R475" s="104" t="n"/>
      <c r="S475" s="104" t="n">
        <v>11</v>
      </c>
      <c r="T475" s="104" t="n">
        <v>8</v>
      </c>
      <c r="U475" s="104">
        <f>SUM(S475:T475)</f>
        <v/>
      </c>
      <c r="V475" s="12">
        <f>U475/IF(H475="L",35,IF(H475="U",35,IF(H475="O",35,IF(H475="I",35,""))))</f>
        <v/>
      </c>
      <c r="W475" s="132">
        <f>IF(AND(H475="L", V475&gt;=50%), "Pass",
IF(AND(H475="U", V475&gt;=60%), "Pass",
IF(AND(H475="O", V475&gt;=75%), "Pass", "Fail")))</f>
        <v/>
      </c>
      <c r="X475" s="132">
        <f>IF(AND(Q475="Pass", W475="Pass"), "Pass", "Fail")</f>
        <v/>
      </c>
      <c r="Y475" s="15">
        <f>IF($X475="Pass",$H475,
IF(H475="L","I",
IF(H475="U","L",
IF(H475="O","U",
"I"))))</f>
        <v/>
      </c>
    </row>
    <row r="476">
      <c r="A476" s="147">
        <f>ROW()-2</f>
        <v/>
      </c>
      <c r="B476" s="127" t="inlineStr">
        <is>
          <t>PK0151</t>
        </is>
      </c>
      <c r="C476" s="128" t="inlineStr">
        <is>
          <t>ESSAKKI PANDI S</t>
        </is>
      </c>
      <c r="D476" s="127" t="inlineStr">
        <is>
          <t>PRODUCTION</t>
        </is>
      </c>
      <c r="E476" s="129" t="inlineStr">
        <is>
          <t>TYRE CURING</t>
        </is>
      </c>
      <c r="F476" s="130" t="n">
        <v>41944</v>
      </c>
      <c r="G476" s="131">
        <f>NOW()-F476</f>
        <v/>
      </c>
      <c r="H476" s="104" t="inlineStr">
        <is>
          <t>O</t>
        </is>
      </c>
      <c r="I476" s="104" t="inlineStr">
        <is>
          <t>O</t>
        </is>
      </c>
      <c r="J476" s="104" t="n">
        <v>7</v>
      </c>
      <c r="K476" s="104" t="n">
        <v>8</v>
      </c>
      <c r="L476" s="104" t="n">
        <v>10</v>
      </c>
      <c r="M476" s="104" t="n">
        <v>7</v>
      </c>
      <c r="N476" s="104" t="n"/>
      <c r="O476" s="104">
        <f>SUM(J476:N476)</f>
        <v/>
      </c>
      <c r="P476" s="12">
        <f>O476/IF(H476="L",20,IF(H476="U",30,IF(H476="O",40,IF(H476="I",20,""))))</f>
        <v/>
      </c>
      <c r="Q476" s="132">
        <f>IF(AND(H476="L", P476&gt;=50%), "Pass",
IF(AND(H476="U", P476&gt;=60%), "Pass",
IF(AND(H476="O", P476&gt;=75%), "Pass", "Fail")))</f>
        <v/>
      </c>
      <c r="R476" s="104" t="n"/>
      <c r="S476" s="104" t="n">
        <v>13</v>
      </c>
      <c r="T476" s="104" t="n">
        <v>8</v>
      </c>
      <c r="U476" s="104">
        <f>SUM(S476:T476)</f>
        <v/>
      </c>
      <c r="V476" s="12">
        <f>U476/IF(H476="L",35,IF(H476="U",35,IF(H476="O",35,IF(H476="I",35,""))))</f>
        <v/>
      </c>
      <c r="W476" s="132">
        <f>IF(AND(H476="L", V476&gt;=50%), "Pass",
IF(AND(H476="U", V476&gt;=60%), "Pass",
IF(AND(H476="O", V476&gt;=75%), "Pass", "Fail")))</f>
        <v/>
      </c>
      <c r="X476" s="132">
        <f>IF(AND(Q476="Pass", W476="Pass"), "Pass", "Fail")</f>
        <v/>
      </c>
      <c r="Y476" s="15">
        <f>IF($X476="Pass",$H476,
IF(H476="L","I",
IF(H476="U","L",
IF(H476="O","U",
"I"))))</f>
        <v/>
      </c>
    </row>
    <row r="477">
      <c r="A477" s="147">
        <f>ROW()-2</f>
        <v/>
      </c>
      <c r="B477" s="133" t="inlineStr">
        <is>
          <t>SR0243</t>
        </is>
      </c>
      <c r="C477" s="148" t="inlineStr">
        <is>
          <t>KURUCHUDAYAR K</t>
        </is>
      </c>
      <c r="D477" s="127" t="inlineStr">
        <is>
          <t>PRODUCTION</t>
        </is>
      </c>
      <c r="E477" s="135" t="inlineStr">
        <is>
          <t>MIXING</t>
        </is>
      </c>
      <c r="F477" s="136" t="n">
        <v>41944</v>
      </c>
      <c r="G477" s="131">
        <f>NOW()-F477</f>
        <v/>
      </c>
      <c r="H477" s="104" t="inlineStr">
        <is>
          <t>O</t>
        </is>
      </c>
      <c r="I477" s="104" t="inlineStr">
        <is>
          <t>U</t>
        </is>
      </c>
      <c r="J477" s="104" t="inlineStr">
        <is>
          <t>NIL</t>
        </is>
      </c>
      <c r="K477" s="104" t="n"/>
      <c r="L477" s="104" t="n"/>
      <c r="M477" s="104" t="n"/>
      <c r="N477" s="104" t="n"/>
      <c r="O477" s="104" t="n"/>
      <c r="P477" s="12">
        <f>O477/IF(H477="L",20,IF(H477="U",30,IF(H477="O",40,IF(H477="I",20,""))))</f>
        <v/>
      </c>
      <c r="Q477" s="132">
        <f>IF(AND(H477="L", P477&gt;=50%), "Pass",
IF(AND(H477="U", P477&gt;=60%), "Pass",
IF(AND(H477="O", P477&gt;=75%), "Pass", "Fail")))</f>
        <v/>
      </c>
      <c r="R477" s="104" t="n"/>
      <c r="S477" s="104" t="n">
        <v>13</v>
      </c>
      <c r="T477" s="104" t="n">
        <v>12</v>
      </c>
      <c r="U477" s="104">
        <f>SUM(S477:T477)</f>
        <v/>
      </c>
      <c r="V477" s="12">
        <f>U477/IF(H477="L",35,IF(H477="U",35,IF(H477="O",35,IF(H477="I",35,""))))</f>
        <v/>
      </c>
      <c r="W477" s="132">
        <f>IF(AND(H477="L", V477&gt;=50%), "Pass",
IF(AND(H477="U", V477&gt;=60%), "Pass",
IF(AND(H477="O", V477&gt;=75%), "Pass", "Fail")))</f>
        <v/>
      </c>
      <c r="X477" s="132">
        <f>IF(AND(Q477="Pass", W477="Pass"), "Pass", "Fail")</f>
        <v/>
      </c>
      <c r="Y477" s="15">
        <f>IF($X477="Pass",$H477,
IF(H477="L","I",
IF(H477="U","L",
IF(H477="O","U",
"I"))))</f>
        <v/>
      </c>
    </row>
    <row r="478">
      <c r="A478" s="147">
        <f>ROW()-2</f>
        <v/>
      </c>
      <c r="B478" s="127" t="inlineStr">
        <is>
          <t>SR0246</t>
        </is>
      </c>
      <c r="C478" s="128" t="inlineStr">
        <is>
          <t>KARUVELAMUTHU C</t>
        </is>
      </c>
      <c r="D478" s="127" t="inlineStr">
        <is>
          <t>PRODUCTION</t>
        </is>
      </c>
      <c r="E478" s="129" t="inlineStr">
        <is>
          <t>TYRE BUILDING-P3</t>
        </is>
      </c>
      <c r="F478" s="130" t="n">
        <v>41944</v>
      </c>
      <c r="G478" s="131">
        <f>NOW()-F478</f>
        <v/>
      </c>
      <c r="H478" s="104" t="inlineStr">
        <is>
          <t>O</t>
        </is>
      </c>
      <c r="I478" s="104" t="inlineStr">
        <is>
          <t>U</t>
        </is>
      </c>
      <c r="J478" s="104" t="n">
        <v>8</v>
      </c>
      <c r="K478" s="104" t="n">
        <v>8</v>
      </c>
      <c r="L478" s="104" t="n">
        <v>5</v>
      </c>
      <c r="M478" s="104" t="n">
        <v>8</v>
      </c>
      <c r="N478" s="104" t="n"/>
      <c r="O478" s="104">
        <f>SUM(J478:N478)</f>
        <v/>
      </c>
      <c r="P478" s="12">
        <f>O478/IF(H478="L",20,IF(H478="U",30,IF(H478="O",40,IF(H478="I",20,""))))</f>
        <v/>
      </c>
      <c r="Q478" s="132">
        <f>IF(AND(H478="L", P478&gt;=50%), "Pass",
IF(AND(H478="U", P478&gt;=60%), "Pass",
IF(AND(H478="O", P478&gt;=75%), "Pass", "Fail")))</f>
        <v/>
      </c>
      <c r="R478" s="104" t="n"/>
      <c r="S478" s="104" t="n">
        <v>20</v>
      </c>
      <c r="T478" s="104" t="n">
        <v>14</v>
      </c>
      <c r="U478" s="104">
        <f>SUM(S478:T478)</f>
        <v/>
      </c>
      <c r="V478" s="12">
        <f>U478/IF(H478="L",35,IF(H478="U",35,IF(H478="O",35,IF(H478="I",35,""))))</f>
        <v/>
      </c>
      <c r="W478" s="132">
        <f>IF(AND(H478="L", V478&gt;=50%), "Pass",
IF(AND(H478="U", V478&gt;=60%), "Pass",
IF(AND(H478="O", V478&gt;=75%), "Pass", "Fail")))</f>
        <v/>
      </c>
      <c r="X478" s="132">
        <f>IF(AND(Q478="Pass", W478="Pass"), "Pass", "Fail")</f>
        <v/>
      </c>
      <c r="Y478" s="15">
        <f>IF($X478="Pass",$H478,
IF(H478="L","I",
IF(H478="U","L",
IF(H478="O","U",
"I"))))</f>
        <v/>
      </c>
    </row>
    <row r="479">
      <c r="A479" s="147">
        <f>ROW()-2</f>
        <v/>
      </c>
      <c r="B479" s="127" t="inlineStr">
        <is>
          <t>SK1512</t>
        </is>
      </c>
      <c r="C479" s="128" t="inlineStr">
        <is>
          <t>ANANTH KUMAR N</t>
        </is>
      </c>
      <c r="D479" s="127" t="inlineStr">
        <is>
          <t>PRODUCTION</t>
        </is>
      </c>
      <c r="E479" s="129" t="inlineStr">
        <is>
          <t>TYRE CURING</t>
        </is>
      </c>
      <c r="F479" s="130" t="n">
        <v>41947</v>
      </c>
      <c r="G479" s="131">
        <f>NOW()-F479</f>
        <v/>
      </c>
      <c r="H479" s="104" t="inlineStr">
        <is>
          <t>O</t>
        </is>
      </c>
      <c r="I479" s="104" t="inlineStr">
        <is>
          <t>O</t>
        </is>
      </c>
      <c r="J479" s="104" t="n">
        <v>7</v>
      </c>
      <c r="K479" s="104" t="n">
        <v>10</v>
      </c>
      <c r="L479" s="104" t="n">
        <v>8</v>
      </c>
      <c r="M479" s="104" t="n">
        <v>7</v>
      </c>
      <c r="N479" s="104" t="n"/>
      <c r="O479" s="104">
        <f>SUM(J479:N479)</f>
        <v/>
      </c>
      <c r="P479" s="12">
        <f>O479/IF(H479="L",20,IF(H479="U",30,IF(H479="O",40,IF(H479="I",20,""))))</f>
        <v/>
      </c>
      <c r="Q479" s="132">
        <f>IF(AND(H479="L", P479&gt;=50%), "Pass",
IF(AND(H479="U", P479&gt;=60%), "Pass",
IF(AND(H479="O", P479&gt;=75%), "Pass", "Fail")))</f>
        <v/>
      </c>
      <c r="R479" s="104" t="n"/>
      <c r="S479" s="104" t="n">
        <v>13</v>
      </c>
      <c r="T479" s="104" t="n">
        <v>11</v>
      </c>
      <c r="U479" s="104">
        <f>SUM(S479:T479)</f>
        <v/>
      </c>
      <c r="V479" s="12">
        <f>U479/IF(H479="L",35,IF(H479="U",35,IF(H479="O",35,IF(H479="I",35,""))))</f>
        <v/>
      </c>
      <c r="W479" s="132">
        <f>IF(AND(H479="L", V479&gt;=50%), "Pass",
IF(AND(H479="U", V479&gt;=60%), "Pass",
IF(AND(H479="O", V479&gt;=75%), "Pass", "Fail")))</f>
        <v/>
      </c>
      <c r="X479" s="132">
        <f>IF(AND(Q479="Pass", W479="Pass"), "Pass", "Fail")</f>
        <v/>
      </c>
      <c r="Y479" s="15">
        <f>IF($X479="Pass",$H479,
IF(H479="L","I",
IF(H479="U","L",
IF(H479="O","U",
"I"))))</f>
        <v/>
      </c>
    </row>
    <row r="480">
      <c r="A480" s="147">
        <f>ROW()-2</f>
        <v/>
      </c>
      <c r="B480" s="127" t="inlineStr">
        <is>
          <t>SR0258</t>
        </is>
      </c>
      <c r="C480" s="128" t="inlineStr">
        <is>
          <t>PONRAJKUMAR J</t>
        </is>
      </c>
      <c r="D480" s="127" t="inlineStr">
        <is>
          <t>PRODUCTION</t>
        </is>
      </c>
      <c r="E480" s="129" t="inlineStr">
        <is>
          <t>TYRE CURING</t>
        </is>
      </c>
      <c r="F480" s="130" t="n">
        <v>41947</v>
      </c>
      <c r="G480" s="131">
        <f>NOW()-F480</f>
        <v/>
      </c>
      <c r="H480" s="104" t="inlineStr">
        <is>
          <t>O</t>
        </is>
      </c>
      <c r="I480" s="104" t="inlineStr">
        <is>
          <t>U</t>
        </is>
      </c>
      <c r="J480" s="104" t="n">
        <v>10</v>
      </c>
      <c r="K480" s="104" t="n">
        <v>9</v>
      </c>
      <c r="L480" s="104" t="n">
        <v>8</v>
      </c>
      <c r="M480" s="104" t="n">
        <v>6</v>
      </c>
      <c r="N480" s="104" t="n"/>
      <c r="O480" s="104">
        <f>SUM(J480:N480)</f>
        <v/>
      </c>
      <c r="P480" s="12">
        <f>O480/IF(H480="L",20,IF(H480="U",30,IF(H480="O",40,IF(H480="I",20,""))))</f>
        <v/>
      </c>
      <c r="Q480" s="132">
        <f>IF(AND(H480="L", P480&gt;=50%), "Pass",
IF(AND(H480="U", P480&gt;=60%), "Pass",
IF(AND(H480="O", P480&gt;=75%), "Pass", "Fail")))</f>
        <v/>
      </c>
      <c r="R480" s="104" t="n"/>
      <c r="S480" s="104" t="n">
        <v>12</v>
      </c>
      <c r="T480" s="104" t="n">
        <v>8</v>
      </c>
      <c r="U480" s="104">
        <f>SUM(S480:T480)</f>
        <v/>
      </c>
      <c r="V480" s="12">
        <f>U480/IF(H480="L",35,IF(H480="U",35,IF(H480="O",35,IF(H480="I",35,""))))</f>
        <v/>
      </c>
      <c r="W480" s="132">
        <f>IF(AND(H480="L", V480&gt;=50%), "Pass",
IF(AND(H480="U", V480&gt;=60%), "Pass",
IF(AND(H480="O", V480&gt;=75%), "Pass", "Fail")))</f>
        <v/>
      </c>
      <c r="X480" s="132">
        <f>IF(AND(Q480="Pass", W480="Pass"), "Pass", "Fail")</f>
        <v/>
      </c>
      <c r="Y480" s="15">
        <f>IF($X480="Pass",$H480,
IF(H480="L","I",
IF(H480="U","L",
IF(H480="O","U",
"I"))))</f>
        <v/>
      </c>
    </row>
    <row r="481">
      <c r="A481" s="147">
        <f>ROW()-2</f>
        <v/>
      </c>
      <c r="B481" s="127" t="inlineStr">
        <is>
          <t>AK0281</t>
        </is>
      </c>
      <c r="C481" s="128" t="inlineStr">
        <is>
          <t>ESSAKI MUHU R</t>
        </is>
      </c>
      <c r="D481" s="127" t="inlineStr">
        <is>
          <t>PRODUCTION</t>
        </is>
      </c>
      <c r="E481" s="129" t="inlineStr">
        <is>
          <t>BAND BUILDING-P3</t>
        </is>
      </c>
      <c r="F481" s="130" t="n">
        <v>41953</v>
      </c>
      <c r="G481" s="131">
        <f>NOW()-F481</f>
        <v/>
      </c>
      <c r="H481" s="104" t="inlineStr">
        <is>
          <t>O</t>
        </is>
      </c>
      <c r="I481" s="104" t="inlineStr">
        <is>
          <t>U</t>
        </is>
      </c>
      <c r="J481" s="104" t="n">
        <v>10</v>
      </c>
      <c r="K481" s="104" t="n">
        <v>9</v>
      </c>
      <c r="L481" s="104" t="n">
        <v>7</v>
      </c>
      <c r="M481" s="104" t="n">
        <v>8</v>
      </c>
      <c r="N481" s="104" t="n"/>
      <c r="O481" s="104">
        <f>SUM(J481:N481)</f>
        <v/>
      </c>
      <c r="P481" s="12">
        <f>O481/IF(H481="L",20,IF(H481="U",30,IF(H481="O",40,IF(H481="I",20,""))))</f>
        <v/>
      </c>
      <c r="Q481" s="132">
        <f>IF(AND(H481="L", P481&gt;=50%), "Pass",
IF(AND(H481="U", P481&gt;=60%), "Pass",
IF(AND(H481="O", P481&gt;=75%), "Pass", "Fail")))</f>
        <v/>
      </c>
      <c r="R481" s="104" t="n"/>
      <c r="S481" s="104" t="n">
        <v>17</v>
      </c>
      <c r="T481" s="104" t="n">
        <v>13</v>
      </c>
      <c r="U481" s="104">
        <f>SUM(S481:T481)</f>
        <v/>
      </c>
      <c r="V481" s="12">
        <f>U481/IF(H481="L",35,IF(H481="U",35,IF(H481="O",35,IF(H481="I",35,""))))</f>
        <v/>
      </c>
      <c r="W481" s="132">
        <f>IF(AND(H481="L", V481&gt;=50%), "Pass",
IF(AND(H481="U", V481&gt;=60%), "Pass",
IF(AND(H481="O", V481&gt;=75%), "Pass", "Fail")))</f>
        <v/>
      </c>
      <c r="X481" s="132">
        <f>IF(AND(Q481="Pass", W481="Pass"), "Pass", "Fail")</f>
        <v/>
      </c>
      <c r="Y481" s="15">
        <f>IF($X481="Pass",$H481,
IF(H481="L","I",
IF(H481="U","L",
IF(H481="O","U",
"I"))))</f>
        <v/>
      </c>
    </row>
    <row r="482">
      <c r="A482" s="147">
        <f>ROW()-2</f>
        <v/>
      </c>
      <c r="B482" s="127" t="inlineStr">
        <is>
          <t>KK0316</t>
        </is>
      </c>
      <c r="C482" s="128" t="inlineStr">
        <is>
          <t>SANKARA NARAYANAN A</t>
        </is>
      </c>
      <c r="D482" s="127" t="inlineStr">
        <is>
          <t>PRODUCTION</t>
        </is>
      </c>
      <c r="E482" s="129" t="inlineStr">
        <is>
          <t>BIAS CUTTING-4</t>
        </is>
      </c>
      <c r="F482" s="130" t="n">
        <v>41953</v>
      </c>
      <c r="G482" s="131">
        <f>NOW()-F482</f>
        <v/>
      </c>
      <c r="H482" s="104" t="inlineStr">
        <is>
          <t>O</t>
        </is>
      </c>
      <c r="I482" s="104" t="inlineStr">
        <is>
          <t>O</t>
        </is>
      </c>
      <c r="J482" s="104" t="n">
        <v>9</v>
      </c>
      <c r="K482" s="104" t="n">
        <v>8</v>
      </c>
      <c r="L482" s="104" t="n">
        <v>7</v>
      </c>
      <c r="M482" s="104" t="n">
        <v>6</v>
      </c>
      <c r="N482" s="104" t="n"/>
      <c r="O482" s="104">
        <f>SUM(J482:N482)</f>
        <v/>
      </c>
      <c r="P482" s="12">
        <f>O482/IF(H482="L",20,IF(H482="U",30,IF(H482="O",40,IF(H482="I",20,""))))</f>
        <v/>
      </c>
      <c r="Q482" s="132">
        <f>IF(AND(H482="L", P482&gt;=50%), "Pass",
IF(AND(H482="U", P482&gt;=60%), "Pass",
IF(AND(H482="O", P482&gt;=75%), "Pass", "Fail")))</f>
        <v/>
      </c>
      <c r="R482" s="104" t="n"/>
      <c r="S482" s="104" t="n">
        <v>20</v>
      </c>
      <c r="T482" s="104" t="n">
        <v>15</v>
      </c>
      <c r="U482" s="104">
        <f>SUM(S482:T482)</f>
        <v/>
      </c>
      <c r="V482" s="12">
        <f>U482/IF(H482="L",35,IF(H482="U",35,IF(H482="O",35,IF(H482="I",35,""))))</f>
        <v/>
      </c>
      <c r="W482" s="132">
        <f>IF(AND(H482="L", V482&gt;=50%), "Pass",
IF(AND(H482="U", V482&gt;=60%), "Pass",
IF(AND(H482="O", V482&gt;=75%), "Pass", "Fail")))</f>
        <v/>
      </c>
      <c r="X482" s="132">
        <f>IF(AND(Q482="Pass", W482="Pass"), "Pass", "Fail")</f>
        <v/>
      </c>
      <c r="Y482" s="15">
        <f>IF($X482="Pass",$H482,
IF(H482="L","I",
IF(H482="U","L",
IF(H482="O","U",
"I"))))</f>
        <v/>
      </c>
    </row>
    <row r="483">
      <c r="A483" s="147">
        <f>ROW()-2</f>
        <v/>
      </c>
      <c r="B483" s="127" t="inlineStr">
        <is>
          <t>PK0819</t>
        </is>
      </c>
      <c r="C483" s="128" t="inlineStr">
        <is>
          <t>SUBRAMANIAN K</t>
        </is>
      </c>
      <c r="D483" s="127" t="inlineStr">
        <is>
          <t>PRODUCTION</t>
        </is>
      </c>
      <c r="E483" s="129" t="inlineStr">
        <is>
          <t>TYRE BUILDING-P3</t>
        </is>
      </c>
      <c r="F483" s="130" t="n">
        <v>41953</v>
      </c>
      <c r="G483" s="131">
        <f>NOW()-F483</f>
        <v/>
      </c>
      <c r="H483" s="104" t="inlineStr">
        <is>
          <t>O</t>
        </is>
      </c>
      <c r="I483" s="104" t="inlineStr">
        <is>
          <t>O</t>
        </is>
      </c>
      <c r="J483" s="104" t="n">
        <v>10</v>
      </c>
      <c r="K483" s="104" t="n">
        <v>10</v>
      </c>
      <c r="L483" s="104" t="n">
        <v>6</v>
      </c>
      <c r="M483" s="104" t="n">
        <v>6</v>
      </c>
      <c r="N483" s="104" t="n"/>
      <c r="O483" s="104">
        <f>SUM(J483:N483)</f>
        <v/>
      </c>
      <c r="P483" s="12">
        <f>O483/IF(H483="L",20,IF(H483="U",30,IF(H483="O",40,IF(H483="I",20,""))))</f>
        <v/>
      </c>
      <c r="Q483" s="132">
        <f>IF(AND(H483="L", P483&gt;=50%), "Pass",
IF(AND(H483="U", P483&gt;=60%), "Pass",
IF(AND(H483="O", P483&gt;=75%), "Pass", "Fail")))</f>
        <v/>
      </c>
      <c r="R483" s="104" t="n"/>
      <c r="S483" s="104" t="n">
        <v>19</v>
      </c>
      <c r="T483" s="104" t="n">
        <v>14</v>
      </c>
      <c r="U483" s="104">
        <f>SUM(S483:T483)</f>
        <v/>
      </c>
      <c r="V483" s="12">
        <f>U483/IF(H483="L",35,IF(H483="U",35,IF(H483="O",35,IF(H483="I",35,""))))</f>
        <v/>
      </c>
      <c r="W483" s="132">
        <f>IF(AND(H483="L", V483&gt;=50%), "Pass",
IF(AND(H483="U", V483&gt;=60%), "Pass",
IF(AND(H483="O", V483&gt;=75%), "Pass", "Fail")))</f>
        <v/>
      </c>
      <c r="X483" s="132">
        <f>IF(AND(Q483="Pass", W483="Pass"), "Pass", "Fail")</f>
        <v/>
      </c>
      <c r="Y483" s="15">
        <f>IF($X483="Pass",$H483,
IF(H483="L","I",
IF(H483="U","L",
IF(H483="O","U",
"I"))))</f>
        <v/>
      </c>
    </row>
    <row r="484">
      <c r="A484" s="147">
        <f>ROW()-2</f>
        <v/>
      </c>
      <c r="B484" s="133" t="inlineStr">
        <is>
          <t>SK1523</t>
        </is>
      </c>
      <c r="C484" s="148" t="inlineStr">
        <is>
          <t>MARIAPPAN K</t>
        </is>
      </c>
      <c r="D484" s="127" t="inlineStr">
        <is>
          <t>PRODUCTION</t>
        </is>
      </c>
      <c r="E484" s="135" t="inlineStr">
        <is>
          <t>BIAS CUTTING-4</t>
        </is>
      </c>
      <c r="F484" s="136" t="n">
        <v>41954</v>
      </c>
      <c r="G484" s="131">
        <f>NOW()-F484</f>
        <v/>
      </c>
      <c r="H484" s="104" t="inlineStr">
        <is>
          <t>O</t>
        </is>
      </c>
      <c r="I484" s="104" t="inlineStr">
        <is>
          <t>U</t>
        </is>
      </c>
      <c r="J484" s="104" t="n">
        <v>8</v>
      </c>
      <c r="K484" s="104" t="n">
        <v>3</v>
      </c>
      <c r="L484" s="104" t="n">
        <v>5</v>
      </c>
      <c r="M484" s="104" t="n">
        <v>3</v>
      </c>
      <c r="N484" s="104" t="n"/>
      <c r="O484" s="104">
        <f>SUM(J484:N484)</f>
        <v/>
      </c>
      <c r="P484" s="12">
        <f>O484/IF(H484="L",20,IF(H484="U",30,IF(H484="O",40,IF(H484="I",20,""))))</f>
        <v/>
      </c>
      <c r="Q484" s="132">
        <f>IF(AND(H484="L", P484&gt;=50%), "Pass",
IF(AND(H484="U", P484&gt;=60%), "Pass",
IF(AND(H484="O", P484&gt;=75%), "Pass", "Fail")))</f>
        <v/>
      </c>
      <c r="R484" s="104" t="n"/>
      <c r="S484" s="104" t="n">
        <v>12</v>
      </c>
      <c r="T484" s="104" t="n">
        <v>9</v>
      </c>
      <c r="U484" s="104">
        <f>SUM(S484:T484)</f>
        <v/>
      </c>
      <c r="V484" s="12">
        <f>U484/IF(H484="L",35,IF(H484="U",35,IF(H484="O",35,IF(H484="I",35,""))))</f>
        <v/>
      </c>
      <c r="W484" s="132">
        <f>IF(AND(H484="L", V484&gt;=50%), "Pass",
IF(AND(H484="U", V484&gt;=60%), "Pass",
IF(AND(H484="O", V484&gt;=75%), "Pass", "Fail")))</f>
        <v/>
      </c>
      <c r="X484" s="132">
        <f>IF(AND(Q484="Pass", W484="Pass"), "Pass", "Fail")</f>
        <v/>
      </c>
      <c r="Y484" s="15">
        <f>IF($X484="Pass",$H484,
IF(H484="L","I",
IF(H484="U","L",
IF(H484="O","U",
"I"))))</f>
        <v/>
      </c>
    </row>
    <row r="485">
      <c r="A485" s="147">
        <f>ROW()-2</f>
        <v/>
      </c>
      <c r="B485" s="127" t="inlineStr">
        <is>
          <t>SK1524</t>
        </is>
      </c>
      <c r="C485" s="128" t="inlineStr">
        <is>
          <t>RAMESH P</t>
        </is>
      </c>
      <c r="D485" s="127" t="inlineStr">
        <is>
          <t>PRODUCTION</t>
        </is>
      </c>
      <c r="E485" s="129" t="inlineStr">
        <is>
          <t>TYRE CURING</t>
        </is>
      </c>
      <c r="F485" s="130" t="n">
        <v>41954</v>
      </c>
      <c r="G485" s="131">
        <f>NOW()-F485</f>
        <v/>
      </c>
      <c r="H485" s="104" t="inlineStr">
        <is>
          <t>O</t>
        </is>
      </c>
      <c r="I485" s="104" t="inlineStr">
        <is>
          <t>O</t>
        </is>
      </c>
      <c r="J485" s="104" t="n">
        <v>8</v>
      </c>
      <c r="K485" s="104" t="n">
        <v>9</v>
      </c>
      <c r="L485" s="104" t="n">
        <v>9</v>
      </c>
      <c r="M485" s="104" t="n">
        <v>7</v>
      </c>
      <c r="N485" s="104" t="n"/>
      <c r="O485" s="104">
        <f>SUM(J485:N485)</f>
        <v/>
      </c>
      <c r="P485" s="12">
        <f>O485/IF(H485="L",20,IF(H485="U",30,IF(H485="O",40,IF(H485="I",20,""))))</f>
        <v/>
      </c>
      <c r="Q485" s="132">
        <f>IF(AND(H485="L", P485&gt;=50%), "Pass",
IF(AND(H485="U", P485&gt;=60%), "Pass",
IF(AND(H485="O", P485&gt;=75%), "Pass", "Fail")))</f>
        <v/>
      </c>
      <c r="R485" s="104" t="n"/>
      <c r="S485" s="104" t="n">
        <v>17</v>
      </c>
      <c r="T485" s="104" t="n">
        <v>13</v>
      </c>
      <c r="U485" s="104">
        <f>SUM(S485:T485)</f>
        <v/>
      </c>
      <c r="V485" s="12">
        <f>U485/IF(H485="L",35,IF(H485="U",35,IF(H485="O",35,IF(H485="I",35,""))))</f>
        <v/>
      </c>
      <c r="W485" s="132">
        <f>IF(AND(H485="L", V485&gt;=50%), "Pass",
IF(AND(H485="U", V485&gt;=60%), "Pass",
IF(AND(H485="O", V485&gt;=75%), "Pass", "Fail")))</f>
        <v/>
      </c>
      <c r="X485" s="132">
        <f>IF(AND(Q485="Pass", W485="Pass"), "Pass", "Fail")</f>
        <v/>
      </c>
      <c r="Y485" s="15">
        <f>IF($X485="Pass",$H485,
IF(H485="L","I",
IF(H485="U","L",
IF(H485="O","U",
"I"))))</f>
        <v/>
      </c>
    </row>
    <row r="486">
      <c r="A486" s="147">
        <f>ROW()-2</f>
        <v/>
      </c>
      <c r="B486" s="127" t="inlineStr">
        <is>
          <t>SK1530</t>
        </is>
      </c>
      <c r="C486" s="128" t="inlineStr">
        <is>
          <t>KARUPPA SAMY K</t>
        </is>
      </c>
      <c r="D486" s="127" t="inlineStr">
        <is>
          <t>PRODUCTION</t>
        </is>
      </c>
      <c r="E486" s="129" t="inlineStr">
        <is>
          <t>TYRE CURING</t>
        </is>
      </c>
      <c r="F486" s="130" t="n">
        <v>41958</v>
      </c>
      <c r="G486" s="131">
        <f>NOW()-F486</f>
        <v/>
      </c>
      <c r="H486" s="104" t="inlineStr">
        <is>
          <t>O</t>
        </is>
      </c>
      <c r="I486" s="104" t="inlineStr">
        <is>
          <t>O</t>
        </is>
      </c>
      <c r="J486" s="104" t="n">
        <v>8</v>
      </c>
      <c r="K486" s="104" t="n">
        <v>9</v>
      </c>
      <c r="L486" s="104" t="n">
        <v>7</v>
      </c>
      <c r="M486" s="104" t="n">
        <v>8</v>
      </c>
      <c r="N486" s="104" t="n"/>
      <c r="O486" s="104">
        <f>SUM(J486:N486)</f>
        <v/>
      </c>
      <c r="P486" s="12">
        <f>O486/IF(H486="L",20,IF(H486="U",30,IF(H486="O",40,IF(H486="I",20,""))))</f>
        <v/>
      </c>
      <c r="Q486" s="132">
        <f>IF(AND(H486="L", P486&gt;=50%), "Pass",
IF(AND(H486="U", P486&gt;=60%), "Pass",
IF(AND(H486="O", P486&gt;=75%), "Pass", "Fail")))</f>
        <v/>
      </c>
      <c r="R486" s="104" t="n"/>
      <c r="S486" s="104" t="n">
        <v>12</v>
      </c>
      <c r="T486" s="104" t="n">
        <v>10</v>
      </c>
      <c r="U486" s="104">
        <f>SUM(S486:T486)</f>
        <v/>
      </c>
      <c r="V486" s="12">
        <f>U486/IF(H486="L",35,IF(H486="U",35,IF(H486="O",35,IF(H486="I",35,""))))</f>
        <v/>
      </c>
      <c r="W486" s="132">
        <f>IF(AND(H486="L", V486&gt;=50%), "Pass",
IF(AND(H486="U", V486&gt;=60%), "Pass",
IF(AND(H486="O", V486&gt;=75%), "Pass", "Fail")))</f>
        <v/>
      </c>
      <c r="X486" s="132">
        <f>IF(AND(Q486="Pass", W486="Pass"), "Pass", "Fail")</f>
        <v/>
      </c>
      <c r="Y486" s="15">
        <f>IF($X486="Pass",$H486,
IF(H486="L","I",
IF(H486="U","L",
IF(H486="O","U",
"I"))))</f>
        <v/>
      </c>
    </row>
    <row r="487">
      <c r="A487" s="147">
        <f>ROW()-2</f>
        <v/>
      </c>
      <c r="B487" s="127" t="inlineStr">
        <is>
          <t>SR0272</t>
        </is>
      </c>
      <c r="C487" s="128" t="inlineStr">
        <is>
          <t>BALAMURUGAN P</t>
        </is>
      </c>
      <c r="D487" s="127" t="inlineStr">
        <is>
          <t>PRODUCTION</t>
        </is>
      </c>
      <c r="E487" s="129" t="inlineStr">
        <is>
          <t>BAND BUILDING-P2</t>
        </is>
      </c>
      <c r="F487" s="130" t="n">
        <v>41977</v>
      </c>
      <c r="G487" s="131">
        <f>NOW()-F487</f>
        <v/>
      </c>
      <c r="H487" s="104" t="inlineStr">
        <is>
          <t>O</t>
        </is>
      </c>
      <c r="I487" s="104" t="inlineStr">
        <is>
          <t>O</t>
        </is>
      </c>
      <c r="J487" s="104" t="n">
        <v>8</v>
      </c>
      <c r="K487" s="104" t="n">
        <v>7</v>
      </c>
      <c r="L487" s="104" t="n">
        <v>3</v>
      </c>
      <c r="M487" s="104" t="n">
        <v>6</v>
      </c>
      <c r="N487" s="104" t="n"/>
      <c r="O487" s="104">
        <f>SUM(J487:N487)</f>
        <v/>
      </c>
      <c r="P487" s="12">
        <f>O487/IF(H487="L",20,IF(H487="U",30,IF(H487="O",40,IF(H487="I",20,""))))</f>
        <v/>
      </c>
      <c r="Q487" s="132">
        <f>IF(AND(H487="L", P487&gt;=50%), "Pass",
IF(AND(H487="U", P487&gt;=60%), "Pass",
IF(AND(H487="O", P487&gt;=75%), "Pass", "Fail")))</f>
        <v/>
      </c>
      <c r="R487" s="104" t="n"/>
      <c r="S487" s="104" t="n">
        <v>16</v>
      </c>
      <c r="T487" s="104" t="n">
        <v>12</v>
      </c>
      <c r="U487" s="104">
        <f>SUM(S487:T487)</f>
        <v/>
      </c>
      <c r="V487" s="12">
        <f>U487/IF(H487="L",35,IF(H487="U",35,IF(H487="O",35,IF(H487="I",35,""))))</f>
        <v/>
      </c>
      <c r="W487" s="132">
        <f>IF(AND(H487="L", V487&gt;=50%), "Pass",
IF(AND(H487="U", V487&gt;=60%), "Pass",
IF(AND(H487="O", V487&gt;=75%), "Pass", "Fail")))</f>
        <v/>
      </c>
      <c r="X487" s="132">
        <f>IF(AND(Q487="Pass", W487="Pass"), "Pass", "Fail")</f>
        <v/>
      </c>
      <c r="Y487" s="15">
        <f>IF($X487="Pass",$H487,
IF(H487="L","I",
IF(H487="U","L",
IF(H487="O","U",
"I"))))</f>
        <v/>
      </c>
    </row>
    <row r="488">
      <c r="A488" s="147">
        <f>ROW()-2</f>
        <v/>
      </c>
      <c r="B488" s="127" t="inlineStr">
        <is>
          <t>AK0283</t>
        </is>
      </c>
      <c r="C488" s="128" t="inlineStr">
        <is>
          <t>MURUGESAN M</t>
        </is>
      </c>
      <c r="D488" s="127" t="inlineStr">
        <is>
          <t>PRODUCTION</t>
        </is>
      </c>
      <c r="E488" s="129" t="inlineStr">
        <is>
          <t>TYRE CURING</t>
        </is>
      </c>
      <c r="F488" s="130" t="n">
        <v>41982</v>
      </c>
      <c r="G488" s="131">
        <f>NOW()-F488</f>
        <v/>
      </c>
      <c r="H488" s="104" t="inlineStr">
        <is>
          <t>O</t>
        </is>
      </c>
      <c r="I488" s="104" t="inlineStr">
        <is>
          <t>O</t>
        </is>
      </c>
      <c r="J488" s="104" t="n">
        <v>10</v>
      </c>
      <c r="K488" s="104" t="n">
        <v>9</v>
      </c>
      <c r="L488" s="104" t="n">
        <v>9</v>
      </c>
      <c r="M488" s="104" t="n">
        <v>6</v>
      </c>
      <c r="N488" s="104" t="n"/>
      <c r="O488" s="104">
        <f>SUM(J488:N488)</f>
        <v/>
      </c>
      <c r="P488" s="12">
        <f>O488/IF(H488="L",20,IF(H488="U",30,IF(H488="O",40,IF(H488="I",20,""))))</f>
        <v/>
      </c>
      <c r="Q488" s="132">
        <f>IF(AND(H488="L", P488&gt;=50%), "Pass",
IF(AND(H488="U", P488&gt;=60%), "Pass",
IF(AND(H488="O", P488&gt;=75%), "Pass", "Fail")))</f>
        <v/>
      </c>
      <c r="R488" s="104" t="n"/>
      <c r="S488" s="104" t="n">
        <v>18</v>
      </c>
      <c r="T488" s="104" t="n">
        <v>14</v>
      </c>
      <c r="U488" s="104">
        <f>SUM(S488:T488)</f>
        <v/>
      </c>
      <c r="V488" s="12">
        <f>U488/IF(H488="L",35,IF(H488="U",35,IF(H488="O",35,IF(H488="I",35,""))))</f>
        <v/>
      </c>
      <c r="W488" s="132">
        <f>IF(AND(H488="L", V488&gt;=50%), "Pass",
IF(AND(H488="U", V488&gt;=60%), "Pass",
IF(AND(H488="O", V488&gt;=75%), "Pass", "Fail")))</f>
        <v/>
      </c>
      <c r="X488" s="132">
        <f>IF(AND(Q488="Pass", W488="Pass"), "Pass", "Fail")</f>
        <v/>
      </c>
      <c r="Y488" s="15">
        <f>IF($X488="Pass",$H488,
IF(H488="L","I",
IF(H488="U","L",
IF(H488="O","U",
"I"))))</f>
        <v/>
      </c>
    </row>
    <row r="489">
      <c r="A489" s="147">
        <f>ROW()-2</f>
        <v/>
      </c>
      <c r="B489" s="127" t="inlineStr">
        <is>
          <t>PK0190</t>
        </is>
      </c>
      <c r="C489" s="128" t="inlineStr">
        <is>
          <t>VEL PANDI P</t>
        </is>
      </c>
      <c r="D489" s="127" t="inlineStr">
        <is>
          <t>PRODUCTION</t>
        </is>
      </c>
      <c r="E489" s="129" t="inlineStr">
        <is>
          <t>TYRE CURING</t>
        </is>
      </c>
      <c r="F489" s="130" t="n">
        <v>42017</v>
      </c>
      <c r="G489" s="131">
        <f>NOW()-F489</f>
        <v/>
      </c>
      <c r="H489" s="104" t="inlineStr">
        <is>
          <t>O</t>
        </is>
      </c>
      <c r="I489" s="104" t="inlineStr">
        <is>
          <t>O</t>
        </is>
      </c>
      <c r="J489" s="104" t="n">
        <v>9</v>
      </c>
      <c r="K489" s="104" t="n">
        <v>9</v>
      </c>
      <c r="L489" s="104" t="n">
        <v>9</v>
      </c>
      <c r="M489" s="104" t="n">
        <v>9</v>
      </c>
      <c r="N489" s="104" t="n"/>
      <c r="O489" s="104">
        <f>SUM(J489:N489)</f>
        <v/>
      </c>
      <c r="P489" s="12">
        <f>O489/IF(H489="L",20,IF(H489="U",30,IF(H489="O",40,IF(H489="I",20,""))))</f>
        <v/>
      </c>
      <c r="Q489" s="132">
        <f>IF(AND(H489="L", P489&gt;=50%), "Pass",
IF(AND(H489="U", P489&gt;=60%), "Pass",
IF(AND(H489="O", P489&gt;=75%), "Pass", "Fail")))</f>
        <v/>
      </c>
      <c r="R489" s="104" t="n"/>
      <c r="S489" s="104" t="n">
        <v>11</v>
      </c>
      <c r="T489" s="104" t="n">
        <v>12</v>
      </c>
      <c r="U489" s="104">
        <f>SUM(S489:T489)</f>
        <v/>
      </c>
      <c r="V489" s="12">
        <f>U489/IF(H489="L",35,IF(H489="U",35,IF(H489="O",35,IF(H489="I",35,""))))</f>
        <v/>
      </c>
      <c r="W489" s="132">
        <f>IF(AND(H489="L", V489&gt;=50%), "Pass",
IF(AND(H489="U", V489&gt;=60%), "Pass",
IF(AND(H489="O", V489&gt;=75%), "Pass", "Fail")))</f>
        <v/>
      </c>
      <c r="X489" s="132">
        <f>IF(AND(Q489="Pass", W489="Pass"), "Pass", "Fail")</f>
        <v/>
      </c>
      <c r="Y489" s="15">
        <f>IF($X489="Pass",$H489,
IF(H489="L","I",
IF(H489="U","L",
IF(H489="O","U",
"I"))))</f>
        <v/>
      </c>
    </row>
    <row r="490">
      <c r="A490" s="147">
        <f>ROW()-2</f>
        <v/>
      </c>
      <c r="B490" s="127" t="inlineStr">
        <is>
          <t>KK0339</t>
        </is>
      </c>
      <c r="C490" s="128" t="inlineStr">
        <is>
          <t>PANDARAM V</t>
        </is>
      </c>
      <c r="D490" s="127" t="inlineStr">
        <is>
          <t>PRODUCTION</t>
        </is>
      </c>
      <c r="E490" s="129" t="inlineStr">
        <is>
          <t>TYRE BUILDING-P1</t>
        </is>
      </c>
      <c r="F490" s="130" t="n">
        <v>42038</v>
      </c>
      <c r="G490" s="131">
        <f>NOW()-F490</f>
        <v/>
      </c>
      <c r="H490" s="104" t="inlineStr">
        <is>
          <t>O</t>
        </is>
      </c>
      <c r="I490" s="104" t="inlineStr">
        <is>
          <t>U</t>
        </is>
      </c>
      <c r="J490" s="104" t="n">
        <v>10</v>
      </c>
      <c r="K490" s="104" t="n">
        <v>8</v>
      </c>
      <c r="L490" s="104" t="n">
        <v>8</v>
      </c>
      <c r="M490" s="104" t="n">
        <v>9</v>
      </c>
      <c r="N490" s="104" t="n"/>
      <c r="O490" s="104">
        <f>SUM(J490:N490)</f>
        <v/>
      </c>
      <c r="P490" s="12">
        <f>O490/IF(H490="L",20,IF(H490="U",30,IF(H490="O",40,IF(H490="I",20,""))))</f>
        <v/>
      </c>
      <c r="Q490" s="132">
        <f>IF(AND(H490="L", P490&gt;=50%), "Pass",
IF(AND(H490="U", P490&gt;=60%), "Pass",
IF(AND(H490="O", P490&gt;=75%), "Pass", "Fail")))</f>
        <v/>
      </c>
      <c r="R490" s="104" t="n"/>
      <c r="S490" s="104" t="n">
        <v>12</v>
      </c>
      <c r="T490" s="104" t="n">
        <v>11</v>
      </c>
      <c r="U490" s="104">
        <f>SUM(S490:T490)</f>
        <v/>
      </c>
      <c r="V490" s="12">
        <f>U490/IF(H490="L",35,IF(H490="U",35,IF(H490="O",35,IF(H490="I",35,""))))</f>
        <v/>
      </c>
      <c r="W490" s="132">
        <f>IF(AND(H490="L", V490&gt;=50%), "Pass",
IF(AND(H490="U", V490&gt;=60%), "Pass",
IF(AND(H490="O", V490&gt;=75%), "Pass", "Fail")))</f>
        <v/>
      </c>
      <c r="X490" s="132">
        <f>IF(AND(Q490="Pass", W490="Pass"), "Pass", "Fail")</f>
        <v/>
      </c>
      <c r="Y490" s="15">
        <f>IF($X490="Pass",$H490,
IF(H490="L","I",
IF(H490="U","L",
IF(H490="O","U",
"I"))))</f>
        <v/>
      </c>
    </row>
    <row r="491">
      <c r="A491" s="147">
        <f>ROW()-2</f>
        <v/>
      </c>
      <c r="B491" s="127" t="inlineStr">
        <is>
          <t>SK2017</t>
        </is>
      </c>
      <c r="C491" s="128" t="inlineStr">
        <is>
          <t>OOYKKATTAN T</t>
        </is>
      </c>
      <c r="D491" s="127" t="inlineStr">
        <is>
          <t>PRODUCTION</t>
        </is>
      </c>
      <c r="E491" s="129" t="inlineStr">
        <is>
          <t>BIAS CUTTING-2</t>
        </is>
      </c>
      <c r="F491" s="130" t="n">
        <v>42042</v>
      </c>
      <c r="G491" s="131">
        <f>NOW()-F491</f>
        <v/>
      </c>
      <c r="H491" s="104" t="inlineStr">
        <is>
          <t>O</t>
        </is>
      </c>
      <c r="I491" s="104" t="inlineStr">
        <is>
          <t>O</t>
        </is>
      </c>
      <c r="J491" s="104" t="n">
        <v>10</v>
      </c>
      <c r="K491" s="104" t="n">
        <v>8</v>
      </c>
      <c r="L491" s="104" t="n">
        <v>8</v>
      </c>
      <c r="M491" s="104" t="n">
        <v>7</v>
      </c>
      <c r="N491" s="104" t="n"/>
      <c r="O491" s="104">
        <f>SUM(J491:N491)</f>
        <v/>
      </c>
      <c r="P491" s="12">
        <f>O491/IF(H491="L",20,IF(H491="U",30,IF(H491="O",40,IF(H491="I",20,""))))</f>
        <v/>
      </c>
      <c r="Q491" s="132">
        <f>IF(AND(H491="L", P491&gt;=50%), "Pass",
IF(AND(H491="U", P491&gt;=60%), "Pass",
IF(AND(H491="O", P491&gt;=75%), "Pass", "Fail")))</f>
        <v/>
      </c>
      <c r="R491" s="104" t="n"/>
      <c r="S491" s="104" t="n">
        <v>17</v>
      </c>
      <c r="T491" s="104" t="n">
        <v>12</v>
      </c>
      <c r="U491" s="104">
        <f>SUM(S491:T491)</f>
        <v/>
      </c>
      <c r="V491" s="12">
        <f>U491/IF(H491="L",35,IF(H491="U",35,IF(H491="O",35,IF(H491="I",35,""))))</f>
        <v/>
      </c>
      <c r="W491" s="132">
        <f>IF(AND(H491="L", V491&gt;=50%), "Pass",
IF(AND(H491="U", V491&gt;=60%), "Pass",
IF(AND(H491="O", V491&gt;=75%), "Pass", "Fail")))</f>
        <v/>
      </c>
      <c r="X491" s="132">
        <f>IF(AND(Q491="Pass", W491="Pass"), "Pass", "Fail")</f>
        <v/>
      </c>
      <c r="Y491" s="15">
        <f>IF($X491="Pass",$H491,
IF(H491="L","I",
IF(H491="U","L",
IF(H491="O","U",
"I"))))</f>
        <v/>
      </c>
    </row>
    <row r="492">
      <c r="A492" s="147">
        <f>ROW()-2</f>
        <v/>
      </c>
      <c r="B492" s="127" t="inlineStr">
        <is>
          <t>KK0343</t>
        </is>
      </c>
      <c r="C492" s="128" t="inlineStr">
        <is>
          <t>PANDARAM S</t>
        </is>
      </c>
      <c r="D492" s="127" t="inlineStr">
        <is>
          <t>PRODUCTION</t>
        </is>
      </c>
      <c r="E492" s="129" t="inlineStr">
        <is>
          <t>EXTRUDER</t>
        </is>
      </c>
      <c r="F492" s="130" t="n">
        <v>42046</v>
      </c>
      <c r="G492" s="131">
        <f>NOW()-F492</f>
        <v/>
      </c>
      <c r="H492" s="104" t="inlineStr">
        <is>
          <t>O</t>
        </is>
      </c>
      <c r="I492" s="104" t="inlineStr">
        <is>
          <t>O</t>
        </is>
      </c>
      <c r="J492" s="104" t="n">
        <v>9</v>
      </c>
      <c r="K492" s="104" t="n">
        <v>8</v>
      </c>
      <c r="L492" s="104" t="n">
        <v>9</v>
      </c>
      <c r="M492" s="104" t="n">
        <v>10</v>
      </c>
      <c r="N492" s="104" t="n"/>
      <c r="O492" s="104">
        <f>SUM(J492:N492)</f>
        <v/>
      </c>
      <c r="P492" s="12">
        <f>O492/IF(H492="L",20,IF(H492="U",30,IF(H492="O",40,IF(H492="I",20,""))))</f>
        <v/>
      </c>
      <c r="Q492" s="132">
        <f>IF(AND(H492="L", P492&gt;=50%), "Pass",
IF(AND(H492="U", P492&gt;=60%), "Pass",
IF(AND(H492="O", P492&gt;=75%), "Pass", "Fail")))</f>
        <v/>
      </c>
      <c r="R492" s="104" t="n"/>
      <c r="S492" s="104" t="n">
        <v>18</v>
      </c>
      <c r="T492" s="104" t="n">
        <v>12</v>
      </c>
      <c r="U492" s="104">
        <f>SUM(S492:T492)</f>
        <v/>
      </c>
      <c r="V492" s="12">
        <f>U492/IF(H492="L",35,IF(H492="U",35,IF(H492="O",35,IF(H492="I",35,""))))</f>
        <v/>
      </c>
      <c r="W492" s="132">
        <f>IF(AND(H492="L", V492&gt;=50%), "Pass",
IF(AND(H492="U", V492&gt;=60%), "Pass",
IF(AND(H492="O", V492&gt;=75%), "Pass", "Fail")))</f>
        <v/>
      </c>
      <c r="X492" s="132">
        <f>IF(AND(Q492="Pass", W492="Pass"), "Pass", "Fail")</f>
        <v/>
      </c>
      <c r="Y492" s="15">
        <f>IF($X492="Pass",$H492,
IF(H492="L","I",
IF(H492="U","L",
IF(H492="O","U",
"I"))))</f>
        <v/>
      </c>
    </row>
    <row r="493">
      <c r="A493" s="147">
        <f>ROW()-2</f>
        <v/>
      </c>
      <c r="B493" s="127" t="inlineStr">
        <is>
          <t>SK1703</t>
        </is>
      </c>
      <c r="C493" s="128" t="inlineStr">
        <is>
          <t>MANOGAR E</t>
        </is>
      </c>
      <c r="D493" s="127" t="inlineStr">
        <is>
          <t>PRODUCTION</t>
        </is>
      </c>
      <c r="E493" s="129" t="inlineStr">
        <is>
          <t>TYRE CURING</t>
        </is>
      </c>
      <c r="F493" s="130" t="n">
        <v>42046</v>
      </c>
      <c r="G493" s="131">
        <f>NOW()-F493</f>
        <v/>
      </c>
      <c r="H493" s="104" t="inlineStr">
        <is>
          <t>O</t>
        </is>
      </c>
      <c r="I493" s="104" t="inlineStr">
        <is>
          <t>O</t>
        </is>
      </c>
      <c r="J493" s="104" t="n">
        <v>9</v>
      </c>
      <c r="K493" s="104" t="n">
        <v>9</v>
      </c>
      <c r="L493" s="104" t="n">
        <v>8</v>
      </c>
      <c r="M493" s="104" t="n">
        <v>7</v>
      </c>
      <c r="N493" s="104" t="n"/>
      <c r="O493" s="104">
        <f>SUM(J493:N493)</f>
        <v/>
      </c>
      <c r="P493" s="12">
        <f>O493/IF(H493="L",20,IF(H493="U",30,IF(H493="O",40,IF(H493="I",20,""))))</f>
        <v/>
      </c>
      <c r="Q493" s="132">
        <f>IF(AND(H493="L", P493&gt;=50%), "Pass",
IF(AND(H493="U", P493&gt;=60%), "Pass",
IF(AND(H493="O", P493&gt;=75%), "Pass", "Fail")))</f>
        <v/>
      </c>
      <c r="R493" s="104" t="n"/>
      <c r="S493" s="104" t="n">
        <v>12</v>
      </c>
      <c r="T493" s="104" t="n">
        <v>11</v>
      </c>
      <c r="U493" s="104">
        <f>SUM(S493:T493)</f>
        <v/>
      </c>
      <c r="V493" s="12">
        <f>U493/IF(H493="L",35,IF(H493="U",35,IF(H493="O",35,IF(H493="I",35,""))))</f>
        <v/>
      </c>
      <c r="W493" s="132">
        <f>IF(AND(H493="L", V493&gt;=50%), "Pass",
IF(AND(H493="U", V493&gt;=60%), "Pass",
IF(AND(H493="O", V493&gt;=75%), "Pass", "Fail")))</f>
        <v/>
      </c>
      <c r="X493" s="132">
        <f>IF(AND(Q493="Pass", W493="Pass"), "Pass", "Fail")</f>
        <v/>
      </c>
      <c r="Y493" s="15">
        <f>IF($X493="Pass",$H493,
IF(H493="L","I",
IF(H493="U","L",
IF(H493="O","U",
"I"))))</f>
        <v/>
      </c>
    </row>
    <row r="494">
      <c r="A494" s="147">
        <f>ROW()-2</f>
        <v/>
      </c>
      <c r="B494" s="127" t="inlineStr">
        <is>
          <t>SK1705</t>
        </is>
      </c>
      <c r="C494" s="128" t="inlineStr">
        <is>
          <t>KRISHNA RAM</t>
        </is>
      </c>
      <c r="D494" s="127" t="inlineStr">
        <is>
          <t>PRODUCTION</t>
        </is>
      </c>
      <c r="E494" s="129" t="inlineStr">
        <is>
          <t>TYRE CURING</t>
        </is>
      </c>
      <c r="F494" s="130" t="n">
        <v>42046</v>
      </c>
      <c r="G494" s="131">
        <f>NOW()-F494</f>
        <v/>
      </c>
      <c r="H494" s="104" t="inlineStr">
        <is>
          <t>O</t>
        </is>
      </c>
      <c r="I494" s="104" t="inlineStr">
        <is>
          <t>U</t>
        </is>
      </c>
      <c r="J494" s="104" t="n">
        <v>9</v>
      </c>
      <c r="K494" s="104" t="n">
        <v>9</v>
      </c>
      <c r="L494" s="104" t="n">
        <v>8</v>
      </c>
      <c r="M494" s="104" t="n">
        <v>7</v>
      </c>
      <c r="N494" s="104" t="n"/>
      <c r="O494" s="104">
        <f>SUM(J494:N494)</f>
        <v/>
      </c>
      <c r="P494" s="12">
        <f>O494/IF(H494="L",20,IF(H494="U",30,IF(H494="O",40,IF(H494="I",20,""))))</f>
        <v/>
      </c>
      <c r="Q494" s="132">
        <f>IF(AND(H494="L", P494&gt;=50%), "Pass",
IF(AND(H494="U", P494&gt;=60%), "Pass",
IF(AND(H494="O", P494&gt;=75%), "Pass", "Fail")))</f>
        <v/>
      </c>
      <c r="R494" s="104" t="n"/>
      <c r="S494" s="104" t="n">
        <v>10</v>
      </c>
      <c r="T494" s="104" t="n">
        <v>7</v>
      </c>
      <c r="U494" s="104">
        <f>SUM(S494:T494)</f>
        <v/>
      </c>
      <c r="V494" s="12">
        <f>U494/IF(H494="L",35,IF(H494="U",35,IF(H494="O",35,IF(H494="I",35,""))))</f>
        <v/>
      </c>
      <c r="W494" s="132">
        <f>IF(AND(H494="L", V494&gt;=50%), "Pass",
IF(AND(H494="U", V494&gt;=60%), "Pass",
IF(AND(H494="O", V494&gt;=75%), "Pass", "Fail")))</f>
        <v/>
      </c>
      <c r="X494" s="132">
        <f>IF(AND(Q494="Pass", W494="Pass"), "Pass", "Fail")</f>
        <v/>
      </c>
      <c r="Y494" s="15">
        <f>IF($X494="Pass",$H494,
IF(H494="L","I",
IF(H494="U","L",
IF(H494="O","U",
"I"))))</f>
        <v/>
      </c>
    </row>
    <row r="495">
      <c r="A495" s="147">
        <f>ROW()-2</f>
        <v/>
      </c>
      <c r="B495" s="127" t="inlineStr">
        <is>
          <t>MG0620</t>
        </is>
      </c>
      <c r="C495" s="128" t="inlineStr">
        <is>
          <t>NAMBIRAJAN M</t>
        </is>
      </c>
      <c r="D495" s="127" t="inlineStr">
        <is>
          <t>PRODUCTION</t>
        </is>
      </c>
      <c r="E495" s="129" t="inlineStr">
        <is>
          <t>BAND BUILDING-P2</t>
        </is>
      </c>
      <c r="F495" s="130" t="n">
        <v>42047</v>
      </c>
      <c r="G495" s="131">
        <f>NOW()-F495</f>
        <v/>
      </c>
      <c r="H495" s="104" t="inlineStr">
        <is>
          <t>O</t>
        </is>
      </c>
      <c r="I495" s="104" t="inlineStr">
        <is>
          <t>U</t>
        </is>
      </c>
      <c r="J495" s="104" t="n">
        <v>9</v>
      </c>
      <c r="K495" s="104" t="n">
        <v>6</v>
      </c>
      <c r="L495" s="104" t="n">
        <v>9</v>
      </c>
      <c r="M495" s="104" t="n">
        <v>7</v>
      </c>
      <c r="N495" s="104" t="n"/>
      <c r="O495" s="104">
        <f>SUM(J495:N495)</f>
        <v/>
      </c>
      <c r="P495" s="12">
        <f>O495/IF(H495="L",20,IF(H495="U",30,IF(H495="O",40,IF(H495="I",20,""))))</f>
        <v/>
      </c>
      <c r="Q495" s="132">
        <f>IF(AND(H495="L", P495&gt;=50%), "Pass",
IF(AND(H495="U", P495&gt;=60%), "Pass",
IF(AND(H495="O", P495&gt;=75%), "Pass", "Fail")))</f>
        <v/>
      </c>
      <c r="R495" s="104" t="n"/>
      <c r="S495" s="104" t="n">
        <v>16</v>
      </c>
      <c r="T495" s="104" t="n">
        <v>12</v>
      </c>
      <c r="U495" s="104">
        <f>SUM(S495:T495)</f>
        <v/>
      </c>
      <c r="V495" s="12">
        <f>U495/IF(H495="L",35,IF(H495="U",35,IF(H495="O",35,IF(H495="I",35,""))))</f>
        <v/>
      </c>
      <c r="W495" s="132">
        <f>IF(AND(H495="L", V495&gt;=50%), "Pass",
IF(AND(H495="U", V495&gt;=60%), "Pass",
IF(AND(H495="O", V495&gt;=75%), "Pass", "Fail")))</f>
        <v/>
      </c>
      <c r="X495" s="132">
        <f>IF(AND(Q495="Pass", W495="Pass"), "Pass", "Fail")</f>
        <v/>
      </c>
      <c r="Y495" s="15">
        <f>IF($X495="Pass",$H495,
IF(H495="L","I",
IF(H495="U","L",
IF(H495="O","U",
"I"))))</f>
        <v/>
      </c>
    </row>
    <row r="496">
      <c r="A496" s="147">
        <f>ROW()-2</f>
        <v/>
      </c>
      <c r="B496" s="127" t="inlineStr">
        <is>
          <t>SK2313</t>
        </is>
      </c>
      <c r="C496" s="128" t="inlineStr">
        <is>
          <t>ETTURAJA M</t>
        </is>
      </c>
      <c r="D496" s="127" t="inlineStr">
        <is>
          <t>PRODUCTION</t>
        </is>
      </c>
      <c r="E496" s="129" t="inlineStr">
        <is>
          <t>BAND BUILDING-P2</t>
        </is>
      </c>
      <c r="F496" s="130" t="n">
        <v>42047</v>
      </c>
      <c r="G496" s="131">
        <f>NOW()-F496</f>
        <v/>
      </c>
      <c r="H496" s="104" t="inlineStr">
        <is>
          <t>O</t>
        </is>
      </c>
      <c r="I496" s="104" t="inlineStr">
        <is>
          <t>O</t>
        </is>
      </c>
      <c r="J496" s="104" t="n">
        <v>7</v>
      </c>
      <c r="K496" s="104" t="n">
        <v>5</v>
      </c>
      <c r="L496" s="104" t="n">
        <v>7</v>
      </c>
      <c r="M496" s="104" t="n">
        <v>8</v>
      </c>
      <c r="N496" s="104" t="n"/>
      <c r="O496" s="104">
        <f>SUM(J496:N496)</f>
        <v/>
      </c>
      <c r="P496" s="12">
        <f>O496/IF(H496="L",20,IF(H496="U",30,IF(H496="O",40,IF(H496="I",20,""))))</f>
        <v/>
      </c>
      <c r="Q496" s="132">
        <f>IF(AND(H496="L", P496&gt;=50%), "Pass",
IF(AND(H496="U", P496&gt;=60%), "Pass",
IF(AND(H496="O", P496&gt;=75%), "Pass", "Fail")))</f>
        <v/>
      </c>
      <c r="R496" s="104" t="n"/>
      <c r="S496" s="104" t="n">
        <v>12</v>
      </c>
      <c r="T496" s="104" t="n">
        <v>9</v>
      </c>
      <c r="U496" s="104">
        <f>SUM(S496:T496)</f>
        <v/>
      </c>
      <c r="V496" s="12">
        <f>U496/IF(H496="L",35,IF(H496="U",35,IF(H496="O",35,IF(H496="I",35,""))))</f>
        <v/>
      </c>
      <c r="W496" s="132">
        <f>IF(AND(H496="L", V496&gt;=50%), "Pass",
IF(AND(H496="U", V496&gt;=60%), "Pass",
IF(AND(H496="O", V496&gt;=75%), "Pass", "Fail")))</f>
        <v/>
      </c>
      <c r="X496" s="132">
        <f>IF(AND(Q496="Pass", W496="Pass"), "Pass", "Fail")</f>
        <v/>
      </c>
      <c r="Y496" s="15">
        <f>IF($X496="Pass",$H496,
IF(H496="L","I",
IF(H496="U","L",
IF(H496="O","U",
"I"))))</f>
        <v/>
      </c>
    </row>
    <row r="497">
      <c r="A497" s="147">
        <f>ROW()-2</f>
        <v/>
      </c>
      <c r="B497" s="127" t="inlineStr">
        <is>
          <t>SR0291</t>
        </is>
      </c>
      <c r="C497" s="128" t="inlineStr">
        <is>
          <t>ANAND RAJ P</t>
        </is>
      </c>
      <c r="D497" s="127" t="inlineStr">
        <is>
          <t>PRODUCTION</t>
        </is>
      </c>
      <c r="E497" s="129" t="inlineStr">
        <is>
          <t>TYRE CURING</t>
        </is>
      </c>
      <c r="F497" s="130" t="n">
        <v>42047</v>
      </c>
      <c r="G497" s="131">
        <f>NOW()-F497</f>
        <v/>
      </c>
      <c r="H497" s="104" t="inlineStr">
        <is>
          <t>O</t>
        </is>
      </c>
      <c r="I497" s="104" t="inlineStr">
        <is>
          <t>U</t>
        </is>
      </c>
      <c r="J497" s="104" t="n">
        <v>10</v>
      </c>
      <c r="K497" s="104" t="n">
        <v>9</v>
      </c>
      <c r="L497" s="104" t="n">
        <v>8</v>
      </c>
      <c r="M497" s="104" t="n">
        <v>6</v>
      </c>
      <c r="N497" s="104" t="n"/>
      <c r="O497" s="104">
        <f>SUM(J497:N497)</f>
        <v/>
      </c>
      <c r="P497" s="12">
        <f>O497/IF(H497="L",20,IF(H497="U",30,IF(H497="O",40,IF(H497="I",20,""))))</f>
        <v/>
      </c>
      <c r="Q497" s="132">
        <f>IF(AND(H497="L", P497&gt;=50%), "Pass",
IF(AND(H497="U", P497&gt;=60%), "Pass",
IF(AND(H497="O", P497&gt;=75%), "Pass", "Fail")))</f>
        <v/>
      </c>
      <c r="R497" s="104" t="n"/>
      <c r="S497" s="104" t="n">
        <v>14</v>
      </c>
      <c r="T497" s="104" t="n">
        <v>10</v>
      </c>
      <c r="U497" s="104">
        <f>SUM(S497:T497)</f>
        <v/>
      </c>
      <c r="V497" s="12">
        <f>U497/IF(H497="L",35,IF(H497="U",35,IF(H497="O",35,IF(H497="I",35,""))))</f>
        <v/>
      </c>
      <c r="W497" s="132">
        <f>IF(AND(H497="L", V497&gt;=50%), "Pass",
IF(AND(H497="U", V497&gt;=60%), "Pass",
IF(AND(H497="O", V497&gt;=75%), "Pass", "Fail")))</f>
        <v/>
      </c>
      <c r="X497" s="132">
        <f>IF(AND(Q497="Pass", W497="Pass"), "Pass", "Fail")</f>
        <v/>
      </c>
      <c r="Y497" s="15">
        <f>IF($X497="Pass",$H497,
IF(H497="L","I",
IF(H497="U","L",
IF(H497="O","U",
"I"))))</f>
        <v/>
      </c>
    </row>
    <row r="498">
      <c r="A498" s="147">
        <f>ROW()-2</f>
        <v/>
      </c>
      <c r="B498" s="127" t="inlineStr">
        <is>
          <t>PK0680</t>
        </is>
      </c>
      <c r="C498" s="128" t="inlineStr">
        <is>
          <t>KARUPPASAMY S</t>
        </is>
      </c>
      <c r="D498" s="127" t="inlineStr">
        <is>
          <t>PRODUCTION</t>
        </is>
      </c>
      <c r="E498" s="129" t="inlineStr">
        <is>
          <t>BAND BUILDING-P1</t>
        </is>
      </c>
      <c r="F498" s="130" t="n">
        <v>42048</v>
      </c>
      <c r="G498" s="131">
        <f>NOW()-F498</f>
        <v/>
      </c>
      <c r="H498" s="104" t="inlineStr">
        <is>
          <t>O</t>
        </is>
      </c>
      <c r="I498" s="104" t="inlineStr">
        <is>
          <t>U</t>
        </is>
      </c>
      <c r="J498" s="104" t="n">
        <v>9</v>
      </c>
      <c r="K498" s="104" t="n">
        <v>8</v>
      </c>
      <c r="L498" s="104" t="n">
        <v>6</v>
      </c>
      <c r="M498" s="104" t="n">
        <v>8</v>
      </c>
      <c r="N498" s="104" t="n"/>
      <c r="O498" s="104">
        <f>SUM(J498:N498)</f>
        <v/>
      </c>
      <c r="P498" s="12">
        <f>O498/IF(H498="L",20,IF(H498="U",30,IF(H498="O",40,IF(H498="I",20,""))))</f>
        <v/>
      </c>
      <c r="Q498" s="132">
        <f>IF(AND(H498="L", P498&gt;=50%), "Pass",
IF(AND(H498="U", P498&gt;=60%), "Pass",
IF(AND(H498="O", P498&gt;=75%), "Pass", "Fail")))</f>
        <v/>
      </c>
      <c r="R498" s="104" t="n"/>
      <c r="S498" s="104" t="n">
        <v>19</v>
      </c>
      <c r="T498" s="104" t="n">
        <v>15</v>
      </c>
      <c r="U498" s="104">
        <f>SUM(S498:T498)</f>
        <v/>
      </c>
      <c r="V498" s="12">
        <f>U498/IF(H498="L",35,IF(H498="U",35,IF(H498="O",35,IF(H498="I",35,""))))</f>
        <v/>
      </c>
      <c r="W498" s="132">
        <f>IF(AND(H498="L", V498&gt;=50%), "Pass",
IF(AND(H498="U", V498&gt;=60%), "Pass",
IF(AND(H498="O", V498&gt;=75%), "Pass", "Fail")))</f>
        <v/>
      </c>
      <c r="X498" s="132">
        <f>IF(AND(Q498="Pass", W498="Pass"), "Pass", "Fail")</f>
        <v/>
      </c>
      <c r="Y498" s="15">
        <f>IF($X498="Pass",$H498,
IF(H498="L","I",
IF(H498="U","L",
IF(H498="O","U",
"I"))))</f>
        <v/>
      </c>
    </row>
    <row r="499">
      <c r="A499" s="147">
        <f>ROW()-2</f>
        <v/>
      </c>
      <c r="B499" s="127" t="inlineStr">
        <is>
          <t>SK1712</t>
        </is>
      </c>
      <c r="C499" s="128" t="inlineStr">
        <is>
          <t>RAMESH R</t>
        </is>
      </c>
      <c r="D499" s="127" t="inlineStr">
        <is>
          <t>PRODUCTION</t>
        </is>
      </c>
      <c r="E499" s="129" t="inlineStr">
        <is>
          <t>TYRE BUILDING-P3</t>
        </is>
      </c>
      <c r="F499" s="130" t="n">
        <v>42049</v>
      </c>
      <c r="G499" s="131">
        <f>NOW()-F499</f>
        <v/>
      </c>
      <c r="H499" s="104" t="inlineStr">
        <is>
          <t>O</t>
        </is>
      </c>
      <c r="I499" s="104" t="inlineStr">
        <is>
          <t>U</t>
        </is>
      </c>
      <c r="J499" s="104" t="n">
        <v>9</v>
      </c>
      <c r="K499" s="104" t="n">
        <v>10</v>
      </c>
      <c r="L499" s="104" t="n">
        <v>8</v>
      </c>
      <c r="M499" s="104" t="n">
        <v>9</v>
      </c>
      <c r="N499" s="104" t="n"/>
      <c r="O499" s="104">
        <f>SUM(J499:N499)</f>
        <v/>
      </c>
      <c r="P499" s="12">
        <f>O499/IF(H499="L",20,IF(H499="U",30,IF(H499="O",40,IF(H499="I",20,""))))</f>
        <v/>
      </c>
      <c r="Q499" s="132">
        <f>IF(AND(H499="L", P499&gt;=50%), "Pass",
IF(AND(H499="U", P499&gt;=60%), "Pass",
IF(AND(H499="O", P499&gt;=75%), "Pass", "Fail")))</f>
        <v/>
      </c>
      <c r="R499" s="104" t="n"/>
      <c r="S499" s="104" t="n">
        <v>17</v>
      </c>
      <c r="T499" s="104" t="n">
        <v>14</v>
      </c>
      <c r="U499" s="104">
        <f>SUM(S499:T499)</f>
        <v/>
      </c>
      <c r="V499" s="12">
        <f>U499/IF(H499="L",35,IF(H499="U",35,IF(H499="O",35,IF(H499="I",35,""))))</f>
        <v/>
      </c>
      <c r="W499" s="132">
        <f>IF(AND(H499="L", V499&gt;=50%), "Pass",
IF(AND(H499="U", V499&gt;=60%), "Pass",
IF(AND(H499="O", V499&gt;=75%), "Pass", "Fail")))</f>
        <v/>
      </c>
      <c r="X499" s="132">
        <f>IF(AND(Q499="Pass", W499="Pass"), "Pass", "Fail")</f>
        <v/>
      </c>
      <c r="Y499" s="15">
        <f>IF($X499="Pass",$H499,
IF(H499="L","I",
IF(H499="U","L",
IF(H499="O","U",
"I"))))</f>
        <v/>
      </c>
    </row>
    <row r="500">
      <c r="A500" s="147">
        <f>ROW()-2</f>
        <v/>
      </c>
      <c r="B500" s="133" t="inlineStr">
        <is>
          <t>PK0681</t>
        </is>
      </c>
      <c r="C500" s="148" t="inlineStr">
        <is>
          <t>ESAKKI MUTHU S</t>
        </is>
      </c>
      <c r="D500" s="127" t="inlineStr">
        <is>
          <t>PRODUCTION</t>
        </is>
      </c>
      <c r="E500" s="135" t="inlineStr">
        <is>
          <t>MIXING</t>
        </is>
      </c>
      <c r="F500" s="136" t="n">
        <v>42052</v>
      </c>
      <c r="G500" s="131">
        <f>NOW()-F500</f>
        <v/>
      </c>
      <c r="H500" s="104" t="inlineStr">
        <is>
          <t>O</t>
        </is>
      </c>
      <c r="I500" s="104" t="inlineStr">
        <is>
          <t>U</t>
        </is>
      </c>
      <c r="J500" s="104" t="inlineStr">
        <is>
          <t>NIL</t>
        </is>
      </c>
      <c r="K500" s="104" t="n"/>
      <c r="L500" s="104" t="n"/>
      <c r="M500" s="104" t="n"/>
      <c r="N500" s="104" t="n"/>
      <c r="O500" s="104" t="n"/>
      <c r="P500" s="12">
        <f>O500/IF(H500="L",20,IF(H500="U",30,IF(H500="O",40,IF(H500="I",20,""))))</f>
        <v/>
      </c>
      <c r="Q500" s="132">
        <f>IF(AND(H500="L", P500&gt;=50%), "Pass",
IF(AND(H500="U", P500&gt;=60%), "Pass",
IF(AND(H500="O", P500&gt;=75%), "Pass", "Fail")))</f>
        <v/>
      </c>
      <c r="R500" s="104" t="n"/>
      <c r="S500" s="104" t="n">
        <v>14</v>
      </c>
      <c r="T500" s="104" t="n">
        <v>12</v>
      </c>
      <c r="U500" s="104">
        <f>SUM(S500:T500)</f>
        <v/>
      </c>
      <c r="V500" s="12">
        <f>U500/IF(H500="L",35,IF(H500="U",35,IF(H500="O",35,IF(H500="I",35,""))))</f>
        <v/>
      </c>
      <c r="W500" s="132">
        <f>IF(AND(H500="L", V500&gt;=50%), "Pass",
IF(AND(H500="U", V500&gt;=60%), "Pass",
IF(AND(H500="O", V500&gt;=75%), "Pass", "Fail")))</f>
        <v/>
      </c>
      <c r="X500" s="132">
        <f>IF(AND(Q500="Pass", W500="Pass"), "Pass", "Fail")</f>
        <v/>
      </c>
      <c r="Y500" s="15">
        <f>IF($X500="Pass",$H500,
IF(H500="L","I",
IF(H500="U","L",
IF(H500="O","U",
"I"))))</f>
        <v/>
      </c>
    </row>
    <row r="501">
      <c r="A501" s="147">
        <f>ROW()-2</f>
        <v/>
      </c>
      <c r="B501" s="133" t="inlineStr">
        <is>
          <t>SK2376</t>
        </is>
      </c>
      <c r="C501" s="148" t="inlineStr">
        <is>
          <t>MUTHU A</t>
        </is>
      </c>
      <c r="D501" s="127" t="inlineStr">
        <is>
          <t>PRODUCTION</t>
        </is>
      </c>
      <c r="E501" s="135" t="inlineStr">
        <is>
          <t>MIXING</t>
        </is>
      </c>
      <c r="F501" s="136" t="n">
        <v>42052</v>
      </c>
      <c r="G501" s="131">
        <f>NOW()-F501</f>
        <v/>
      </c>
      <c r="H501" s="104" t="inlineStr">
        <is>
          <t>O</t>
        </is>
      </c>
      <c r="I501" s="104" t="inlineStr">
        <is>
          <t>U</t>
        </is>
      </c>
      <c r="J501" s="104" t="inlineStr">
        <is>
          <t>NIL</t>
        </is>
      </c>
      <c r="K501" s="104" t="n"/>
      <c r="L501" s="104" t="n"/>
      <c r="M501" s="104" t="n"/>
      <c r="N501" s="104" t="n"/>
      <c r="O501" s="104" t="n"/>
      <c r="P501" s="12">
        <f>O501/IF(H501="L",20,IF(H501="U",30,IF(H501="O",40,IF(H501="I",20,""))))</f>
        <v/>
      </c>
      <c r="Q501" s="132">
        <f>IF(AND(H501="L", P501&gt;=50%), "Pass",
IF(AND(H501="U", P501&gt;=60%), "Pass",
IF(AND(H501="O", P501&gt;=75%), "Pass", "Fail")))</f>
        <v/>
      </c>
      <c r="R501" s="104" t="n"/>
      <c r="S501" s="104" t="n">
        <v>14</v>
      </c>
      <c r="T501" s="104" t="n">
        <v>12</v>
      </c>
      <c r="U501" s="104">
        <f>SUM(S501:T501)</f>
        <v/>
      </c>
      <c r="V501" s="12">
        <f>U501/IF(H501="L",35,IF(H501="U",35,IF(H501="O",35,IF(H501="I",35,""))))</f>
        <v/>
      </c>
      <c r="W501" s="132">
        <f>IF(AND(H501="L", V501&gt;=50%), "Pass",
IF(AND(H501="U", V501&gt;=60%), "Pass",
IF(AND(H501="O", V501&gt;=75%), "Pass", "Fail")))</f>
        <v/>
      </c>
      <c r="X501" s="132">
        <f>IF(AND(Q501="Pass", W501="Pass"), "Pass", "Fail")</f>
        <v/>
      </c>
      <c r="Y501" s="15">
        <f>IF($X501="Pass",$H501,
IF(H501="L","I",
IF(H501="U","L",
IF(H501="O","U",
"I"))))</f>
        <v/>
      </c>
    </row>
    <row r="502">
      <c r="A502" s="147">
        <f>ROW()-2</f>
        <v/>
      </c>
      <c r="B502" s="133" t="inlineStr">
        <is>
          <t>MG0626</t>
        </is>
      </c>
      <c r="C502" s="148" t="inlineStr">
        <is>
          <t>PETCHI MUTHU M</t>
        </is>
      </c>
      <c r="D502" s="127" t="inlineStr">
        <is>
          <t>PRODUCTION</t>
        </is>
      </c>
      <c r="E502" s="135" t="inlineStr">
        <is>
          <t>MIXING</t>
        </is>
      </c>
      <c r="F502" s="136" t="n">
        <v>42054</v>
      </c>
      <c r="G502" s="131">
        <f>NOW()-F502</f>
        <v/>
      </c>
      <c r="H502" s="104" t="inlineStr">
        <is>
          <t>O</t>
        </is>
      </c>
      <c r="I502" s="104" t="inlineStr">
        <is>
          <t>U</t>
        </is>
      </c>
      <c r="J502" s="104" t="inlineStr">
        <is>
          <t>NIL</t>
        </is>
      </c>
      <c r="K502" s="104" t="n"/>
      <c r="L502" s="104" t="n"/>
      <c r="M502" s="104" t="n"/>
      <c r="N502" s="104" t="n"/>
      <c r="O502" s="104" t="n"/>
      <c r="P502" s="12">
        <f>O502/IF(H502="L",20,IF(H502="U",30,IF(H502="O",40,IF(H502="I",20,""))))</f>
        <v/>
      </c>
      <c r="Q502" s="132">
        <f>IF(AND(H502="L", P502&gt;=50%), "Pass",
IF(AND(H502="U", P502&gt;=60%), "Pass",
IF(AND(H502="O", P502&gt;=75%), "Pass", "Fail")))</f>
        <v/>
      </c>
      <c r="R502" s="104" t="n"/>
      <c r="S502" s="104" t="n">
        <v>14</v>
      </c>
      <c r="T502" s="104" t="n">
        <v>11</v>
      </c>
      <c r="U502" s="104">
        <f>SUM(S502:T502)</f>
        <v/>
      </c>
      <c r="V502" s="12">
        <f>U502/IF(H502="L",35,IF(H502="U",35,IF(H502="O",35,IF(H502="I",35,""))))</f>
        <v/>
      </c>
      <c r="W502" s="132">
        <f>IF(AND(H502="L", V502&gt;=50%), "Pass",
IF(AND(H502="U", V502&gt;=60%), "Pass",
IF(AND(H502="O", V502&gt;=75%), "Pass", "Fail")))</f>
        <v/>
      </c>
      <c r="X502" s="132">
        <f>IF(AND(Q502="Pass", W502="Pass"), "Pass", "Fail")</f>
        <v/>
      </c>
      <c r="Y502" s="15">
        <f>IF($X502="Pass",$H502,
IF(H502="L","I",
IF(H502="U","L",
IF(H502="O","U",
"I"))))</f>
        <v/>
      </c>
    </row>
    <row r="503">
      <c r="A503" s="147">
        <f>ROW()-2</f>
        <v/>
      </c>
      <c r="B503" s="133" t="inlineStr">
        <is>
          <t>SK2377</t>
        </is>
      </c>
      <c r="C503" s="148" t="inlineStr">
        <is>
          <t>POOLPANDIAN B</t>
        </is>
      </c>
      <c r="D503" s="127" t="inlineStr">
        <is>
          <t>PRODUCTION</t>
        </is>
      </c>
      <c r="E503" s="135" t="inlineStr">
        <is>
          <t>MIXING</t>
        </is>
      </c>
      <c r="F503" s="136" t="n">
        <v>42054</v>
      </c>
      <c r="G503" s="131">
        <f>NOW()-F503</f>
        <v/>
      </c>
      <c r="H503" s="104" t="inlineStr">
        <is>
          <t>O</t>
        </is>
      </c>
      <c r="I503" s="104" t="inlineStr">
        <is>
          <t>U</t>
        </is>
      </c>
      <c r="J503" s="104" t="inlineStr">
        <is>
          <t>NIL</t>
        </is>
      </c>
      <c r="K503" s="104" t="n"/>
      <c r="L503" s="104" t="n"/>
      <c r="M503" s="104" t="n"/>
      <c r="N503" s="104" t="n"/>
      <c r="O503" s="104" t="n"/>
      <c r="P503" s="12">
        <f>O503/IF(H503="L",20,IF(H503="U",30,IF(H503="O",40,IF(H503="I",20,""))))</f>
        <v/>
      </c>
      <c r="Q503" s="132">
        <f>IF(AND(H503="L", P503&gt;=50%), "Pass",
IF(AND(H503="U", P503&gt;=60%), "Pass",
IF(AND(H503="O", P503&gt;=75%), "Pass", "Fail")))</f>
        <v/>
      </c>
      <c r="R503" s="104" t="n"/>
      <c r="S503" s="104" t="n">
        <v>14</v>
      </c>
      <c r="T503" s="104" t="n">
        <v>11</v>
      </c>
      <c r="U503" s="104">
        <f>SUM(S503:T503)</f>
        <v/>
      </c>
      <c r="V503" s="12">
        <f>U503/IF(H503="L",35,IF(H503="U",35,IF(H503="O",35,IF(H503="I",35,""))))</f>
        <v/>
      </c>
      <c r="W503" s="132">
        <f>IF(AND(H503="L", V503&gt;=50%), "Pass",
IF(AND(H503="U", V503&gt;=60%), "Pass",
IF(AND(H503="O", V503&gt;=75%), "Pass", "Fail")))</f>
        <v/>
      </c>
      <c r="X503" s="132">
        <f>IF(AND(Q503="Pass", W503="Pass"), "Pass", "Fail")</f>
        <v/>
      </c>
      <c r="Y503" s="15">
        <f>IF($X503="Pass",$H503,
IF(H503="L","I",
IF(H503="U","L",
IF(H503="O","U",
"I"))))</f>
        <v/>
      </c>
    </row>
    <row r="504">
      <c r="A504" s="147">
        <f>ROW()-2</f>
        <v/>
      </c>
      <c r="B504" s="127" t="inlineStr">
        <is>
          <t>SR0297</t>
        </is>
      </c>
      <c r="C504" s="128" t="inlineStr">
        <is>
          <t>BALA SUBRAMANIAN M</t>
        </is>
      </c>
      <c r="D504" s="127" t="inlineStr">
        <is>
          <t>PRODUCTION</t>
        </is>
      </c>
      <c r="E504" s="129" t="inlineStr">
        <is>
          <t>TYRE BUILDING-P2</t>
        </is>
      </c>
      <c r="F504" s="130" t="n">
        <v>42065</v>
      </c>
      <c r="G504" s="131">
        <f>NOW()-F504</f>
        <v/>
      </c>
      <c r="H504" s="104" t="inlineStr">
        <is>
          <t>O</t>
        </is>
      </c>
      <c r="I504" s="104" t="inlineStr">
        <is>
          <t>U</t>
        </is>
      </c>
      <c r="J504" s="104" t="n">
        <v>8</v>
      </c>
      <c r="K504" s="104" t="n">
        <v>7</v>
      </c>
      <c r="L504" s="104" t="n">
        <v>6</v>
      </c>
      <c r="M504" s="104" t="n">
        <v>7</v>
      </c>
      <c r="N504" s="104" t="n"/>
      <c r="O504" s="104">
        <f>SUM(J504:N504)</f>
        <v/>
      </c>
      <c r="P504" s="12">
        <f>O504/IF(H504="L",20,IF(H504="U",30,IF(H504="O",40,IF(H504="I",20,""))))</f>
        <v/>
      </c>
      <c r="Q504" s="132">
        <f>IF(AND(H504="L", P504&gt;=50%), "Pass",
IF(AND(H504="U", P504&gt;=60%), "Pass",
IF(AND(H504="O", P504&gt;=75%), "Pass", "Fail")))</f>
        <v/>
      </c>
      <c r="R504" s="104" t="n"/>
      <c r="S504" s="104" t="n">
        <v>6</v>
      </c>
      <c r="T504" s="104" t="n">
        <v>4</v>
      </c>
      <c r="U504" s="104">
        <f>SUM(S504:T504)</f>
        <v/>
      </c>
      <c r="V504" s="12">
        <f>U504/IF(H504="L",35,IF(H504="U",35,IF(H504="O",35,IF(H504="I",35,""))))</f>
        <v/>
      </c>
      <c r="W504" s="132">
        <f>IF(AND(H504="L", V504&gt;=50%), "Pass",
IF(AND(H504="U", V504&gt;=60%), "Pass",
IF(AND(H504="O", V504&gt;=75%), "Pass", "Fail")))</f>
        <v/>
      </c>
      <c r="X504" s="132">
        <f>IF(AND(Q504="Pass", W504="Pass"), "Pass", "Fail")</f>
        <v/>
      </c>
      <c r="Y504" s="15">
        <f>IF($X504="Pass",$H504,
IF(H504="L","I",
IF(H504="U","L",
IF(H504="O","U",
"I"))))</f>
        <v/>
      </c>
    </row>
    <row r="505">
      <c r="A505" s="147">
        <f>ROW()-2</f>
        <v/>
      </c>
      <c r="B505" s="133" t="inlineStr">
        <is>
          <t>AK0643</t>
        </is>
      </c>
      <c r="C505" s="148" t="inlineStr">
        <is>
          <t>MUTHU P</t>
        </is>
      </c>
      <c r="D505" s="127" t="inlineStr">
        <is>
          <t>PRODUCTION</t>
        </is>
      </c>
      <c r="E505" s="135" t="inlineStr">
        <is>
          <t>MIXING</t>
        </is>
      </c>
      <c r="F505" s="136" t="n">
        <v>42066</v>
      </c>
      <c r="G505" s="131">
        <f>NOW()-F505</f>
        <v/>
      </c>
      <c r="H505" s="104" t="inlineStr">
        <is>
          <t>O</t>
        </is>
      </c>
      <c r="I505" s="104" t="inlineStr">
        <is>
          <t>U</t>
        </is>
      </c>
      <c r="J505" s="104" t="inlineStr">
        <is>
          <t>NIL</t>
        </is>
      </c>
      <c r="K505" s="104" t="n"/>
      <c r="L505" s="104" t="n"/>
      <c r="M505" s="104" t="n"/>
      <c r="N505" s="104" t="n"/>
      <c r="O505" s="104" t="n"/>
      <c r="P505" s="12">
        <f>O505/IF(H505="L",20,IF(H505="U",30,IF(H505="O",40,IF(H505="I",20,""))))</f>
        <v/>
      </c>
      <c r="Q505" s="132">
        <f>IF(AND(H505="L", P505&gt;=50%), "Pass",
IF(AND(H505="U", P505&gt;=60%), "Pass",
IF(AND(H505="O", P505&gt;=75%), "Pass", "Fail")))</f>
        <v/>
      </c>
      <c r="R505" s="104" t="n"/>
      <c r="S505" s="104" t="n">
        <v>12</v>
      </c>
      <c r="T505" s="104" t="n">
        <v>11</v>
      </c>
      <c r="U505" s="104">
        <f>SUM(S505:T505)</f>
        <v/>
      </c>
      <c r="V505" s="12">
        <f>U505/IF(H505="L",35,IF(H505="U",35,IF(H505="O",35,IF(H505="I",35,""))))</f>
        <v/>
      </c>
      <c r="W505" s="132">
        <f>IF(AND(H505="L", V505&gt;=50%), "Pass",
IF(AND(H505="U", V505&gt;=60%), "Pass",
IF(AND(H505="O", V505&gt;=75%), "Pass", "Fail")))</f>
        <v/>
      </c>
      <c r="X505" s="132">
        <f>IF(AND(Q505="Pass", W505="Pass"), "Pass", "Fail")</f>
        <v/>
      </c>
      <c r="Y505" s="15">
        <f>IF($X505="Pass",$H505,
IF(H505="L","I",
IF(H505="U","L",
IF(H505="O","U",
"I"))))</f>
        <v/>
      </c>
    </row>
    <row r="506">
      <c r="A506" s="147">
        <f>ROW()-2</f>
        <v/>
      </c>
      <c r="B506" s="127" t="inlineStr">
        <is>
          <t>SK2379</t>
        </is>
      </c>
      <c r="C506" s="128" t="inlineStr">
        <is>
          <t>KALAI SEELAN V</t>
        </is>
      </c>
      <c r="D506" s="127" t="inlineStr">
        <is>
          <t>PRODUCTION</t>
        </is>
      </c>
      <c r="E506" s="129" t="inlineStr">
        <is>
          <t>TYRE BUILDING-P2</t>
        </is>
      </c>
      <c r="F506" s="130" t="n">
        <v>42066</v>
      </c>
      <c r="G506" s="131">
        <f>NOW()-F506</f>
        <v/>
      </c>
      <c r="H506" s="104" t="inlineStr">
        <is>
          <t>O</t>
        </is>
      </c>
      <c r="I506" s="104" t="inlineStr">
        <is>
          <t>O</t>
        </is>
      </c>
      <c r="J506" s="104" t="n">
        <v>9</v>
      </c>
      <c r="K506" s="104" t="n">
        <v>10</v>
      </c>
      <c r="L506" s="104" t="n">
        <v>8</v>
      </c>
      <c r="M506" s="104" t="n">
        <v>8</v>
      </c>
      <c r="N506" s="104" t="n"/>
      <c r="O506" s="104">
        <f>SUM(J506:N506)</f>
        <v/>
      </c>
      <c r="P506" s="12">
        <f>O506/IF(H506="L",20,IF(H506="U",30,IF(H506="O",40,IF(H506="I",20,""))))</f>
        <v/>
      </c>
      <c r="Q506" s="132">
        <f>IF(AND(H506="L", P506&gt;=50%), "Pass",
IF(AND(H506="U", P506&gt;=60%), "Pass",
IF(AND(H506="O", P506&gt;=75%), "Pass", "Fail")))</f>
        <v/>
      </c>
      <c r="R506" s="104" t="n"/>
      <c r="S506" s="104" t="n">
        <v>12</v>
      </c>
      <c r="T506" s="104" t="n">
        <v>11</v>
      </c>
      <c r="U506" s="104">
        <f>SUM(S506:T506)</f>
        <v/>
      </c>
      <c r="V506" s="12">
        <f>U506/IF(H506="L",35,IF(H506="U",35,IF(H506="O",35,IF(H506="I",35,""))))</f>
        <v/>
      </c>
      <c r="W506" s="132">
        <f>IF(AND(H506="L", V506&gt;=50%), "Pass",
IF(AND(H506="U", V506&gt;=60%), "Pass",
IF(AND(H506="O", V506&gt;=75%), "Pass", "Fail")))</f>
        <v/>
      </c>
      <c r="X506" s="132">
        <f>IF(AND(Q506="Pass", W506="Pass"), "Pass", "Fail")</f>
        <v/>
      </c>
      <c r="Y506" s="15">
        <f>IF($X506="Pass",$H506,
IF(H506="L","I",
IF(H506="U","L",
IF(H506="O","U",
"I"))))</f>
        <v/>
      </c>
      <c r="Z506" s="82">
        <f>V506-75%</f>
        <v/>
      </c>
    </row>
    <row r="507">
      <c r="A507" s="147">
        <f>ROW()-2</f>
        <v/>
      </c>
      <c r="B507" s="127" t="inlineStr">
        <is>
          <t>KK0349</t>
        </is>
      </c>
      <c r="C507" s="128" t="inlineStr">
        <is>
          <t>BALA MURUGAN E</t>
        </is>
      </c>
      <c r="D507" s="127" t="inlineStr">
        <is>
          <t>PRODUCTION</t>
        </is>
      </c>
      <c r="E507" s="129" t="inlineStr">
        <is>
          <t>TYRE BUILDING-P2</t>
        </is>
      </c>
      <c r="F507" s="130" t="n">
        <v>42067</v>
      </c>
      <c r="G507" s="131">
        <f>NOW()-F507</f>
        <v/>
      </c>
      <c r="H507" s="104" t="inlineStr">
        <is>
          <t>O</t>
        </is>
      </c>
      <c r="I507" s="104" t="inlineStr">
        <is>
          <t>O</t>
        </is>
      </c>
      <c r="J507" s="104" t="n">
        <v>7</v>
      </c>
      <c r="K507" s="104" t="n">
        <v>9</v>
      </c>
      <c r="L507" s="104" t="n">
        <v>8</v>
      </c>
      <c r="M507" s="104" t="n">
        <v>8</v>
      </c>
      <c r="N507" s="104" t="n"/>
      <c r="O507" s="104">
        <f>SUM(J507:N507)</f>
        <v/>
      </c>
      <c r="P507" s="12">
        <f>O507/IF(H507="L",20,IF(H507="U",30,IF(H507="O",40,IF(H507="I",20,""))))</f>
        <v/>
      </c>
      <c r="Q507" s="132">
        <f>IF(AND(H507="L", P507&gt;=50%), "Pass",
IF(AND(H507="U", P507&gt;=60%), "Pass",
IF(AND(H507="O", P507&gt;=75%), "Pass", "Fail")))</f>
        <v/>
      </c>
      <c r="R507" s="104" t="n"/>
      <c r="S507" s="104" t="n">
        <v>10</v>
      </c>
      <c r="T507" s="104" t="n">
        <v>8</v>
      </c>
      <c r="U507" s="104">
        <f>SUM(S507:T507)</f>
        <v/>
      </c>
      <c r="V507" s="12">
        <f>U507/IF(H507="L",35,IF(H507="U",35,IF(H507="O",35,IF(H507="I",35,""))))</f>
        <v/>
      </c>
      <c r="W507" s="132">
        <f>IF(AND(H507="L", V507&gt;=50%), "Pass",
IF(AND(H507="U", V507&gt;=60%), "Pass",
IF(AND(H507="O", V507&gt;=75%), "Pass", "Fail")))</f>
        <v/>
      </c>
      <c r="X507" s="132">
        <f>IF(AND(Q507="Pass", W507="Pass"), "Pass", "Fail")</f>
        <v/>
      </c>
      <c r="Y507" s="15">
        <f>IF($X507="Pass",$H507,
IF(H507="L","I",
IF(H507="U","L",
IF(H507="O","U",
"I"))))</f>
        <v/>
      </c>
    </row>
    <row r="508">
      <c r="A508" s="147">
        <f>ROW()-2</f>
        <v/>
      </c>
      <c r="B508" s="127" t="inlineStr">
        <is>
          <t>KK0350</t>
        </is>
      </c>
      <c r="C508" s="128" t="inlineStr">
        <is>
          <t>SIVA N</t>
        </is>
      </c>
      <c r="D508" s="127" t="inlineStr">
        <is>
          <t>PRODUCTION</t>
        </is>
      </c>
      <c r="E508" s="129" t="inlineStr">
        <is>
          <t>TYRE BUILDING-P2</t>
        </is>
      </c>
      <c r="F508" s="130" t="n">
        <v>42067</v>
      </c>
      <c r="G508" s="131">
        <f>NOW()-F508</f>
        <v/>
      </c>
      <c r="H508" s="104" t="inlineStr">
        <is>
          <t>O</t>
        </is>
      </c>
      <c r="I508" s="104" t="inlineStr">
        <is>
          <t>O</t>
        </is>
      </c>
      <c r="J508" s="104" t="n">
        <v>9</v>
      </c>
      <c r="K508" s="104" t="n">
        <v>10</v>
      </c>
      <c r="L508" s="104" t="n">
        <v>7</v>
      </c>
      <c r="M508" s="104" t="n">
        <v>8</v>
      </c>
      <c r="N508" s="104" t="n"/>
      <c r="O508" s="104">
        <f>SUM(J508:N508)</f>
        <v/>
      </c>
      <c r="P508" s="12">
        <f>O508/IF(H508="L",20,IF(H508="U",30,IF(H508="O",40,IF(H508="I",20,""))))</f>
        <v/>
      </c>
      <c r="Q508" s="132">
        <f>IF(AND(H508="L", P508&gt;=50%), "Pass",
IF(AND(H508="U", P508&gt;=60%), "Pass",
IF(AND(H508="O", P508&gt;=75%), "Pass", "Fail")))</f>
        <v/>
      </c>
      <c r="R508" s="104" t="n"/>
      <c r="S508" s="104" t="n">
        <v>14</v>
      </c>
      <c r="T508" s="104" t="n">
        <v>10</v>
      </c>
      <c r="U508" s="104">
        <f>SUM(S508:T508)</f>
        <v/>
      </c>
      <c r="V508" s="12">
        <f>U508/IF(H508="L",35,IF(H508="U",35,IF(H508="O",35,IF(H508="I",35,""))))</f>
        <v/>
      </c>
      <c r="W508" s="132">
        <f>IF(AND(H508="L", V508&gt;=50%), "Pass",
IF(AND(H508="U", V508&gt;=60%), "Pass",
IF(AND(H508="O", V508&gt;=75%), "Pass", "Fail")))</f>
        <v/>
      </c>
      <c r="X508" s="132">
        <f>IF(AND(Q508="Pass", W508="Pass"), "Pass", "Fail")</f>
        <v/>
      </c>
      <c r="Y508" s="15">
        <f>IF($X508="Pass",$H508,
IF(H508="L","I",
IF(H508="U","L",
IF(H508="O","U",
"I"))))</f>
        <v/>
      </c>
    </row>
    <row r="509">
      <c r="A509" s="147">
        <f>ROW()-2</f>
        <v/>
      </c>
      <c r="B509" s="133" t="inlineStr">
        <is>
          <t>MG0633</t>
        </is>
      </c>
      <c r="C509" s="148" t="inlineStr">
        <is>
          <t>BALA MURUGAN S</t>
        </is>
      </c>
      <c r="D509" s="127" t="inlineStr">
        <is>
          <t>PRODUCTION</t>
        </is>
      </c>
      <c r="E509" s="135" t="inlineStr">
        <is>
          <t>MIXING</t>
        </is>
      </c>
      <c r="F509" s="136" t="n">
        <v>42068</v>
      </c>
      <c r="G509" s="131">
        <f>NOW()-F509</f>
        <v/>
      </c>
      <c r="H509" s="104" t="inlineStr">
        <is>
          <t>O</t>
        </is>
      </c>
      <c r="I509" s="104" t="inlineStr">
        <is>
          <t>U</t>
        </is>
      </c>
      <c r="J509" s="104" t="inlineStr">
        <is>
          <t>NIL</t>
        </is>
      </c>
      <c r="K509" s="104" t="n"/>
      <c r="L509" s="104" t="n"/>
      <c r="M509" s="104" t="n"/>
      <c r="N509" s="104" t="n"/>
      <c r="O509" s="104" t="n"/>
      <c r="P509" s="12">
        <f>O509/IF(H509="L",20,IF(H509="U",30,IF(H509="O",40,IF(H509="I",20,""))))</f>
        <v/>
      </c>
      <c r="Q509" s="132">
        <f>IF(AND(H509="L", P509&gt;=50%), "Pass",
IF(AND(H509="U", P509&gt;=60%), "Pass",
IF(AND(H509="O", P509&gt;=75%), "Pass", "Fail")))</f>
        <v/>
      </c>
      <c r="R509" s="104" t="n"/>
      <c r="S509" s="104" t="n">
        <v>13</v>
      </c>
      <c r="T509" s="104" t="n">
        <v>12</v>
      </c>
      <c r="U509" s="104">
        <f>SUM(S509:T509)</f>
        <v/>
      </c>
      <c r="V509" s="12">
        <f>U509/IF(H509="L",35,IF(H509="U",35,IF(H509="O",35,IF(H509="I",35,""))))</f>
        <v/>
      </c>
      <c r="W509" s="132">
        <f>IF(AND(H509="L", V509&gt;=50%), "Pass",
IF(AND(H509="U", V509&gt;=60%), "Pass",
IF(AND(H509="O", V509&gt;=75%), "Pass", "Fail")))</f>
        <v/>
      </c>
      <c r="X509" s="132">
        <f>IF(AND(Q509="Pass", W509="Pass"), "Pass", "Fail")</f>
        <v/>
      </c>
      <c r="Y509" s="15">
        <f>IF($X509="Pass",$H509,
IF(H509="L","I",
IF(H509="U","L",
IF(H509="O","U",
"I"))))</f>
        <v/>
      </c>
    </row>
    <row r="510">
      <c r="A510" s="147">
        <f>ROW()-2</f>
        <v/>
      </c>
      <c r="B510" s="133" t="inlineStr">
        <is>
          <t>SR0300</t>
        </is>
      </c>
      <c r="C510" s="148" t="inlineStr">
        <is>
          <t>RAVI G</t>
        </is>
      </c>
      <c r="D510" s="127" t="inlineStr">
        <is>
          <t>PRODUCTION</t>
        </is>
      </c>
      <c r="E510" s="135" t="inlineStr">
        <is>
          <t>MIXING</t>
        </is>
      </c>
      <c r="F510" s="136" t="n">
        <v>42068</v>
      </c>
      <c r="G510" s="131">
        <f>NOW()-F510</f>
        <v/>
      </c>
      <c r="H510" s="104" t="inlineStr">
        <is>
          <t>O</t>
        </is>
      </c>
      <c r="I510" s="104" t="inlineStr">
        <is>
          <t>U</t>
        </is>
      </c>
      <c r="J510" s="104" t="inlineStr">
        <is>
          <t>NIL</t>
        </is>
      </c>
      <c r="K510" s="104" t="n"/>
      <c r="L510" s="104" t="n"/>
      <c r="M510" s="104" t="n"/>
      <c r="N510" s="104" t="n"/>
      <c r="O510" s="104" t="n"/>
      <c r="P510" s="12">
        <f>O510/IF(H510="L",20,IF(H510="U",30,IF(H510="O",40,IF(H510="I",20,""))))</f>
        <v/>
      </c>
      <c r="Q510" s="132">
        <f>IF(AND(H510="L", P510&gt;=50%), "Pass",
IF(AND(H510="U", P510&gt;=60%), "Pass",
IF(AND(H510="O", P510&gt;=75%), "Pass", "Fail")))</f>
        <v/>
      </c>
      <c r="R510" s="104" t="n"/>
      <c r="S510" s="104" t="n">
        <v>13</v>
      </c>
      <c r="T510" s="104" t="n">
        <v>10</v>
      </c>
      <c r="U510" s="104">
        <f>SUM(S510:T510)</f>
        <v/>
      </c>
      <c r="V510" s="12">
        <f>U510/IF(H510="L",35,IF(H510="U",35,IF(H510="O",35,IF(H510="I",35,""))))</f>
        <v/>
      </c>
      <c r="W510" s="132">
        <f>IF(AND(H510="L", V510&gt;=50%), "Pass",
IF(AND(H510="U", V510&gt;=60%), "Pass",
IF(AND(H510="O", V510&gt;=75%), "Pass", "Fail")))</f>
        <v/>
      </c>
      <c r="X510" s="132">
        <f>IF(AND(Q510="Pass", W510="Pass"), "Pass", "Fail")</f>
        <v/>
      </c>
      <c r="Y510" s="15">
        <f>IF($X510="Pass",$H510,
IF(H510="L","I",
IF(H510="U","L",
IF(H510="O","U",
"I"))))</f>
        <v/>
      </c>
    </row>
    <row r="511">
      <c r="A511" s="147">
        <f>ROW()-2</f>
        <v/>
      </c>
      <c r="B511" s="133" t="inlineStr">
        <is>
          <t>MG0636</t>
        </is>
      </c>
      <c r="C511" s="148" t="inlineStr">
        <is>
          <t>ARUMUGAM S</t>
        </is>
      </c>
      <c r="D511" s="127" t="inlineStr">
        <is>
          <t>PRODUCTION</t>
        </is>
      </c>
      <c r="E511" s="135" t="inlineStr">
        <is>
          <t>MIXING</t>
        </is>
      </c>
      <c r="F511" s="136" t="n">
        <v>42069</v>
      </c>
      <c r="G511" s="131">
        <f>NOW()-F511</f>
        <v/>
      </c>
      <c r="H511" s="104" t="inlineStr">
        <is>
          <t>O</t>
        </is>
      </c>
      <c r="I511" s="104" t="inlineStr">
        <is>
          <t>U</t>
        </is>
      </c>
      <c r="J511" s="104" t="inlineStr">
        <is>
          <t>NIL</t>
        </is>
      </c>
      <c r="K511" s="104" t="n"/>
      <c r="L511" s="104" t="n"/>
      <c r="M511" s="104" t="n"/>
      <c r="N511" s="104" t="n"/>
      <c r="O511" s="104" t="n"/>
      <c r="P511" s="12">
        <f>O511/IF(H511="L",20,IF(H511="U",30,IF(H511="O",40,IF(H511="I",20,""))))</f>
        <v/>
      </c>
      <c r="Q511" s="132">
        <f>IF(AND(H511="L", P511&gt;=50%), "Pass",
IF(AND(H511="U", P511&gt;=60%), "Pass",
IF(AND(H511="O", P511&gt;=75%), "Pass", "Fail")))</f>
        <v/>
      </c>
      <c r="R511" s="104" t="n"/>
      <c r="S511" s="104" t="n">
        <v>14</v>
      </c>
      <c r="T511" s="104" t="n">
        <v>11</v>
      </c>
      <c r="U511" s="104">
        <f>SUM(S511:T511)</f>
        <v/>
      </c>
      <c r="V511" s="12">
        <f>U511/IF(H511="L",35,IF(H511="U",35,IF(H511="O",35,IF(H511="I",35,""))))</f>
        <v/>
      </c>
      <c r="W511" s="132">
        <f>IF(AND(H511="L", V511&gt;=50%), "Pass",
IF(AND(H511="U", V511&gt;=60%), "Pass",
IF(AND(H511="O", V511&gt;=75%), "Pass", "Fail")))</f>
        <v/>
      </c>
      <c r="X511" s="132">
        <f>IF(AND(Q511="Pass", W511="Pass"), "Pass", "Fail")</f>
        <v/>
      </c>
      <c r="Y511" s="15">
        <f>IF($X511="Pass",$H511,
IF(H511="L","I",
IF(H511="U","L",
IF(H511="O","U",
"I"))))</f>
        <v/>
      </c>
    </row>
    <row r="512">
      <c r="A512" s="147">
        <f>ROW()-2</f>
        <v/>
      </c>
      <c r="B512" s="127" t="inlineStr">
        <is>
          <t>PK0250</t>
        </is>
      </c>
      <c r="C512" s="128" t="inlineStr">
        <is>
          <t>GOVINDA RAJAN K</t>
        </is>
      </c>
      <c r="D512" s="127" t="inlineStr">
        <is>
          <t>PRODUCTION</t>
        </is>
      </c>
      <c r="E512" s="129" t="inlineStr">
        <is>
          <t>TYRE CURING</t>
        </is>
      </c>
      <c r="F512" s="130" t="n">
        <v>42069</v>
      </c>
      <c r="G512" s="131">
        <f>NOW()-F512</f>
        <v/>
      </c>
      <c r="H512" s="104" t="inlineStr">
        <is>
          <t>O</t>
        </is>
      </c>
      <c r="I512" s="104" t="inlineStr">
        <is>
          <t>U</t>
        </is>
      </c>
      <c r="J512" s="104" t="n">
        <v>8</v>
      </c>
      <c r="K512" s="104" t="n">
        <v>8</v>
      </c>
      <c r="L512" s="104" t="n">
        <v>7</v>
      </c>
      <c r="M512" s="104" t="n">
        <v>5</v>
      </c>
      <c r="N512" s="104" t="n"/>
      <c r="O512" s="104">
        <f>SUM(J512:N512)</f>
        <v/>
      </c>
      <c r="P512" s="12">
        <f>O512/IF(H512="L",20,IF(H512="U",30,IF(H512="O",40,IF(H512="I",20,""))))</f>
        <v/>
      </c>
      <c r="Q512" s="132">
        <f>IF(AND(H512="L", P512&gt;=50%), "Pass",
IF(AND(H512="U", P512&gt;=60%), "Pass",
IF(AND(H512="O", P512&gt;=75%), "Pass", "Fail")))</f>
        <v/>
      </c>
      <c r="R512" s="104" t="n"/>
      <c r="S512" s="104" t="n">
        <v>14</v>
      </c>
      <c r="T512" s="104" t="n">
        <v>9</v>
      </c>
      <c r="U512" s="104">
        <f>SUM(S512:T512)</f>
        <v/>
      </c>
      <c r="V512" s="12">
        <f>U512/IF(H512="L",35,IF(H512="U",35,IF(H512="O",35,IF(H512="I",35,""))))</f>
        <v/>
      </c>
      <c r="W512" s="132">
        <f>IF(AND(H512="L", V512&gt;=50%), "Pass",
IF(AND(H512="U", V512&gt;=60%), "Pass",
IF(AND(H512="O", V512&gt;=75%), "Pass", "Fail")))</f>
        <v/>
      </c>
      <c r="X512" s="132">
        <f>IF(AND(Q512="Pass", W512="Pass"), "Pass", "Fail")</f>
        <v/>
      </c>
      <c r="Y512" s="15">
        <f>IF($X512="Pass",$H512,
IF(H512="L","I",
IF(H512="U","L",
IF(H512="O","U",
"I"))))</f>
        <v/>
      </c>
    </row>
    <row r="513">
      <c r="A513" s="147">
        <f>ROW()-2</f>
        <v/>
      </c>
      <c r="B513" s="127" t="inlineStr">
        <is>
          <t>PK0814</t>
        </is>
      </c>
      <c r="C513" s="128" t="inlineStr">
        <is>
          <t>BALA MURUGAN S</t>
        </is>
      </c>
      <c r="D513" s="127" t="inlineStr">
        <is>
          <t>PRODUCTION</t>
        </is>
      </c>
      <c r="E513" s="129" t="inlineStr">
        <is>
          <t>3 ROLL-P2</t>
        </is>
      </c>
      <c r="F513" s="130" t="n">
        <v>42074</v>
      </c>
      <c r="G513" s="131">
        <f>NOW()-F513</f>
        <v/>
      </c>
      <c r="H513" s="104" t="inlineStr">
        <is>
          <t>O</t>
        </is>
      </c>
      <c r="I513" s="104" t="inlineStr">
        <is>
          <t>U</t>
        </is>
      </c>
      <c r="J513" s="104" t="n">
        <v>7</v>
      </c>
      <c r="K513" s="104" t="n">
        <v>7</v>
      </c>
      <c r="L513" s="104" t="n">
        <v>4</v>
      </c>
      <c r="M513" s="104" t="n">
        <v>9</v>
      </c>
      <c r="N513" s="104" t="n"/>
      <c r="O513" s="104">
        <f>SUM(J513:N513)</f>
        <v/>
      </c>
      <c r="P513" s="12">
        <f>O513/IF(H513="L",20,IF(H513="U",30,IF(H513="O",40,IF(H513="I",20,""))))</f>
        <v/>
      </c>
      <c r="Q513" s="132">
        <f>IF(AND(H513="L", P513&gt;=50%), "Pass",
IF(AND(H513="U", P513&gt;=60%), "Pass",
IF(AND(H513="O", P513&gt;=75%), "Pass", "Fail")))</f>
        <v/>
      </c>
      <c r="R513" s="104" t="n"/>
      <c r="S513" s="104" t="n">
        <v>15</v>
      </c>
      <c r="T513" s="104" t="n">
        <v>7</v>
      </c>
      <c r="U513" s="104">
        <f>SUM(S513:T513)</f>
        <v/>
      </c>
      <c r="V513" s="12">
        <f>U513/IF(H513="L",35,IF(H513="U",35,IF(H513="O",35,IF(H513="I",35,""))))</f>
        <v/>
      </c>
      <c r="W513" s="132">
        <f>IF(AND(H513="L", V513&gt;=50%), "Pass",
IF(AND(H513="U", V513&gt;=60%), "Pass",
IF(AND(H513="O", V513&gt;=75%), "Pass", "Fail")))</f>
        <v/>
      </c>
      <c r="X513" s="132">
        <f>IF(AND(Q513="Pass", W513="Pass"), "Pass", "Fail")</f>
        <v/>
      </c>
      <c r="Y513" s="15">
        <f>IF($X513="Pass",$H513,
IF(H513="L","I",
IF(H513="U","L",
IF(H513="O","U",
"I"))))</f>
        <v/>
      </c>
    </row>
    <row r="514">
      <c r="A514" s="147">
        <f>ROW()-2</f>
        <v/>
      </c>
      <c r="B514" s="127" t="inlineStr">
        <is>
          <t>SK1731</t>
        </is>
      </c>
      <c r="C514" s="128" t="inlineStr">
        <is>
          <t>SHANMUGA SUNDAR M</t>
        </is>
      </c>
      <c r="D514" s="127" t="inlineStr">
        <is>
          <t>PRODUCTION</t>
        </is>
      </c>
      <c r="E514" s="129" t="inlineStr">
        <is>
          <t>TYRE BUILDING-P2</t>
        </is>
      </c>
      <c r="F514" s="130" t="n">
        <v>42074</v>
      </c>
      <c r="G514" s="131">
        <f>NOW()-F514</f>
        <v/>
      </c>
      <c r="H514" s="104" t="inlineStr">
        <is>
          <t>O</t>
        </is>
      </c>
      <c r="I514" s="104" t="inlineStr">
        <is>
          <t>O</t>
        </is>
      </c>
      <c r="J514" s="104" t="n">
        <v>9</v>
      </c>
      <c r="K514" s="104" t="n">
        <v>9</v>
      </c>
      <c r="L514" s="104" t="n">
        <v>8</v>
      </c>
      <c r="M514" s="104" t="n">
        <v>9</v>
      </c>
      <c r="N514" s="104" t="n"/>
      <c r="O514" s="104">
        <f>SUM(J514:N514)</f>
        <v/>
      </c>
      <c r="P514" s="12">
        <f>O514/IF(H514="L",20,IF(H514="U",30,IF(H514="O",40,IF(H514="I",20,""))))</f>
        <v/>
      </c>
      <c r="Q514" s="132">
        <f>IF(AND(H514="L", P514&gt;=50%), "Pass",
IF(AND(H514="U", P514&gt;=60%), "Pass",
IF(AND(H514="O", P514&gt;=75%), "Pass", "Fail")))</f>
        <v/>
      </c>
      <c r="R514" s="104" t="n"/>
      <c r="S514" s="104" t="n">
        <v>12</v>
      </c>
      <c r="T514" s="104" t="n">
        <v>10</v>
      </c>
      <c r="U514" s="104">
        <f>SUM(S514:T514)</f>
        <v/>
      </c>
      <c r="V514" s="12">
        <f>U514/IF(H514="L",35,IF(H514="U",35,IF(H514="O",35,IF(H514="I",35,""))))</f>
        <v/>
      </c>
      <c r="W514" s="132">
        <f>IF(AND(H514="L", V514&gt;=50%), "Pass",
IF(AND(H514="U", V514&gt;=60%), "Pass",
IF(AND(H514="O", V514&gt;=75%), "Pass", "Fail")))</f>
        <v/>
      </c>
      <c r="X514" s="132">
        <f>IF(AND(Q514="Pass", W514="Pass"), "Pass", "Fail")</f>
        <v/>
      </c>
      <c r="Y514" s="15">
        <f>IF($X514="Pass",$H514,
IF(H514="L","I",
IF(H514="U","L",
IF(H514="O","U",
"I"))))</f>
        <v/>
      </c>
    </row>
    <row r="515">
      <c r="A515" s="147">
        <f>ROW()-2</f>
        <v/>
      </c>
      <c r="B515" s="127" t="inlineStr">
        <is>
          <t>PK0684</t>
        </is>
      </c>
      <c r="C515" s="128" t="inlineStr">
        <is>
          <t>ARUMUGA NAINAR A</t>
        </is>
      </c>
      <c r="D515" s="127" t="inlineStr">
        <is>
          <t>PRODUCTION</t>
        </is>
      </c>
      <c r="E515" s="129" t="inlineStr">
        <is>
          <t>TYRE CURING</t>
        </is>
      </c>
      <c r="F515" s="130" t="n">
        <v>42075</v>
      </c>
      <c r="G515" s="131">
        <f>NOW()-F515</f>
        <v/>
      </c>
      <c r="H515" s="104" t="inlineStr">
        <is>
          <t>O</t>
        </is>
      </c>
      <c r="I515" s="104" t="inlineStr">
        <is>
          <t>O</t>
        </is>
      </c>
      <c r="J515" s="104" t="n">
        <v>7</v>
      </c>
      <c r="K515" s="104" t="n">
        <v>5</v>
      </c>
      <c r="L515" s="104" t="n">
        <v>6</v>
      </c>
      <c r="M515" s="104" t="n">
        <v>7</v>
      </c>
      <c r="N515" s="104" t="n"/>
      <c r="O515" s="104">
        <f>SUM(J515:N515)</f>
        <v/>
      </c>
      <c r="P515" s="12">
        <f>O515/IF(H515="L",20,IF(H515="U",30,IF(H515="O",40,IF(H515="I",20,""))))</f>
        <v/>
      </c>
      <c r="Q515" s="132">
        <f>IF(AND(H515="L", P515&gt;=50%), "Pass",
 IF(AND(H515="U", P515&gt;=60%), "Pass",
 IF(AND(H515="O", P515&gt;=75%), "Pass", "Fail")))</f>
        <v/>
      </c>
      <c r="R515" s="104" t="n"/>
      <c r="S515" s="104" t="n">
        <v>15</v>
      </c>
      <c r="T515" s="104" t="n">
        <v>12</v>
      </c>
      <c r="U515" s="104">
        <f>SUM(S515:T515)</f>
        <v/>
      </c>
      <c r="V515" s="12">
        <f>U515/IF(H515="L",35,IF(H515="U",35,IF(H515="O",35,IF(H515="I",35,""))))</f>
        <v/>
      </c>
      <c r="W515" s="132">
        <f>IF(AND(H515="L", V515&gt;=50%), "Pass",
 IF(AND(H515="U", V515&gt;=60%), "Pass",
 IF(AND(H515="O", V515&gt;=75%), "Pass", "Fail")))</f>
        <v/>
      </c>
      <c r="X515" s="132">
        <f>IF(AND(Q515="Pass", W515="Pass"), "Pass", "Fail")</f>
        <v/>
      </c>
      <c r="Y515" s="15">
        <f>IF($X515="Pass",$H515,
IF(H515="L","I",
IF(H515="U","L",
IF(H515="O","U",
"I"))))</f>
        <v/>
      </c>
    </row>
    <row r="516">
      <c r="A516" s="147">
        <f>ROW()-2</f>
        <v/>
      </c>
      <c r="B516" s="127" t="inlineStr">
        <is>
          <t>SK2381</t>
        </is>
      </c>
      <c r="C516" s="128" t="inlineStr">
        <is>
          <t>CHERMAN DURAI K</t>
        </is>
      </c>
      <c r="D516" s="127" t="inlineStr">
        <is>
          <t>PRODUCTION</t>
        </is>
      </c>
      <c r="E516" s="129" t="inlineStr">
        <is>
          <t>TYRE CURING</t>
        </is>
      </c>
      <c r="F516" s="130" t="n">
        <v>42083</v>
      </c>
      <c r="G516" s="131">
        <f>NOW()-F516</f>
        <v/>
      </c>
      <c r="H516" s="104" t="inlineStr">
        <is>
          <t>O</t>
        </is>
      </c>
      <c r="I516" s="104" t="inlineStr">
        <is>
          <t>U</t>
        </is>
      </c>
      <c r="J516" s="104" t="n">
        <v>7</v>
      </c>
      <c r="K516" s="104" t="n">
        <v>5</v>
      </c>
      <c r="L516" s="104" t="n">
        <v>4</v>
      </c>
      <c r="M516" s="104" t="n">
        <v>4</v>
      </c>
      <c r="N516" s="104" t="n"/>
      <c r="O516" s="104">
        <f>SUM(J516:N516)</f>
        <v/>
      </c>
      <c r="P516" s="12">
        <f>O516/IF(H516="L",20,IF(H516="U",30,IF(H516="O",40,IF(H516="I",20,""))))</f>
        <v/>
      </c>
      <c r="Q516" s="132">
        <f>IF(AND(H516="L", P516&gt;=50%), "Pass",
IF(AND(H516="U", P516&gt;=60%), "Pass",
IF(AND(H516="O", P516&gt;=75%), "Pass", "Fail")))</f>
        <v/>
      </c>
      <c r="R516" s="104" t="n"/>
      <c r="S516" s="104" t="n">
        <v>13</v>
      </c>
      <c r="T516" s="104" t="n">
        <v>7</v>
      </c>
      <c r="U516" s="104">
        <f>SUM(S516:T516)</f>
        <v/>
      </c>
      <c r="V516" s="12">
        <f>U516/IF(H516="L",35,IF(H516="U",35,IF(H516="O",35,IF(H516="I",35,""))))</f>
        <v/>
      </c>
      <c r="W516" s="132">
        <f>IF(AND(H516="L", V516&gt;=50%), "Pass",
IF(AND(H516="U", V516&gt;=60%), "Pass",
IF(AND(H516="O", V516&gt;=75%), "Pass", "Fail")))</f>
        <v/>
      </c>
      <c r="X516" s="132">
        <f>IF(AND(Q516="Pass", W516="Pass"), "Pass", "Fail")</f>
        <v/>
      </c>
      <c r="Y516" s="15">
        <f>IF($X516="Pass",$H516,
IF(H516="L","I",
IF(H516="U","L",
IF(H516="O","U",
"I"))))</f>
        <v/>
      </c>
    </row>
    <row r="517">
      <c r="A517" s="147">
        <f>ROW()-2</f>
        <v/>
      </c>
      <c r="B517" s="133" t="inlineStr">
        <is>
          <t>AK0644</t>
        </is>
      </c>
      <c r="C517" s="148" t="inlineStr">
        <is>
          <t>PONNU DURAI P</t>
        </is>
      </c>
      <c r="D517" s="127" t="inlineStr">
        <is>
          <t>PRODUCTION</t>
        </is>
      </c>
      <c r="E517" s="135" t="inlineStr">
        <is>
          <t>MIXING</t>
        </is>
      </c>
      <c r="F517" s="136" t="n">
        <v>42084</v>
      </c>
      <c r="G517" s="131">
        <f>NOW()-F517</f>
        <v/>
      </c>
      <c r="H517" s="104" t="inlineStr">
        <is>
          <t>O</t>
        </is>
      </c>
      <c r="I517" s="104" t="inlineStr">
        <is>
          <t>O</t>
        </is>
      </c>
      <c r="J517" s="104" t="inlineStr">
        <is>
          <t>NIL</t>
        </is>
      </c>
      <c r="K517" s="104" t="n"/>
      <c r="L517" s="104" t="n"/>
      <c r="M517" s="104" t="n"/>
      <c r="N517" s="104" t="n"/>
      <c r="O517" s="104" t="n"/>
      <c r="P517" s="12">
        <f>O517/IF(H517="L",20,IF(H517="U",30,IF(H517="O",40,IF(H517="I",20,""))))</f>
        <v/>
      </c>
      <c r="Q517" s="132">
        <f>IF(AND(H517="L", P517&gt;=50%), "Pass",
IF(AND(H517="U", P517&gt;=60%), "Pass",
IF(AND(H517="O", P517&gt;=75%), "Pass", "Fail")))</f>
        <v/>
      </c>
      <c r="R517" s="104" t="n"/>
      <c r="S517" s="104" t="n">
        <v>13</v>
      </c>
      <c r="T517" s="104" t="n">
        <v>12</v>
      </c>
      <c r="U517" s="104">
        <f>SUM(S517:T517)</f>
        <v/>
      </c>
      <c r="V517" s="12">
        <f>U517/IF(H517="L",35,IF(H517="U",35,IF(H517="O",35,IF(H517="I",35,""))))</f>
        <v/>
      </c>
      <c r="W517" s="132">
        <f>IF(AND(H517="L", V517&gt;=50%), "Pass",
IF(AND(H517="U", V517&gt;=60%), "Pass",
IF(AND(H517="O", V517&gt;=75%), "Pass", "Fail")))</f>
        <v/>
      </c>
      <c r="X517" s="132">
        <f>IF(AND(Q517="Pass", W517="Pass"), "Pass", "Fail")</f>
        <v/>
      </c>
      <c r="Y517" s="15">
        <f>IF($X517="Pass",$H517,
IF(H517="L","I",
IF(H517="U","L",
IF(H517="O","U",
"I"))))</f>
        <v/>
      </c>
    </row>
    <row r="518">
      <c r="A518" s="147">
        <f>ROW()-2</f>
        <v/>
      </c>
      <c r="B518" s="127" t="inlineStr">
        <is>
          <t>SK1752</t>
        </is>
      </c>
      <c r="C518" s="128" t="inlineStr">
        <is>
          <t>ARUMUGAVEL M</t>
        </is>
      </c>
      <c r="D518" s="127" t="inlineStr">
        <is>
          <t>PRODUCTION</t>
        </is>
      </c>
      <c r="E518" s="129" t="inlineStr">
        <is>
          <t>BAND BUILDING-P1</t>
        </is>
      </c>
      <c r="F518" s="130" t="n">
        <v>42102</v>
      </c>
      <c r="G518" s="131">
        <f>NOW()-F518</f>
        <v/>
      </c>
      <c r="H518" s="104" t="inlineStr">
        <is>
          <t>O</t>
        </is>
      </c>
      <c r="I518" s="104" t="inlineStr">
        <is>
          <t>O</t>
        </is>
      </c>
      <c r="J518" s="104" t="n">
        <v>10</v>
      </c>
      <c r="K518" s="104" t="n">
        <v>8</v>
      </c>
      <c r="L518" s="104" t="n">
        <v>6</v>
      </c>
      <c r="M518" s="104" t="n">
        <v>7</v>
      </c>
      <c r="N518" s="104" t="n"/>
      <c r="O518" s="104">
        <f>SUM(J518:N518)</f>
        <v/>
      </c>
      <c r="P518" s="12">
        <f>O518/IF(H518="L",20,IF(H518="U",30,IF(H518="O",40,IF(H518="I",20,""))))</f>
        <v/>
      </c>
      <c r="Q518" s="132">
        <f>IF(AND(H518="L", P518&gt;=50%), "Pass",
IF(AND(H518="U", P518&gt;=60%), "Pass",
IF(AND(H518="O", P518&gt;=75%), "Pass", "Fail")))</f>
        <v/>
      </c>
      <c r="R518" s="104" t="n"/>
      <c r="S518" s="104" t="n">
        <v>19</v>
      </c>
      <c r="T518" s="104" t="n">
        <v>15</v>
      </c>
      <c r="U518" s="104">
        <f>SUM(S518:T518)</f>
        <v/>
      </c>
      <c r="V518" s="12">
        <f>U518/IF(H518="L",35,IF(H518="U",35,IF(H518="O",35,IF(H518="I",35,""))))</f>
        <v/>
      </c>
      <c r="W518" s="132">
        <f>IF(AND(H518="L", V518&gt;=50%), "Pass",
IF(AND(H518="U", V518&gt;=60%), "Pass",
IF(AND(H518="O", V518&gt;=75%), "Pass", "Fail")))</f>
        <v/>
      </c>
      <c r="X518" s="132">
        <f>IF(AND(Q518="Pass", W518="Pass"), "Pass", "Fail")</f>
        <v/>
      </c>
      <c r="Y518" s="15">
        <f>IF($X518="Pass",$H518,
IF(H518="L","I",
IF(H518="U","L",
IF(H518="O","U",
"I"))))</f>
        <v/>
      </c>
      <c r="Z518" s="82" t="n"/>
    </row>
    <row r="519">
      <c r="A519" s="147">
        <f>ROW()-2</f>
        <v/>
      </c>
      <c r="B519" s="127" t="inlineStr">
        <is>
          <t>SR0321</t>
        </is>
      </c>
      <c r="C519" s="128" t="inlineStr">
        <is>
          <t>KIDIYOUNBRAPU A</t>
        </is>
      </c>
      <c r="D519" s="127" t="inlineStr">
        <is>
          <t>PRODUCTION</t>
        </is>
      </c>
      <c r="E519" s="129" t="inlineStr">
        <is>
          <t>TYRE BUILDING-P2</t>
        </is>
      </c>
      <c r="F519" s="130" t="n">
        <v>42103</v>
      </c>
      <c r="G519" s="131">
        <f>NOW()-F519</f>
        <v/>
      </c>
      <c r="H519" s="104" t="inlineStr">
        <is>
          <t>O</t>
        </is>
      </c>
      <c r="I519" s="104" t="inlineStr">
        <is>
          <t>U</t>
        </is>
      </c>
      <c r="J519" s="104" t="n">
        <v>7</v>
      </c>
      <c r="K519" s="104" t="n">
        <v>9</v>
      </c>
      <c r="L519" s="104" t="n">
        <v>5</v>
      </c>
      <c r="M519" s="104" t="n">
        <v>4</v>
      </c>
      <c r="N519" s="104" t="n"/>
      <c r="O519" s="104">
        <f>SUM(J519:N519)</f>
        <v/>
      </c>
      <c r="P519" s="12">
        <f>O519/IF(H519="L",20,IF(H519="U",30,IF(H519="O",40,IF(H519="I",20,""))))</f>
        <v/>
      </c>
      <c r="Q519" s="132">
        <f>IF(AND(H519="L", P519&gt;=50%), "Pass",
IF(AND(H519="U", P519&gt;=60%), "Pass",
IF(AND(H519="O", P519&gt;=75%), "Pass", "Fail")))</f>
        <v/>
      </c>
      <c r="R519" s="104" t="n"/>
      <c r="S519" s="104" t="n">
        <v>14</v>
      </c>
      <c r="T519" s="104" t="n">
        <v>11</v>
      </c>
      <c r="U519" s="104">
        <f>SUM(S519:T519)</f>
        <v/>
      </c>
      <c r="V519" s="12">
        <f>U519/IF(H519="L",35,IF(H519="U",35,IF(H519="O",35,IF(H519="I",35,""))))</f>
        <v/>
      </c>
      <c r="W519" s="132">
        <f>IF(AND(H519="L", V519&gt;=50%), "Pass",
IF(AND(H519="U", V519&gt;=60%), "Pass",
IF(AND(H519="O", V519&gt;=75%), "Pass", "Fail")))</f>
        <v/>
      </c>
      <c r="X519" s="132">
        <f>IF(AND(Q519="Pass", W519="Pass"), "Pass", "Fail")</f>
        <v/>
      </c>
      <c r="Y519" s="15">
        <f>IF($X519="Pass",$H519,
IF(H519="L","I",
IF(H519="U","L",
IF(H519="O","U",
"I"))))</f>
        <v/>
      </c>
    </row>
    <row r="520">
      <c r="A520" s="147">
        <f>ROW()-2</f>
        <v/>
      </c>
      <c r="B520" s="127" t="inlineStr">
        <is>
          <t>SK1762</t>
        </is>
      </c>
      <c r="C520" s="128" t="inlineStr">
        <is>
          <t>MUTHU KRISHNAN R</t>
        </is>
      </c>
      <c r="D520" s="127" t="inlineStr">
        <is>
          <t>PRODUCTION</t>
        </is>
      </c>
      <c r="E520" s="129" t="inlineStr">
        <is>
          <t>TYRE CURING</t>
        </is>
      </c>
      <c r="F520" s="130" t="n">
        <v>42108</v>
      </c>
      <c r="G520" s="131">
        <f>NOW()-F520</f>
        <v/>
      </c>
      <c r="H520" s="104" t="inlineStr">
        <is>
          <t>O</t>
        </is>
      </c>
      <c r="I520" s="104" t="inlineStr">
        <is>
          <t>O</t>
        </is>
      </c>
      <c r="J520" s="104" t="n">
        <v>9</v>
      </c>
      <c r="K520" s="104" t="n">
        <v>9</v>
      </c>
      <c r="L520" s="104" t="n">
        <v>9</v>
      </c>
      <c r="M520" s="104" t="n">
        <v>7</v>
      </c>
      <c r="N520" s="104" t="n"/>
      <c r="O520" s="104">
        <f>SUM(J520:N520)</f>
        <v/>
      </c>
      <c r="P520" s="12">
        <f>O520/IF(H520="L",20,IF(H520="U",30,IF(H520="O",40,IF(H520="I",20,""))))</f>
        <v/>
      </c>
      <c r="Q520" s="132">
        <f>IF(AND(H520="L", P520&gt;=50%), "Pass",
IF(AND(H520="U", P520&gt;=60%), "Pass",
IF(AND(H520="O", P520&gt;=75%), "Pass", "Fail")))</f>
        <v/>
      </c>
      <c r="R520" s="104" t="n"/>
      <c r="S520" s="104" t="n">
        <v>13</v>
      </c>
      <c r="T520" s="104" t="n">
        <v>9</v>
      </c>
      <c r="U520" s="104">
        <f>SUM(S520:T520)</f>
        <v/>
      </c>
      <c r="V520" s="12">
        <f>U520/IF(H520="L",35,IF(H520="U",35,IF(H520="O",35,IF(H520="I",35,""))))</f>
        <v/>
      </c>
      <c r="W520" s="132">
        <f>IF(AND(H520="L", V520&gt;=50%), "Pass",
IF(AND(H520="U", V520&gt;=60%), "Pass",
IF(AND(H520="O", V520&gt;=75%), "Pass", "Fail")))</f>
        <v/>
      </c>
      <c r="X520" s="132">
        <f>IF(AND(Q520="Pass", W520="Pass"), "Pass", "Fail")</f>
        <v/>
      </c>
      <c r="Y520" s="15">
        <f>IF($X520="Pass",$H520,
IF(H520="L","I",
IF(H520="U","L",
IF(H520="O","U",
"I"))))</f>
        <v/>
      </c>
    </row>
    <row r="521">
      <c r="A521" s="147">
        <f>ROW()-2</f>
        <v/>
      </c>
      <c r="B521" s="127" t="inlineStr">
        <is>
          <t>SK2383</t>
        </is>
      </c>
      <c r="C521" s="128" t="inlineStr">
        <is>
          <t>ARUMUGAM A</t>
        </is>
      </c>
      <c r="D521" s="127" t="inlineStr">
        <is>
          <t>PRODUCTION</t>
        </is>
      </c>
      <c r="E521" s="129" t="inlineStr">
        <is>
          <t>TYRE CURING</t>
        </is>
      </c>
      <c r="F521" s="130" t="n">
        <v>42108</v>
      </c>
      <c r="G521" s="131">
        <f>NOW()-F521</f>
        <v/>
      </c>
      <c r="H521" s="104" t="inlineStr">
        <is>
          <t>O</t>
        </is>
      </c>
      <c r="I521" s="104" t="inlineStr">
        <is>
          <t>O</t>
        </is>
      </c>
      <c r="J521" s="104" t="n">
        <v>9</v>
      </c>
      <c r="K521" s="104" t="n">
        <v>9</v>
      </c>
      <c r="L521" s="104" t="n">
        <v>8</v>
      </c>
      <c r="M521" s="104" t="n">
        <v>8</v>
      </c>
      <c r="N521" s="104" t="n"/>
      <c r="O521" s="104">
        <f>SUM(J521:N521)</f>
        <v/>
      </c>
      <c r="P521" s="12">
        <f>O521/IF(H521="L",20,IF(H521="U",30,IF(H521="O",40,IF(H521="I",20,""))))</f>
        <v/>
      </c>
      <c r="Q521" s="132">
        <f>IF(AND(H521="L", P521&gt;=50%), "Pass",
IF(AND(H521="U", P521&gt;=60%), "Pass",
IF(AND(H521="O", P521&gt;=75%), "Pass", "Fail")))</f>
        <v/>
      </c>
      <c r="R521" s="104" t="n"/>
      <c r="S521" s="104" t="n">
        <v>13</v>
      </c>
      <c r="T521" s="104" t="n">
        <v>10</v>
      </c>
      <c r="U521" s="104">
        <f>SUM(S521:T521)</f>
        <v/>
      </c>
      <c r="V521" s="12">
        <f>U521/IF(H521="L",35,IF(H521="U",35,IF(H521="O",35,IF(H521="I",35,""))))</f>
        <v/>
      </c>
      <c r="W521" s="132">
        <f>IF(AND(H521="L", V521&gt;=50%), "Pass",
IF(AND(H521="U", V521&gt;=60%), "Pass",
IF(AND(H521="O", V521&gt;=75%), "Pass", "Fail")))</f>
        <v/>
      </c>
      <c r="X521" s="132">
        <f>IF(AND(Q521="Pass", W521="Pass"), "Pass", "Fail")</f>
        <v/>
      </c>
      <c r="Y521" s="15">
        <f>IF($X521="Pass",$H521,
IF(H521="L","I",
IF(H521="U","L",
IF(H521="O","U",
"I"))))</f>
        <v/>
      </c>
    </row>
    <row r="522">
      <c r="A522" s="147">
        <f>ROW()-2</f>
        <v/>
      </c>
      <c r="B522" s="127" t="inlineStr">
        <is>
          <t>MG0660</t>
        </is>
      </c>
      <c r="C522" s="128" t="inlineStr">
        <is>
          <t>BALAMURUGAN G</t>
        </is>
      </c>
      <c r="D522" s="127" t="inlineStr">
        <is>
          <t>PRODUCTION</t>
        </is>
      </c>
      <c r="E522" s="129" t="inlineStr">
        <is>
          <t>TYRE BUILDING-P3</t>
        </is>
      </c>
      <c r="F522" s="130" t="n">
        <v>42113</v>
      </c>
      <c r="G522" s="131">
        <f>NOW()-F522</f>
        <v/>
      </c>
      <c r="H522" s="104" t="inlineStr">
        <is>
          <t>O</t>
        </is>
      </c>
      <c r="I522" s="104" t="inlineStr">
        <is>
          <t>O</t>
        </is>
      </c>
      <c r="J522" s="104" t="n">
        <v>7</v>
      </c>
      <c r="K522" s="104" t="n">
        <v>7</v>
      </c>
      <c r="L522" s="104" t="n">
        <v>5</v>
      </c>
      <c r="M522" s="104" t="n">
        <v>8</v>
      </c>
      <c r="N522" s="104" t="n"/>
      <c r="O522" s="104">
        <f>SUM(J522:N522)</f>
        <v/>
      </c>
      <c r="P522" s="12">
        <f>O522/IF(H522="L",20,IF(H522="U",30,IF(H522="O",40,IF(H522="I",20,""))))</f>
        <v/>
      </c>
      <c r="Q522" s="132">
        <f>IF(AND(H522="L", P522&gt;=50%), "Pass",
IF(AND(H522="U", P522&gt;=60%), "Pass",
IF(AND(H522="O", P522&gt;=75%), "Pass", "Fail")))</f>
        <v/>
      </c>
      <c r="R522" s="104" t="n"/>
      <c r="S522" s="104" t="n">
        <v>18</v>
      </c>
      <c r="T522" s="104" t="n">
        <v>15</v>
      </c>
      <c r="U522" s="104">
        <f>SUM(S522:T522)</f>
        <v/>
      </c>
      <c r="V522" s="12">
        <f>U522/IF(H522="L",35,IF(H522="U",35,IF(H522="O",35,IF(H522="I",35,""))))</f>
        <v/>
      </c>
      <c r="W522" s="132">
        <f>IF(AND(H522="L", V522&gt;=50%), "Pass",
IF(AND(H522="U", V522&gt;=60%), "Pass",
IF(AND(H522="O", V522&gt;=75%), "Pass", "Fail")))</f>
        <v/>
      </c>
      <c r="X522" s="132">
        <f>IF(AND(Q522="Pass", W522="Pass"), "Pass", "Fail")</f>
        <v/>
      </c>
      <c r="Y522" s="15">
        <f>IF($X522="Pass",$H522,
IF(H522="L","I",
IF(H522="U","L",
IF(H522="O","U",
"I"))))</f>
        <v/>
      </c>
      <c r="Z522" s="82">
        <f>V522-75%</f>
        <v/>
      </c>
    </row>
    <row r="523">
      <c r="A523" s="147">
        <f>ROW()-2</f>
        <v/>
      </c>
      <c r="B523" s="133" t="inlineStr">
        <is>
          <t>PK0301</t>
        </is>
      </c>
      <c r="C523" s="148" t="inlineStr">
        <is>
          <t>MADASAMY G</t>
        </is>
      </c>
      <c r="D523" s="127" t="inlineStr">
        <is>
          <t>PRODUCTION</t>
        </is>
      </c>
      <c r="E523" s="135" t="inlineStr">
        <is>
          <t>MIXING</t>
        </is>
      </c>
      <c r="F523" s="136" t="n">
        <v>42129</v>
      </c>
      <c r="G523" s="131">
        <f>NOW()-F523</f>
        <v/>
      </c>
      <c r="H523" s="104" t="inlineStr">
        <is>
          <t>O</t>
        </is>
      </c>
      <c r="I523" s="104" t="inlineStr">
        <is>
          <t>U</t>
        </is>
      </c>
      <c r="J523" s="104" t="inlineStr">
        <is>
          <t>NIL</t>
        </is>
      </c>
      <c r="K523" s="104" t="n"/>
      <c r="L523" s="104" t="n"/>
      <c r="M523" s="104" t="n"/>
      <c r="N523" s="104" t="n"/>
      <c r="O523" s="104" t="n"/>
      <c r="P523" s="12">
        <f>O523/IF(H523="L",20,IF(H523="U",30,IF(H523="O",40,IF(H523="I",20,""))))</f>
        <v/>
      </c>
      <c r="Q523" s="132">
        <f>IF(AND(H523="L", P523&gt;=50%), "Pass",
IF(AND(H523="U", P523&gt;=60%), "Pass",
IF(AND(H523="O", P523&gt;=75%), "Pass", "Fail")))</f>
        <v/>
      </c>
      <c r="R523" s="104" t="n"/>
      <c r="S523" s="104" t="n">
        <v>12</v>
      </c>
      <c r="T523" s="104" t="n">
        <v>11</v>
      </c>
      <c r="U523" s="104">
        <f>SUM(S523:T523)</f>
        <v/>
      </c>
      <c r="V523" s="12">
        <f>U523/IF(H523="L",35,IF(H523="U",35,IF(H523="O",35,IF(H523="I",35,""))))</f>
        <v/>
      </c>
      <c r="W523" s="132">
        <f>IF(AND(H523="L", V523&gt;=50%), "Pass",
IF(AND(H523="U", V523&gt;=60%), "Pass",
IF(AND(H523="O", V523&gt;=75%), "Pass", "Fail")))</f>
        <v/>
      </c>
      <c r="X523" s="132">
        <f>IF(AND(Q523="Pass", W523="Pass"), "Pass", "Fail")</f>
        <v/>
      </c>
      <c r="Y523" s="15">
        <f>IF($X523="Pass",$H523,
IF(H523="L","I",
IF(H523="U","L",
IF(H523="O","U",
"I"))))</f>
        <v/>
      </c>
    </row>
    <row r="524">
      <c r="A524" s="147">
        <f>ROW()-2</f>
        <v/>
      </c>
      <c r="B524" s="127" t="inlineStr">
        <is>
          <t>MG0792</t>
        </is>
      </c>
      <c r="C524" s="128" t="inlineStr">
        <is>
          <t>SATHISHKUMAR S</t>
        </is>
      </c>
      <c r="D524" s="127" t="inlineStr">
        <is>
          <t>PRODUCTION</t>
        </is>
      </c>
      <c r="E524" s="129" t="inlineStr">
        <is>
          <t>TYRE BUILDING-P3</t>
        </is>
      </c>
      <c r="F524" s="130" t="n">
        <v>42131</v>
      </c>
      <c r="G524" s="131">
        <f>NOW()-F524</f>
        <v/>
      </c>
      <c r="H524" s="104" t="inlineStr">
        <is>
          <t>O</t>
        </is>
      </c>
      <c r="I524" s="104" t="inlineStr">
        <is>
          <t>O</t>
        </is>
      </c>
      <c r="J524" s="104" t="n">
        <v>10</v>
      </c>
      <c r="K524" s="104" t="n">
        <v>10</v>
      </c>
      <c r="L524" s="104" t="n">
        <v>8</v>
      </c>
      <c r="M524" s="104" t="n">
        <v>9</v>
      </c>
      <c r="N524" s="104" t="n"/>
      <c r="O524" s="104">
        <f>SUM(J524:N524)</f>
        <v/>
      </c>
      <c r="P524" s="12">
        <f>O524/IF(H524="L",20,IF(H524="U",30,IF(H524="O",40,IF(H524="I",20,""))))</f>
        <v/>
      </c>
      <c r="Q524" s="132">
        <f>IF(AND(H524="L", P524&gt;=50%), "Pass",
IF(AND(H524="U", P524&gt;=60%), "Pass",
IF(AND(H524="O", P524&gt;=75%), "Pass", "Fail")))</f>
        <v/>
      </c>
      <c r="R524" s="104" t="n"/>
      <c r="S524" s="104" t="n">
        <v>19</v>
      </c>
      <c r="T524" s="104" t="n">
        <v>14</v>
      </c>
      <c r="U524" s="104">
        <f>SUM(S524:T524)</f>
        <v/>
      </c>
      <c r="V524" s="12">
        <f>U524/IF(H524="L",35,IF(H524="U",35,IF(H524="O",35,IF(H524="I",35,""))))</f>
        <v/>
      </c>
      <c r="W524" s="132">
        <f>IF(AND(H524="L", V524&gt;=50%), "Pass",
IF(AND(H524="U", V524&gt;=60%), "Pass",
IF(AND(H524="O", V524&gt;=75%), "Pass", "Fail")))</f>
        <v/>
      </c>
      <c r="X524" s="132">
        <f>IF(AND(Q524="Pass", W524="Pass"), "Pass", "Fail")</f>
        <v/>
      </c>
      <c r="Y524" s="15">
        <f>IF($X524="Pass",$H524,
IF(H524="L","I",
IF(H524="U","L",
IF(H524="O","U",
"I"))))</f>
        <v/>
      </c>
    </row>
    <row r="525">
      <c r="A525" s="147">
        <f>ROW()-2</f>
        <v/>
      </c>
      <c r="B525" s="127" t="inlineStr">
        <is>
          <t>AK0341</t>
        </is>
      </c>
      <c r="C525" s="128" t="inlineStr">
        <is>
          <t>SUDALAI MUTHU M</t>
        </is>
      </c>
      <c r="D525" s="127" t="inlineStr">
        <is>
          <t>PRODUCTION</t>
        </is>
      </c>
      <c r="E525" s="129" t="inlineStr">
        <is>
          <t>TYRE BUILDING-P2</t>
        </is>
      </c>
      <c r="F525" s="130" t="n">
        <v>42150</v>
      </c>
      <c r="G525" s="131">
        <f>NOW()-F525</f>
        <v/>
      </c>
      <c r="H525" s="104" t="inlineStr">
        <is>
          <t>O</t>
        </is>
      </c>
      <c r="I525" s="104" t="inlineStr">
        <is>
          <t>O</t>
        </is>
      </c>
      <c r="J525" s="104" t="n">
        <v>9</v>
      </c>
      <c r="K525" s="104" t="n">
        <v>10</v>
      </c>
      <c r="L525" s="104" t="n">
        <v>8</v>
      </c>
      <c r="M525" s="104" t="n">
        <v>10</v>
      </c>
      <c r="N525" s="104" t="n"/>
      <c r="O525" s="104">
        <f>SUM(J525:N525)</f>
        <v/>
      </c>
      <c r="P525" s="12">
        <f>O525/IF(H525="L",20,IF(H525="U",30,IF(H525="O",40,IF(H525="I",20,""))))</f>
        <v/>
      </c>
      <c r="Q525" s="132">
        <f>IF(AND(H525="L", P525&gt;=50%), "Pass",
IF(AND(H525="U", P525&gt;=60%), "Pass",
IF(AND(H525="O", P525&gt;=75%), "Pass", "Fail")))</f>
        <v/>
      </c>
      <c r="R525" s="104" t="n"/>
      <c r="S525" s="104" t="n">
        <v>10</v>
      </c>
      <c r="T525" s="104" t="n">
        <v>10</v>
      </c>
      <c r="U525" s="104">
        <f>SUM(S525:T525)</f>
        <v/>
      </c>
      <c r="V525" s="12">
        <f>U525/IF(H525="L",35,IF(H525="U",35,IF(H525="O",35,IF(H525="I",35,""))))</f>
        <v/>
      </c>
      <c r="W525" s="132">
        <f>IF(AND(H525="L", V525&gt;=50%), "Pass",
IF(AND(H525="U", V525&gt;=60%), "Pass",
IF(AND(H525="O", V525&gt;=75%), "Pass", "Fail")))</f>
        <v/>
      </c>
      <c r="X525" s="132">
        <f>IF(AND(Q525="Pass", W525="Pass"), "Pass", "Fail")</f>
        <v/>
      </c>
      <c r="Y525" s="15">
        <f>IF($X525="Pass",$H525,
IF(H525="L","I",
IF(H525="U","L",
IF(H525="O","U",
"I"))))</f>
        <v/>
      </c>
    </row>
    <row r="526">
      <c r="A526" s="147">
        <f>ROW()-2</f>
        <v/>
      </c>
      <c r="B526" s="127" t="inlineStr">
        <is>
          <t>PK0688</t>
        </is>
      </c>
      <c r="C526" s="128" t="inlineStr">
        <is>
          <t>SHANMUGAMURALI G</t>
        </is>
      </c>
      <c r="D526" s="127" t="inlineStr">
        <is>
          <t>PRODUCTION</t>
        </is>
      </c>
      <c r="E526" s="129" t="inlineStr">
        <is>
          <t>TYRE BUILDING-P2</t>
        </is>
      </c>
      <c r="F526" s="130" t="n">
        <v>42158</v>
      </c>
      <c r="G526" s="131">
        <f>NOW()-F526</f>
        <v/>
      </c>
      <c r="H526" s="104" t="inlineStr">
        <is>
          <t>O</t>
        </is>
      </c>
      <c r="I526" s="104" t="inlineStr">
        <is>
          <t>U</t>
        </is>
      </c>
      <c r="J526" s="104" t="n">
        <v>9</v>
      </c>
      <c r="K526" s="104" t="n">
        <v>9</v>
      </c>
      <c r="L526" s="104" t="n">
        <v>8</v>
      </c>
      <c r="M526" s="104" t="n">
        <v>9</v>
      </c>
      <c r="N526" s="104" t="n"/>
      <c r="O526" s="104">
        <f>SUM(J526:N526)</f>
        <v/>
      </c>
      <c r="P526" s="12">
        <f>O526/IF(H526="L",20,IF(H526="U",30,IF(H526="O",40,IF(H526="I",20,""))))</f>
        <v/>
      </c>
      <c r="Q526" s="132">
        <f>IF(AND(H526="L", P526&gt;=50%), "Pass",
IF(AND(H526="U", P526&gt;=60%), "Pass",
IF(AND(H526="O", P526&gt;=75%), "Pass", "Fail")))</f>
        <v/>
      </c>
      <c r="R526" s="104" t="n"/>
      <c r="S526" s="104" t="n">
        <v>9</v>
      </c>
      <c r="T526" s="104" t="n">
        <v>8</v>
      </c>
      <c r="U526" s="104">
        <f>SUM(S526:T526)</f>
        <v/>
      </c>
      <c r="V526" s="12">
        <f>U526/IF(H526="L",35,IF(H526="U",35,IF(H526="O",35,IF(H526="I",35,""))))</f>
        <v/>
      </c>
      <c r="W526" s="132">
        <f>IF(AND(H526="L", V526&gt;=50%), "Pass",
IF(AND(H526="U", V526&gt;=60%), "Pass",
IF(AND(H526="O", V526&gt;=75%), "Pass", "Fail")))</f>
        <v/>
      </c>
      <c r="X526" s="132">
        <f>IF(AND(Q526="Pass", W526="Pass"), "Pass", "Fail")</f>
        <v/>
      </c>
      <c r="Y526" s="15">
        <f>IF($X526="Pass",$H526,
IF(H526="L","I",
IF(H526="U","L",
IF(H526="O","U",
"I"))))</f>
        <v/>
      </c>
    </row>
    <row r="527">
      <c r="A527" s="147">
        <f>ROW()-2</f>
        <v/>
      </c>
      <c r="B527" s="127" t="inlineStr">
        <is>
          <t>PK0328</t>
        </is>
      </c>
      <c r="C527" s="128" t="inlineStr">
        <is>
          <t>ARUMUGA PERUMAL B</t>
        </is>
      </c>
      <c r="D527" s="127" t="inlineStr">
        <is>
          <t>PRODUCTION</t>
        </is>
      </c>
      <c r="E527" s="129" t="inlineStr">
        <is>
          <t>BIAS CUTTING-1</t>
        </is>
      </c>
      <c r="F527" s="130" t="n">
        <v>42168</v>
      </c>
      <c r="G527" s="131">
        <f>NOW()-F527</f>
        <v/>
      </c>
      <c r="H527" s="104" t="inlineStr">
        <is>
          <t>O</t>
        </is>
      </c>
      <c r="I527" s="104" t="inlineStr">
        <is>
          <t>U</t>
        </is>
      </c>
      <c r="J527" s="104" t="n">
        <v>8</v>
      </c>
      <c r="K527" s="104" t="n">
        <v>7</v>
      </c>
      <c r="L527" s="104" t="n">
        <v>6</v>
      </c>
      <c r="M527" s="104" t="n">
        <v>5</v>
      </c>
      <c r="N527" s="104" t="n"/>
      <c r="O527" s="104">
        <f>SUM(J527:N527)</f>
        <v/>
      </c>
      <c r="P527" s="12">
        <f>O527/IF(H527="L",20,IF(H527="U",30,IF(H527="O",40,IF(H527="I",20,""))))</f>
        <v/>
      </c>
      <c r="Q527" s="132">
        <f>IF(AND(H527="L", P527&gt;=50%), "Pass",
IF(AND(H527="U", P527&gt;=60%), "Pass",
IF(AND(H527="O", P527&gt;=75%), "Pass", "Fail")))</f>
        <v/>
      </c>
      <c r="R527" s="104" t="n"/>
      <c r="S527" s="104" t="n">
        <v>14</v>
      </c>
      <c r="T527" s="104" t="n">
        <v>8</v>
      </c>
      <c r="U527" s="104">
        <f>SUM(S527:T527)</f>
        <v/>
      </c>
      <c r="V527" s="12">
        <f>U527/IF(H527="L",35,IF(H527="U",35,IF(H527="O",35,IF(H527="I",35,""))))</f>
        <v/>
      </c>
      <c r="W527" s="132">
        <f>IF(AND(H527="L", V527&gt;=50%), "Pass",
IF(AND(H527="U", V527&gt;=60%), "Pass",
IF(AND(H527="O", V527&gt;=75%), "Pass", "Fail")))</f>
        <v/>
      </c>
      <c r="X527" s="132">
        <f>IF(AND(Q527="Pass", W527="Pass"), "Pass", "Fail")</f>
        <v/>
      </c>
      <c r="Y527" s="15">
        <f>IF($X527="Pass",$H527,
IF(H527="L","I",
IF(H527="U","L",
IF(H527="O","U",
"I"))))</f>
        <v/>
      </c>
      <c r="Z527" s="82" t="n"/>
    </row>
    <row r="528">
      <c r="A528" s="147">
        <f>ROW()-2</f>
        <v/>
      </c>
      <c r="B528" s="127" t="n">
        <v>901130</v>
      </c>
      <c r="C528" s="128" t="inlineStr">
        <is>
          <t>RAMACHANDRAN P</t>
        </is>
      </c>
      <c r="D528" s="127" t="inlineStr">
        <is>
          <t>PRODUCTION</t>
        </is>
      </c>
      <c r="E528" s="129" t="inlineStr">
        <is>
          <t>EXTRUDER</t>
        </is>
      </c>
      <c r="F528" s="130" t="n">
        <v>42186</v>
      </c>
      <c r="G528" s="131">
        <f>NOW()-F528</f>
        <v/>
      </c>
      <c r="H528" s="104" t="inlineStr">
        <is>
          <t>O</t>
        </is>
      </c>
      <c r="I528" s="104" t="inlineStr">
        <is>
          <t>U</t>
        </is>
      </c>
      <c r="J528" s="104" t="n">
        <v>9</v>
      </c>
      <c r="K528" s="104" t="n">
        <v>8</v>
      </c>
      <c r="L528" s="104" t="n">
        <v>9</v>
      </c>
      <c r="M528" s="104" t="n">
        <v>10</v>
      </c>
      <c r="N528" s="104" t="n"/>
      <c r="O528" s="104">
        <f>SUM(J528:N528)</f>
        <v/>
      </c>
      <c r="P528" s="12">
        <f>O528/IF(H528="L",20,IF(H528="U",30,IF(H528="O",40,IF(H528="I",20,""))))</f>
        <v/>
      </c>
      <c r="Q528" s="132">
        <f>IF(AND(H528="L", P528&gt;=50%), "Pass",
IF(AND(H528="U", P528&gt;=60%), "Pass",
IF(AND(H528="O", P528&gt;=75%), "Pass", "Fail")))</f>
        <v/>
      </c>
      <c r="R528" s="104" t="n"/>
      <c r="S528" s="104" t="n">
        <v>13</v>
      </c>
      <c r="T528" s="104" t="n">
        <v>9</v>
      </c>
      <c r="U528" s="104">
        <f>SUM(S528:T528)</f>
        <v/>
      </c>
      <c r="V528" s="12">
        <f>U528/IF(H528="L",35,IF(H528="U",35,IF(H528="O",35,IF(H528="I",35,""))))</f>
        <v/>
      </c>
      <c r="W528" s="132">
        <f>IF(AND(H528="L", V528&gt;=50%), "Pass",
IF(AND(H528="U", V528&gt;=60%), "Pass",
IF(AND(H528="O", V528&gt;=75%), "Pass", "Fail")))</f>
        <v/>
      </c>
      <c r="X528" s="132">
        <f>IF(AND(Q528="Pass", W528="Pass"), "Pass", "Fail")</f>
        <v/>
      </c>
      <c r="Y528" s="15">
        <f>IF($X528="Pass",$H528,
IF(H528="L","I",
IF(H528="U","L",
IF(H528="O","U",
"I"))))</f>
        <v/>
      </c>
    </row>
    <row r="529">
      <c r="A529" s="147">
        <f>ROW()-2</f>
        <v/>
      </c>
      <c r="B529" s="127" t="n">
        <v>901131</v>
      </c>
      <c r="C529" s="128" t="inlineStr">
        <is>
          <t>MAHESWARAN M</t>
        </is>
      </c>
      <c r="D529" s="127" t="inlineStr">
        <is>
          <t>PRODUCTION</t>
        </is>
      </c>
      <c r="E529" s="129" t="inlineStr">
        <is>
          <t>BAND BUILDING-P2</t>
        </is>
      </c>
      <c r="F529" s="130" t="n">
        <v>42186</v>
      </c>
      <c r="G529" s="131">
        <f>NOW()-F529</f>
        <v/>
      </c>
      <c r="H529" s="104" t="inlineStr">
        <is>
          <t>O</t>
        </is>
      </c>
      <c r="I529" s="104" t="inlineStr">
        <is>
          <t>O</t>
        </is>
      </c>
      <c r="J529" s="104" t="n">
        <v>9</v>
      </c>
      <c r="K529" s="104" t="n">
        <v>6</v>
      </c>
      <c r="L529" s="104" t="n">
        <v>5</v>
      </c>
      <c r="M529" s="104" t="n">
        <v>7</v>
      </c>
      <c r="N529" s="104" t="n"/>
      <c r="O529" s="104">
        <f>SUM(J529:N529)</f>
        <v/>
      </c>
      <c r="P529" s="12">
        <f>O529/IF(H529="L",20,IF(H529="U",30,IF(H529="O",40,IF(H529="I",20,""))))</f>
        <v/>
      </c>
      <c r="Q529" s="132">
        <f>IF(AND(H529="L", P529&gt;=50%), "Pass",
IF(AND(H529="U", P529&gt;=60%), "Pass",
IF(AND(H529="O", P529&gt;=75%), "Pass", "Fail")))</f>
        <v/>
      </c>
      <c r="R529" s="104" t="n"/>
      <c r="S529" s="104" t="n">
        <v>16</v>
      </c>
      <c r="T529" s="104" t="n">
        <v>12</v>
      </c>
      <c r="U529" s="104">
        <f>SUM(S529:T529)</f>
        <v/>
      </c>
      <c r="V529" s="12">
        <f>U529/IF(H529="L",35,IF(H529="U",35,IF(H529="O",35,IF(H529="I",35,""))))</f>
        <v/>
      </c>
      <c r="W529" s="132">
        <f>IF(AND(H529="L", V529&gt;=50%), "Pass",
IF(AND(H529="U", V529&gt;=60%), "Pass",
IF(AND(H529="O", V529&gt;=75%), "Pass", "Fail")))</f>
        <v/>
      </c>
      <c r="X529" s="132">
        <f>IF(AND(Q529="Pass", W529="Pass"), "Pass", "Fail")</f>
        <v/>
      </c>
      <c r="Y529" s="15">
        <f>IF($X529="Pass",$H529,
IF(H529="L","I",
IF(H529="U","L",
IF(H529="O","U",
"I"))))</f>
        <v/>
      </c>
    </row>
    <row r="530">
      <c r="A530" s="147">
        <f>ROW()-2</f>
        <v/>
      </c>
      <c r="B530" s="127" t="n">
        <v>901132</v>
      </c>
      <c r="C530" s="128" t="inlineStr">
        <is>
          <t>GOVINDA RAJ E</t>
        </is>
      </c>
      <c r="D530" s="127" t="inlineStr">
        <is>
          <t>PRODUCTION</t>
        </is>
      </c>
      <c r="E530" s="129" t="inlineStr">
        <is>
          <t>TYRE BUILDING-P1</t>
        </is>
      </c>
      <c r="F530" s="130" t="n">
        <v>42186</v>
      </c>
      <c r="G530" s="131">
        <f>NOW()-F530</f>
        <v/>
      </c>
      <c r="H530" s="104" t="inlineStr">
        <is>
          <t>O</t>
        </is>
      </c>
      <c r="I530" s="104" t="inlineStr">
        <is>
          <t>O</t>
        </is>
      </c>
      <c r="J530" s="104" t="n">
        <v>8</v>
      </c>
      <c r="K530" s="104" t="n">
        <v>9</v>
      </c>
      <c r="L530" s="104" t="n">
        <v>7</v>
      </c>
      <c r="M530" s="104" t="n">
        <v>9</v>
      </c>
      <c r="N530" s="104" t="n"/>
      <c r="O530" s="104">
        <f>SUM(J530:N530)</f>
        <v/>
      </c>
      <c r="P530" s="12">
        <f>O530/IF(H530="L",20,IF(H530="U",30,IF(H530="O",40,IF(H530="I",20,""))))</f>
        <v/>
      </c>
      <c r="Q530" s="132">
        <f>IF(AND(H530="L", P530&gt;=50%), "Pass",
IF(AND(H530="U", P530&gt;=60%), "Pass",
IF(AND(H530="O", P530&gt;=75%), "Pass", "Fail")))</f>
        <v/>
      </c>
      <c r="R530" s="104" t="n"/>
      <c r="S530" s="104" t="n">
        <v>14</v>
      </c>
      <c r="T530" s="104" t="n">
        <v>15</v>
      </c>
      <c r="U530" s="104">
        <f>SUM(S530:T530)</f>
        <v/>
      </c>
      <c r="V530" s="12">
        <f>U530/IF(H530="L",35,IF(H530="U",35,IF(H530="O",35,IF(H530="I",35,""))))</f>
        <v/>
      </c>
      <c r="W530" s="132">
        <f>IF(AND(H530="L", V530&gt;=50%), "Pass",
IF(AND(H530="U", V530&gt;=60%), "Pass",
IF(AND(H530="O", V530&gt;=75%), "Pass", "Fail")))</f>
        <v/>
      </c>
      <c r="X530" s="132">
        <f>IF(AND(Q530="Pass", W530="Pass"), "Pass", "Fail")</f>
        <v/>
      </c>
      <c r="Y530" s="15">
        <f>IF($X530="Pass",$H530,
IF(H530="L","I",
IF(H530="U","L",
IF(H530="O","U",
"I"))))</f>
        <v/>
      </c>
      <c r="Z530" s="82" t="n"/>
    </row>
    <row r="531">
      <c r="A531" s="147">
        <f>ROW()-2</f>
        <v/>
      </c>
      <c r="B531" s="127" t="n">
        <v>901133</v>
      </c>
      <c r="C531" s="128" t="inlineStr">
        <is>
          <t>SANTHOSH KUMAR S</t>
        </is>
      </c>
      <c r="D531" s="127" t="inlineStr">
        <is>
          <t>PRODUCTION</t>
        </is>
      </c>
      <c r="E531" s="129" t="inlineStr">
        <is>
          <t>TYRE BUILDING-P1</t>
        </is>
      </c>
      <c r="F531" s="130" t="n">
        <v>42186</v>
      </c>
      <c r="G531" s="131">
        <f>NOW()-F531</f>
        <v/>
      </c>
      <c r="H531" s="104" t="inlineStr">
        <is>
          <t>O</t>
        </is>
      </c>
      <c r="I531" s="104" t="inlineStr">
        <is>
          <t>O</t>
        </is>
      </c>
      <c r="J531" s="104" t="n">
        <v>9</v>
      </c>
      <c r="K531" s="104" t="n">
        <v>9</v>
      </c>
      <c r="L531" s="104" t="n">
        <v>8</v>
      </c>
      <c r="M531" s="104" t="n">
        <v>9</v>
      </c>
      <c r="N531" s="104" t="n"/>
      <c r="O531" s="104">
        <f>SUM(J531:N531)</f>
        <v/>
      </c>
      <c r="P531" s="12">
        <f>O531/IF(H531="L",20,IF(H531="U",30,IF(H531="O",40,IF(H531="I",20,""))))</f>
        <v/>
      </c>
      <c r="Q531" s="132">
        <f>IF(AND(H531="L", P531&gt;=50%), "Pass",
IF(AND(H531="U", P531&gt;=60%), "Pass",
IF(AND(H531="O", P531&gt;=75%), "Pass", "Fail")))</f>
        <v/>
      </c>
      <c r="R531" s="104" t="n"/>
      <c r="S531" s="104" t="n">
        <v>15</v>
      </c>
      <c r="T531" s="104" t="n">
        <v>15</v>
      </c>
      <c r="U531" s="104">
        <f>SUM(S531:T531)</f>
        <v/>
      </c>
      <c r="V531" s="12">
        <f>U531/IF(H531="L",35,IF(H531="U",35,IF(H531="O",35,IF(H531="I",35,""))))</f>
        <v/>
      </c>
      <c r="W531" s="132">
        <f>IF(AND(H531="L", V531&gt;=50%), "Pass",
IF(AND(H531="U", V531&gt;=60%), "Pass",
IF(AND(H531="O", V531&gt;=75%), "Pass", "Fail")))</f>
        <v/>
      </c>
      <c r="X531" s="132">
        <f>IF(AND(Q531="Pass", W531="Pass"), "Pass", "Fail")</f>
        <v/>
      </c>
      <c r="Y531" s="15">
        <f>IF($X531="Pass",$H531,
IF(H531="L","I",
IF(H531="U","L",
IF(H531="O","U",
"I"))))</f>
        <v/>
      </c>
    </row>
    <row r="532">
      <c r="A532" s="147">
        <f>ROW()-2</f>
        <v/>
      </c>
      <c r="B532" s="127" t="n">
        <v>901134</v>
      </c>
      <c r="C532" s="128" t="inlineStr">
        <is>
          <t>DHIRAJ KUMAR SINGH</t>
        </is>
      </c>
      <c r="D532" s="127" t="inlineStr">
        <is>
          <t>PRODUCTION</t>
        </is>
      </c>
      <c r="E532" s="129" t="inlineStr">
        <is>
          <t>TYRE BUILDING-P1</t>
        </is>
      </c>
      <c r="F532" s="130" t="n">
        <v>42186</v>
      </c>
      <c r="G532" s="131">
        <f>NOW()-F532</f>
        <v/>
      </c>
      <c r="H532" s="104" t="inlineStr">
        <is>
          <t>O</t>
        </is>
      </c>
      <c r="I532" s="104" t="inlineStr">
        <is>
          <t>O</t>
        </is>
      </c>
      <c r="J532" s="104" t="n">
        <v>9</v>
      </c>
      <c r="K532" s="104" t="n">
        <v>9</v>
      </c>
      <c r="L532" s="104" t="n">
        <v>9</v>
      </c>
      <c r="M532" s="104" t="n">
        <v>8</v>
      </c>
      <c r="N532" s="104" t="n"/>
      <c r="O532" s="104">
        <f>SUM(J532:N532)</f>
        <v/>
      </c>
      <c r="P532" s="12">
        <f>O532/IF(H532="L",20,IF(H532="U",30,IF(H532="O",40,IF(H532="I",20,""))))</f>
        <v/>
      </c>
      <c r="Q532" s="132">
        <f>IF(AND(H532="L", P532&gt;=50%), "Pass",
IF(AND(H532="U", P532&gt;=60%), "Pass",
IF(AND(H532="O", P532&gt;=75%), "Pass", "Fail")))</f>
        <v/>
      </c>
      <c r="R532" s="104" t="n"/>
      <c r="S532" s="104" t="n">
        <v>15</v>
      </c>
      <c r="T532" s="104" t="n">
        <v>15</v>
      </c>
      <c r="U532" s="104">
        <f>SUM(S532:T532)</f>
        <v/>
      </c>
      <c r="V532" s="12">
        <f>U532/IF(H532="L",35,IF(H532="U",35,IF(H532="O",35,IF(H532="I",35,""))))</f>
        <v/>
      </c>
      <c r="W532" s="132">
        <f>IF(AND(H532="L", V532&gt;=50%), "Pass",
IF(AND(H532="U", V532&gt;=60%), "Pass",
IF(AND(H532="O", V532&gt;=75%), "Pass", "Fail")))</f>
        <v/>
      </c>
      <c r="X532" s="132">
        <f>IF(AND(Q532="Pass", W532="Pass"), "Pass", "Fail")</f>
        <v/>
      </c>
      <c r="Y532" s="15">
        <f>IF($X532="Pass",$H532,
IF(H532="L","I",
IF(H532="U","L",
IF(H532="O","U",
"I"))))</f>
        <v/>
      </c>
    </row>
    <row r="533">
      <c r="A533" s="147">
        <f>ROW()-2</f>
        <v/>
      </c>
      <c r="B533" s="127" t="n">
        <v>901135</v>
      </c>
      <c r="C533" s="128" t="inlineStr">
        <is>
          <t xml:space="preserve">DHIRENDRA KUMAR SWAIN  </t>
        </is>
      </c>
      <c r="D533" s="127" t="inlineStr">
        <is>
          <t>PRODUCTION</t>
        </is>
      </c>
      <c r="E533" s="129" t="inlineStr">
        <is>
          <t>TYRE BUILDING-P1</t>
        </is>
      </c>
      <c r="F533" s="130" t="n">
        <v>42186</v>
      </c>
      <c r="G533" s="131">
        <f>NOW()-F533</f>
        <v/>
      </c>
      <c r="H533" s="104" t="inlineStr">
        <is>
          <t>O</t>
        </is>
      </c>
      <c r="I533" s="104" t="inlineStr">
        <is>
          <t>O</t>
        </is>
      </c>
      <c r="J533" s="104" t="n">
        <v>10</v>
      </c>
      <c r="K533" s="104" t="n">
        <v>9</v>
      </c>
      <c r="L533" s="104" t="n">
        <v>8</v>
      </c>
      <c r="M533" s="104" t="n">
        <v>9</v>
      </c>
      <c r="N533" s="104" t="n"/>
      <c r="O533" s="104">
        <f>SUM(J533:N533)</f>
        <v/>
      </c>
      <c r="P533" s="12">
        <f>O533/IF(H533="L",20,IF(H533="U",30,IF(H533="O",40,IF(H533="I",20,""))))</f>
        <v/>
      </c>
      <c r="Q533" s="132">
        <f>IF(AND(H533="L", P533&gt;=50%), "Pass",
IF(AND(H533="U", P533&gt;=60%), "Pass",
IF(AND(H533="O", P533&gt;=75%), "Pass", "Fail")))</f>
        <v/>
      </c>
      <c r="R533" s="104" t="n"/>
      <c r="S533" s="104" t="n">
        <v>13</v>
      </c>
      <c r="T533" s="104" t="n">
        <v>15</v>
      </c>
      <c r="U533" s="104">
        <f>SUM(S533:T533)</f>
        <v/>
      </c>
      <c r="V533" s="12">
        <f>U533/IF(H533="L",35,IF(H533="U",35,IF(H533="O",35,IF(H533="I",35,""))))</f>
        <v/>
      </c>
      <c r="W533" s="132">
        <f>IF(AND(H533="L", V533&gt;=50%), "Pass",
IF(AND(H533="U", V533&gt;=60%), "Pass",
IF(AND(H533="O", V533&gt;=75%), "Pass", "Fail")))</f>
        <v/>
      </c>
      <c r="X533" s="132">
        <f>IF(AND(Q533="Pass", W533="Pass"), "Pass", "Fail")</f>
        <v/>
      </c>
      <c r="Y533" s="15">
        <f>IF($X533="Pass",$H533,
IF(H533="L","I",
IF(H533="U","L",
IF(H533="O","U",
"I"))))</f>
        <v/>
      </c>
    </row>
    <row r="534">
      <c r="A534" s="147">
        <f>ROW()-2</f>
        <v/>
      </c>
      <c r="B534" s="127" t="n">
        <v>901136</v>
      </c>
      <c r="C534" s="128" t="inlineStr">
        <is>
          <t>MANOJ KUMAR NAYAK</t>
        </is>
      </c>
      <c r="D534" s="127" t="inlineStr">
        <is>
          <t>PRODUCTION</t>
        </is>
      </c>
      <c r="E534" s="129" t="inlineStr">
        <is>
          <t>TYRE BUILDING-P1</t>
        </is>
      </c>
      <c r="F534" s="130" t="n">
        <v>42186</v>
      </c>
      <c r="G534" s="131">
        <f>NOW()-F534</f>
        <v/>
      </c>
      <c r="H534" s="104" t="inlineStr">
        <is>
          <t>O</t>
        </is>
      </c>
      <c r="I534" s="104" t="inlineStr">
        <is>
          <t>O</t>
        </is>
      </c>
      <c r="J534" s="104" t="n">
        <v>9</v>
      </c>
      <c r="K534" s="104" t="n">
        <v>9</v>
      </c>
      <c r="L534" s="104" t="n">
        <v>8</v>
      </c>
      <c r="M534" s="104" t="n">
        <v>9</v>
      </c>
      <c r="N534" s="104" t="n"/>
      <c r="O534" s="104">
        <f>SUM(J534:N534)</f>
        <v/>
      </c>
      <c r="P534" s="12">
        <f>O534/IF(H534="L",20,IF(H534="U",30,IF(H534="O",40,IF(H534="I",20,""))))</f>
        <v/>
      </c>
      <c r="Q534" s="132">
        <f>IF(AND(H534="L", P534&gt;=50%), "Pass",
IF(AND(H534="U", P534&gt;=60%), "Pass",
IF(AND(H534="O", P534&gt;=75%), "Pass", "Fail")))</f>
        <v/>
      </c>
      <c r="R534" s="104" t="n"/>
      <c r="S534" s="104" t="n">
        <v>13</v>
      </c>
      <c r="T534" s="104" t="n">
        <v>15</v>
      </c>
      <c r="U534" s="104">
        <f>SUM(S534:T534)</f>
        <v/>
      </c>
      <c r="V534" s="12">
        <f>U534/IF(H534="L",35,IF(H534="U",35,IF(H534="O",35,IF(H534="I",35,""))))</f>
        <v/>
      </c>
      <c r="W534" s="132">
        <f>IF(AND(H534="L", V534&gt;=50%), "Pass",
IF(AND(H534="U", V534&gt;=60%), "Pass",
IF(AND(H534="O", V534&gt;=75%), "Pass", "Fail")))</f>
        <v/>
      </c>
      <c r="X534" s="132">
        <f>IF(AND(Q534="Pass", W534="Pass"), "Pass", "Fail")</f>
        <v/>
      </c>
      <c r="Y534" s="15">
        <f>IF($X534="Pass",$H534,
IF(H534="L","I",
IF(H534="U","L",
IF(H534="O","U",
"I"))))</f>
        <v/>
      </c>
    </row>
    <row r="535">
      <c r="A535" s="147">
        <f>ROW()-2</f>
        <v/>
      </c>
      <c r="B535" s="127" t="n">
        <v>901137</v>
      </c>
      <c r="C535" s="128" t="inlineStr">
        <is>
          <t>LURAKU OROAN</t>
        </is>
      </c>
      <c r="D535" s="127" t="inlineStr">
        <is>
          <t>PRODUCTION</t>
        </is>
      </c>
      <c r="E535" s="129" t="inlineStr">
        <is>
          <t>TYRE BUILDING-P2</t>
        </is>
      </c>
      <c r="F535" s="130" t="n">
        <v>42186</v>
      </c>
      <c r="G535" s="131">
        <f>NOW()-F535</f>
        <v/>
      </c>
      <c r="H535" s="104" t="inlineStr">
        <is>
          <t>O</t>
        </is>
      </c>
      <c r="I535" s="104" t="inlineStr">
        <is>
          <t>U</t>
        </is>
      </c>
      <c r="J535" s="104" t="n">
        <v>8</v>
      </c>
      <c r="K535" s="104" t="n">
        <v>10</v>
      </c>
      <c r="L535" s="104" t="n">
        <v>7</v>
      </c>
      <c r="M535" s="104" t="n">
        <v>6</v>
      </c>
      <c r="N535" s="104" t="n"/>
      <c r="O535" s="104">
        <f>SUM(J535:N535)</f>
        <v/>
      </c>
      <c r="P535" s="12">
        <f>O535/IF(H535="L",20,IF(H535="U",30,IF(H535="O",40,IF(H535="I",20,""))))</f>
        <v/>
      </c>
      <c r="Q535" s="132">
        <f>IF(AND(H535="L", P535&gt;=50%), "Pass",
IF(AND(H535="U", P535&gt;=60%), "Pass",
IF(AND(H535="O", P535&gt;=75%), "Pass", "Fail")))</f>
        <v/>
      </c>
      <c r="R535" s="104" t="n"/>
      <c r="S535" s="104" t="n">
        <v>4</v>
      </c>
      <c r="T535" s="104" t="n">
        <v>4</v>
      </c>
      <c r="U535" s="104">
        <f>SUM(S535:T535)</f>
        <v/>
      </c>
      <c r="V535" s="12">
        <f>U535/IF(H535="L",35,IF(H535="U",35,IF(H535="O",35,IF(H535="I",35,""))))</f>
        <v/>
      </c>
      <c r="W535" s="132">
        <f>IF(AND(H535="L", V535&gt;=50%), "Pass",
IF(AND(H535="U", V535&gt;=60%), "Pass",
IF(AND(H535="O", V535&gt;=75%), "Pass", "Fail")))</f>
        <v/>
      </c>
      <c r="X535" s="132">
        <f>IF(AND(Q535="Pass", W535="Pass"), "Pass", "Fail")</f>
        <v/>
      </c>
      <c r="Y535" s="15">
        <f>IF($X535="Pass",$H535,
IF(H535="L","I",
IF(H535="U","L",
IF(H535="O","U",
"I"))))</f>
        <v/>
      </c>
    </row>
    <row r="536">
      <c r="A536" s="147">
        <f>ROW()-2</f>
        <v/>
      </c>
      <c r="B536" s="127" t="n">
        <v>901138</v>
      </c>
      <c r="C536" s="128" t="inlineStr">
        <is>
          <t>CHANDRA BHAN SINGH</t>
        </is>
      </c>
      <c r="D536" s="127" t="inlineStr">
        <is>
          <t>PRODUCTION</t>
        </is>
      </c>
      <c r="E536" s="129" t="inlineStr">
        <is>
          <t>TYRE BUILDING-P2</t>
        </is>
      </c>
      <c r="F536" s="130" t="n">
        <v>42186</v>
      </c>
      <c r="G536" s="131">
        <f>NOW()-F536</f>
        <v/>
      </c>
      <c r="H536" s="104" t="inlineStr">
        <is>
          <t>O</t>
        </is>
      </c>
      <c r="I536" s="104" t="inlineStr">
        <is>
          <t>U</t>
        </is>
      </c>
      <c r="J536" s="104" t="n">
        <v>8</v>
      </c>
      <c r="K536" s="104" t="n">
        <v>7</v>
      </c>
      <c r="L536" s="104" t="n">
        <v>7</v>
      </c>
      <c r="M536" s="104" t="n">
        <v>10</v>
      </c>
      <c r="N536" s="104" t="n"/>
      <c r="O536" s="104">
        <f>SUM(J536:N536)</f>
        <v/>
      </c>
      <c r="P536" s="12">
        <f>O536/IF(H536="L",20,IF(H536="U",30,IF(H536="O",40,IF(H536="I",20,""))))</f>
        <v/>
      </c>
      <c r="Q536" s="132">
        <f>IF(AND(H536="L", P536&gt;=50%), "Pass",
IF(AND(H536="U", P536&gt;=60%), "Pass",
IF(AND(H536="O", P536&gt;=75%), "Pass", "Fail")))</f>
        <v/>
      </c>
      <c r="R536" s="104" t="n"/>
      <c r="S536" s="104" t="n">
        <v>8</v>
      </c>
      <c r="T536" s="104" t="n">
        <v>7</v>
      </c>
      <c r="U536" s="104">
        <f>SUM(S536:T536)</f>
        <v/>
      </c>
      <c r="V536" s="12">
        <f>U536/IF(H536="L",35,IF(H536="U",35,IF(H536="O",35,IF(H536="I",35,""))))</f>
        <v/>
      </c>
      <c r="W536" s="132">
        <f>IF(AND(H536="L", V536&gt;=50%), "Pass",
IF(AND(H536="U", V536&gt;=60%), "Pass",
IF(AND(H536="O", V536&gt;=75%), "Pass", "Fail")))</f>
        <v/>
      </c>
      <c r="X536" s="132">
        <f>IF(AND(Q536="Pass", W536="Pass"), "Pass", "Fail")</f>
        <v/>
      </c>
      <c r="Y536" s="15">
        <f>IF($X536="Pass",$H536,
IF(H536="L","I",
IF(H536="U","L",
IF(H536="O","U",
"I"))))</f>
        <v/>
      </c>
      <c r="Z536" s="82">
        <f>V536-75%</f>
        <v/>
      </c>
    </row>
    <row r="537">
      <c r="A537" s="147">
        <f>ROW()-2</f>
        <v/>
      </c>
      <c r="B537" s="127" t="n">
        <v>901139</v>
      </c>
      <c r="C537" s="128" t="inlineStr">
        <is>
          <t>MARISELVAM K</t>
        </is>
      </c>
      <c r="D537" s="127" t="inlineStr">
        <is>
          <t>PRODUCTION</t>
        </is>
      </c>
      <c r="E537" s="129" t="inlineStr">
        <is>
          <t>TYRE BUILDING-P2</t>
        </is>
      </c>
      <c r="F537" s="130" t="n">
        <v>42186</v>
      </c>
      <c r="G537" s="131">
        <f>NOW()-F537</f>
        <v/>
      </c>
      <c r="H537" s="104" t="inlineStr">
        <is>
          <t>O</t>
        </is>
      </c>
      <c r="I537" s="104" t="inlineStr">
        <is>
          <t>U</t>
        </is>
      </c>
      <c r="J537" s="104" t="n">
        <v>10</v>
      </c>
      <c r="K537" s="104" t="n">
        <v>8</v>
      </c>
      <c r="L537" s="104" t="n">
        <v>7</v>
      </c>
      <c r="M537" s="104" t="n">
        <v>7</v>
      </c>
      <c r="N537" s="104" t="n"/>
      <c r="O537" s="104">
        <f>SUM(J537:N537)</f>
        <v/>
      </c>
      <c r="P537" s="12">
        <f>O537/IF(H537="L",20,IF(H537="U",30,IF(H537="O",40,IF(H537="I",20,""))))</f>
        <v/>
      </c>
      <c r="Q537" s="132">
        <f>IF(AND(H537="L", P537&gt;=50%), "Pass",
IF(AND(H537="U", P537&gt;=60%), "Pass",
IF(AND(H537="O", P537&gt;=75%), "Pass", "Fail")))</f>
        <v/>
      </c>
      <c r="R537" s="104" t="n"/>
      <c r="S537" s="104" t="n">
        <v>13</v>
      </c>
      <c r="T537" s="104" t="n">
        <v>10</v>
      </c>
      <c r="U537" s="104">
        <f>SUM(S537:T537)</f>
        <v/>
      </c>
      <c r="V537" s="12">
        <f>U537/IF(H537="L",35,IF(H537="U",35,IF(H537="O",35,IF(H537="I",35,""))))</f>
        <v/>
      </c>
      <c r="W537" s="132">
        <f>IF(AND(H537="L", V537&gt;=50%), "Pass",
IF(AND(H537="U", V537&gt;=60%), "Pass",
IF(AND(H537="O", V537&gt;=75%), "Pass", "Fail")))</f>
        <v/>
      </c>
      <c r="X537" s="132">
        <f>IF(AND(Q537="Pass", W537="Pass"), "Pass", "Fail")</f>
        <v/>
      </c>
      <c r="Y537" s="15">
        <f>IF($X537="Pass",$H537,
IF(H537="L","I",
IF(H537="U","L",
IF(H537="O","U",
"I"))))</f>
        <v/>
      </c>
    </row>
    <row r="538">
      <c r="A538" s="147">
        <f>ROW()-2</f>
        <v/>
      </c>
      <c r="B538" s="127" t="n">
        <v>901140</v>
      </c>
      <c r="C538" s="128" t="inlineStr">
        <is>
          <t>RAKESH</t>
        </is>
      </c>
      <c r="D538" s="127" t="inlineStr">
        <is>
          <t>PRODUCTION</t>
        </is>
      </c>
      <c r="E538" s="129" t="inlineStr">
        <is>
          <t>TYRE BUILDING-P2</t>
        </is>
      </c>
      <c r="F538" s="130" t="n">
        <v>42186</v>
      </c>
      <c r="G538" s="131">
        <f>NOW()-F538</f>
        <v/>
      </c>
      <c r="H538" s="104" t="inlineStr">
        <is>
          <t>O</t>
        </is>
      </c>
      <c r="I538" s="104" t="inlineStr">
        <is>
          <t>U</t>
        </is>
      </c>
      <c r="J538" s="104" t="n">
        <v>9</v>
      </c>
      <c r="K538" s="104" t="n">
        <v>10</v>
      </c>
      <c r="L538" s="104" t="n">
        <v>9</v>
      </c>
      <c r="M538" s="104" t="n">
        <v>7</v>
      </c>
      <c r="N538" s="104" t="n"/>
      <c r="O538" s="104">
        <f>SUM(J538:N538)</f>
        <v/>
      </c>
      <c r="P538" s="12">
        <f>O538/IF(H538="L",20,IF(H538="U",30,IF(H538="O",40,IF(H538="I",20,""))))</f>
        <v/>
      </c>
      <c r="Q538" s="132">
        <f>IF(AND(H538="L", P538&gt;=50%), "Pass",
IF(AND(H538="U", P538&gt;=60%), "Pass",
IF(AND(H538="O", P538&gt;=75%), "Pass", "Fail")))</f>
        <v/>
      </c>
      <c r="R538" s="104" t="n"/>
      <c r="S538" s="104" t="n">
        <v>6</v>
      </c>
      <c r="T538" s="104" t="n">
        <v>7</v>
      </c>
      <c r="U538" s="104">
        <f>SUM(S538:T538)</f>
        <v/>
      </c>
      <c r="V538" s="12">
        <f>U538/IF(H538="L",35,IF(H538="U",35,IF(H538="O",35,IF(H538="I",35,""))))</f>
        <v/>
      </c>
      <c r="W538" s="132">
        <f>IF(AND(H538="L", V538&gt;=50%), "Pass",
IF(AND(H538="U", V538&gt;=60%), "Pass",
IF(AND(H538="O", V538&gt;=75%), "Pass", "Fail")))</f>
        <v/>
      </c>
      <c r="X538" s="132">
        <f>IF(AND(Q538="Pass", W538="Pass"), "Pass", "Fail")</f>
        <v/>
      </c>
      <c r="Y538" s="15">
        <f>IF($X538="Pass",$H538,
IF(H538="L","I",
IF(H538="U","L",
IF(H538="O","U",
"I"))))</f>
        <v/>
      </c>
    </row>
    <row r="539">
      <c r="A539" s="147">
        <f>ROW()-2</f>
        <v/>
      </c>
      <c r="B539" s="127" t="n">
        <v>901142</v>
      </c>
      <c r="C539" s="128" t="inlineStr">
        <is>
          <t>ANANTHARAJ  R</t>
        </is>
      </c>
      <c r="D539" s="127" t="inlineStr">
        <is>
          <t>PRODUCTION</t>
        </is>
      </c>
      <c r="E539" s="129" t="inlineStr">
        <is>
          <t>TYRE BUILDING-P2</t>
        </is>
      </c>
      <c r="F539" s="130" t="n">
        <v>42186</v>
      </c>
      <c r="G539" s="131">
        <f>NOW()-F539</f>
        <v/>
      </c>
      <c r="H539" s="104" t="inlineStr">
        <is>
          <t>O</t>
        </is>
      </c>
      <c r="I539" s="104" t="inlineStr">
        <is>
          <t>U</t>
        </is>
      </c>
      <c r="J539" s="104" t="n">
        <v>10</v>
      </c>
      <c r="K539" s="104" t="n">
        <v>10</v>
      </c>
      <c r="L539" s="104" t="n">
        <v>8</v>
      </c>
      <c r="M539" s="104" t="n">
        <v>10</v>
      </c>
      <c r="N539" s="104" t="n"/>
      <c r="O539" s="104">
        <f>SUM(J539:N539)</f>
        <v/>
      </c>
      <c r="P539" s="12">
        <f>O539/IF(H539="L",20,IF(H539="U",30,IF(H539="O",40,IF(H539="I",20,""))))</f>
        <v/>
      </c>
      <c r="Q539" s="132">
        <f>IF(AND(H539="L", P539&gt;=50%), "Pass",
IF(AND(H539="U", P539&gt;=60%), "Pass",
IF(AND(H539="O", P539&gt;=75%), "Pass", "Fail")))</f>
        <v/>
      </c>
      <c r="R539" s="104" t="n"/>
      <c r="S539" s="104" t="n">
        <v>13</v>
      </c>
      <c r="T539" s="104" t="n">
        <v>10</v>
      </c>
      <c r="U539" s="104">
        <f>SUM(S539:T539)</f>
        <v/>
      </c>
      <c r="V539" s="12">
        <f>U539/IF(H539="L",35,IF(H539="U",35,IF(H539="O",35,IF(H539="I",35,""))))</f>
        <v/>
      </c>
      <c r="W539" s="132">
        <f>IF(AND(H539="L", V539&gt;=50%), "Pass",
IF(AND(H539="U", V539&gt;=60%), "Pass",
IF(AND(H539="O", V539&gt;=75%), "Pass", "Fail")))</f>
        <v/>
      </c>
      <c r="X539" s="132">
        <f>IF(AND(Q539="Pass", W539="Pass"), "Pass", "Fail")</f>
        <v/>
      </c>
      <c r="Y539" s="15">
        <f>IF($X539="Pass",$H539,
IF(H539="L","I",
IF(H539="U","L",
IF(H539="O","U",
"I"))))</f>
        <v/>
      </c>
      <c r="Z539" s="81">
        <f>V539-75%</f>
        <v/>
      </c>
    </row>
    <row r="540">
      <c r="A540" s="147">
        <f>ROW()-2</f>
        <v/>
      </c>
      <c r="B540" s="127" t="n">
        <v>901143</v>
      </c>
      <c r="C540" s="128" t="inlineStr">
        <is>
          <t>PETER  S</t>
        </is>
      </c>
      <c r="D540" s="127" t="inlineStr">
        <is>
          <t>PRODUCTION</t>
        </is>
      </c>
      <c r="E540" s="129" t="inlineStr">
        <is>
          <t>TYRE BUILDING-P2</t>
        </is>
      </c>
      <c r="F540" s="130" t="n">
        <v>42186</v>
      </c>
      <c r="G540" s="131">
        <f>NOW()-F540</f>
        <v/>
      </c>
      <c r="H540" s="104" t="inlineStr">
        <is>
          <t>O</t>
        </is>
      </c>
      <c r="I540" s="104" t="inlineStr">
        <is>
          <t>U</t>
        </is>
      </c>
      <c r="J540" s="104" t="n">
        <v>10</v>
      </c>
      <c r="K540" s="104" t="n">
        <v>10</v>
      </c>
      <c r="L540" s="104" t="n">
        <v>10</v>
      </c>
      <c r="M540" s="104" t="n">
        <v>10</v>
      </c>
      <c r="N540" s="104" t="n"/>
      <c r="O540" s="104">
        <f>SUM(J540:N540)</f>
        <v/>
      </c>
      <c r="P540" s="12">
        <f>O540/IF(H540="L",20,IF(H540="U",30,IF(H540="O",40,IF(H540="I",20,""))))</f>
        <v/>
      </c>
      <c r="Q540" s="132">
        <f>IF(AND(H540="L", P540&gt;=50%), "Pass",
IF(AND(H540="U", P540&gt;=60%), "Pass",
IF(AND(H540="O", P540&gt;=75%), "Pass", "Fail")))</f>
        <v/>
      </c>
      <c r="R540" s="104" t="n"/>
      <c r="S540" s="104" t="n">
        <v>16</v>
      </c>
      <c r="T540" s="104" t="n">
        <v>11</v>
      </c>
      <c r="U540" s="104">
        <f>SUM(S540:T540)</f>
        <v/>
      </c>
      <c r="V540" s="12">
        <f>U540/IF(H540="L",35,IF(H540="U",35,IF(H540="O",35,IF(H540="I",35,""))))</f>
        <v/>
      </c>
      <c r="W540" s="132">
        <f>IF(AND(H540="L", V540&gt;=50%), "Pass",
IF(AND(H540="U", V540&gt;=60%), "Pass",
IF(AND(H540="O", V540&gt;=75%), "Pass", "Fail")))</f>
        <v/>
      </c>
      <c r="X540" s="132">
        <f>IF(AND(Q540="Pass", W540="Pass"), "Pass", "Fail")</f>
        <v/>
      </c>
      <c r="Y540" s="15">
        <f>IF($X540="Pass",$H540,
IF(H540="L","I",
IF(H540="U","L",
IF(H540="O","U",
"I"))))</f>
        <v/>
      </c>
    </row>
    <row r="541">
      <c r="A541" s="147">
        <f>ROW()-2</f>
        <v/>
      </c>
      <c r="B541" s="127" t="n">
        <v>901144</v>
      </c>
      <c r="C541" s="128" t="inlineStr">
        <is>
          <t>RAJESH</t>
        </is>
      </c>
      <c r="D541" s="127" t="inlineStr">
        <is>
          <t>PRODUCTION</t>
        </is>
      </c>
      <c r="E541" s="129" t="inlineStr">
        <is>
          <t>TYRE BUILDING-P3</t>
        </is>
      </c>
      <c r="F541" s="130" t="n">
        <v>42186</v>
      </c>
      <c r="G541" s="131">
        <f>NOW()-F541</f>
        <v/>
      </c>
      <c r="H541" s="104" t="inlineStr">
        <is>
          <t>O</t>
        </is>
      </c>
      <c r="I541" s="104" t="inlineStr">
        <is>
          <t>O</t>
        </is>
      </c>
      <c r="J541" s="104" t="n">
        <v>10</v>
      </c>
      <c r="K541" s="104" t="n">
        <v>10</v>
      </c>
      <c r="L541" s="104" t="n">
        <v>8</v>
      </c>
      <c r="M541" s="104" t="n">
        <v>10</v>
      </c>
      <c r="N541" s="104" t="n"/>
      <c r="O541" s="104">
        <f>SUM(J541:N541)</f>
        <v/>
      </c>
      <c r="P541" s="12">
        <f>O541/IF(H541="L",20,IF(H541="U",30,IF(H541="O",40,IF(H541="I",20,""))))</f>
        <v/>
      </c>
      <c r="Q541" s="132">
        <f>IF(AND(H541="L", P541&gt;=50%), "Pass",
IF(AND(H541="U", P541&gt;=60%), "Pass",
IF(AND(H541="O", P541&gt;=75%), "Pass", "Fail")))</f>
        <v/>
      </c>
      <c r="R541" s="104" t="n"/>
      <c r="S541" s="43" t="n">
        <v>18</v>
      </c>
      <c r="T541" s="43" t="n">
        <v>14</v>
      </c>
      <c r="U541" s="104">
        <f>SUM(S541:T541)</f>
        <v/>
      </c>
      <c r="V541" s="12">
        <f>U541/IF(H541="L",35,IF(H541="U",35,IF(H541="O",35,IF(H541="I",35,""))))</f>
        <v/>
      </c>
      <c r="W541" s="132">
        <f>IF(AND(H541="L", V541&gt;=50%), "Pass",
IF(AND(H541="U", V541&gt;=60%), "Pass",
IF(AND(H541="O", V541&gt;=75%), "Pass", "Fail")))</f>
        <v/>
      </c>
      <c r="X541" s="132">
        <f>IF(AND(Q541="Pass", W541="Pass"), "Pass", "Fail")</f>
        <v/>
      </c>
      <c r="Y541" s="15">
        <f>IF($X541="Pass",$H541,
IF(H541="L","I",
IF(H541="U","L",
IF(H541="O","U",
"I"))))</f>
        <v/>
      </c>
    </row>
    <row r="542">
      <c r="A542" s="147">
        <f>ROW()-2</f>
        <v/>
      </c>
      <c r="B542" s="127" t="n">
        <v>901145</v>
      </c>
      <c r="C542" s="128" t="inlineStr">
        <is>
          <t>LALLAN KUSHWAHA</t>
        </is>
      </c>
      <c r="D542" s="127" t="inlineStr">
        <is>
          <t>PRODUCTION</t>
        </is>
      </c>
      <c r="E542" s="129" t="inlineStr">
        <is>
          <t>TYRE BUILDING-P3</t>
        </is>
      </c>
      <c r="F542" s="130" t="n">
        <v>42186</v>
      </c>
      <c r="G542" s="131">
        <f>NOW()-F542</f>
        <v/>
      </c>
      <c r="H542" s="104" t="inlineStr">
        <is>
          <t>O</t>
        </is>
      </c>
      <c r="I542" s="104" t="inlineStr">
        <is>
          <t>O</t>
        </is>
      </c>
      <c r="J542" s="104" t="n">
        <v>10</v>
      </c>
      <c r="K542" s="104" t="n">
        <v>8</v>
      </c>
      <c r="L542" s="104" t="n">
        <v>6</v>
      </c>
      <c r="M542" s="104" t="n">
        <v>9</v>
      </c>
      <c r="N542" s="104" t="n"/>
      <c r="O542" s="104">
        <f>SUM(J542:N542)</f>
        <v/>
      </c>
      <c r="P542" s="12">
        <f>O542/IF(H542="L",20,IF(H542="U",30,IF(H542="O",40,IF(H542="I",20,""))))</f>
        <v/>
      </c>
      <c r="Q542" s="132">
        <f>IF(AND(H542="L", P542&gt;=50%), "Pass",
IF(AND(H542="U", P542&gt;=60%), "Pass",
IF(AND(H542="O", P542&gt;=75%), "Pass", "Fail")))</f>
        <v/>
      </c>
      <c r="R542" s="104" t="n"/>
      <c r="S542" s="104" t="n">
        <v>18</v>
      </c>
      <c r="T542" s="104" t="n">
        <v>15</v>
      </c>
      <c r="U542" s="104">
        <f>SUM(S542:T542)</f>
        <v/>
      </c>
      <c r="V542" s="12">
        <f>U542/IF(H542="L",35,IF(H542="U",35,IF(H542="O",35,IF(H542="I",35,""))))</f>
        <v/>
      </c>
      <c r="W542" s="132">
        <f>IF(AND(H542="L", V542&gt;=50%), "Pass",
IF(AND(H542="U", V542&gt;=60%), "Pass",
IF(AND(H542="O", V542&gt;=75%), "Pass", "Fail")))</f>
        <v/>
      </c>
      <c r="X542" s="132">
        <f>IF(AND(Q542="Pass", W542="Pass"), "Pass", "Fail")</f>
        <v/>
      </c>
      <c r="Y542" s="15">
        <f>IF($X542="Pass",$H542,
IF(H542="L","I",
IF(H542="U","L",
IF(H542="O","U",
"I"))))</f>
        <v/>
      </c>
    </row>
    <row r="543">
      <c r="A543" s="147">
        <f>ROW()-2</f>
        <v/>
      </c>
      <c r="B543" s="127" t="n">
        <v>901146</v>
      </c>
      <c r="C543" s="128" t="inlineStr">
        <is>
          <t>SONU GUPTA</t>
        </is>
      </c>
      <c r="D543" s="127" t="inlineStr">
        <is>
          <t>PRODUCTION</t>
        </is>
      </c>
      <c r="E543" s="129" t="inlineStr">
        <is>
          <t>TYRE BUILDING-P3</t>
        </is>
      </c>
      <c r="F543" s="130" t="n">
        <v>42186</v>
      </c>
      <c r="G543" s="131">
        <f>NOW()-F543</f>
        <v/>
      </c>
      <c r="H543" s="104" t="inlineStr">
        <is>
          <t>O</t>
        </is>
      </c>
      <c r="I543" s="104" t="inlineStr">
        <is>
          <t>O</t>
        </is>
      </c>
      <c r="J543" s="104" t="n">
        <v>10</v>
      </c>
      <c r="K543" s="104" t="n">
        <v>9</v>
      </c>
      <c r="L543" s="104" t="n">
        <v>6</v>
      </c>
      <c r="M543" s="104" t="n">
        <v>9</v>
      </c>
      <c r="N543" s="104" t="n"/>
      <c r="O543" s="104">
        <f>SUM(J543:N543)</f>
        <v/>
      </c>
      <c r="P543" s="12">
        <f>O543/IF(H543="L",20,IF(H543="U",30,IF(H543="O",40,IF(H543="I",20,""))))</f>
        <v/>
      </c>
      <c r="Q543" s="132">
        <f>IF(AND(H543="L", P543&gt;=50%), "Pass",
IF(AND(H543="U", P543&gt;=60%), "Pass",
IF(AND(H543="O", P543&gt;=75%), "Pass", "Fail")))</f>
        <v/>
      </c>
      <c r="R543" s="104" t="n"/>
      <c r="S543" s="43" t="n">
        <v>18</v>
      </c>
      <c r="T543" s="43" t="n">
        <v>15</v>
      </c>
      <c r="U543" s="104">
        <f>SUM(S543:T543)</f>
        <v/>
      </c>
      <c r="V543" s="12">
        <f>U543/IF(H543="L",35,IF(H543="U",35,IF(H543="O",35,IF(H543="I",35,""))))</f>
        <v/>
      </c>
      <c r="W543" s="132">
        <f>IF(AND(H543="L", V543&gt;=50%), "Pass",
IF(AND(H543="U", V543&gt;=60%), "Pass",
IF(AND(H543="O", V543&gt;=75%), "Pass", "Fail")))</f>
        <v/>
      </c>
      <c r="X543" s="132">
        <f>IF(AND(Q543="Pass", W543="Pass"), "Pass", "Fail")</f>
        <v/>
      </c>
      <c r="Y543" s="15">
        <f>IF($X543="Pass",$H543,
IF(H543="L","I",
IF(H543="U","L",
IF(H543="O","U",
"I"))))</f>
        <v/>
      </c>
    </row>
    <row r="544">
      <c r="A544" s="147">
        <f>ROW()-2</f>
        <v/>
      </c>
      <c r="B544" s="127" t="n">
        <v>901147</v>
      </c>
      <c r="C544" s="128" t="inlineStr">
        <is>
          <t>SELVA M</t>
        </is>
      </c>
      <c r="D544" s="127" t="inlineStr">
        <is>
          <t>PRODUCTION</t>
        </is>
      </c>
      <c r="E544" s="129" t="inlineStr">
        <is>
          <t>TYRE BUILDING-P3</t>
        </is>
      </c>
      <c r="F544" s="130" t="n">
        <v>42186</v>
      </c>
      <c r="G544" s="131">
        <f>NOW()-F544</f>
        <v/>
      </c>
      <c r="H544" s="104" t="inlineStr">
        <is>
          <t>O</t>
        </is>
      </c>
      <c r="I544" s="104" t="inlineStr">
        <is>
          <t>O</t>
        </is>
      </c>
      <c r="J544" s="104" t="n">
        <v>8</v>
      </c>
      <c r="K544" s="104" t="n">
        <v>6</v>
      </c>
      <c r="L544" s="104" t="n">
        <v>4</v>
      </c>
      <c r="M544" s="104" t="n">
        <v>6</v>
      </c>
      <c r="N544" s="104" t="n"/>
      <c r="O544" s="104">
        <f>SUM(J544:N544)</f>
        <v/>
      </c>
      <c r="P544" s="12">
        <f>O544/IF(H544="L",20,IF(H544="U",30,IF(H544="O",40,IF(H544="I",20,""))))</f>
        <v/>
      </c>
      <c r="Q544" s="132">
        <f>IF(AND(H544="L", P544&gt;=50%), "Pass",
IF(AND(H544="U", P544&gt;=60%), "Pass",
IF(AND(H544="O", P544&gt;=75%), "Pass", "Fail")))</f>
        <v/>
      </c>
      <c r="R544" s="104" t="n"/>
      <c r="S544" s="104" t="n">
        <v>17</v>
      </c>
      <c r="T544" s="104" t="n">
        <v>14</v>
      </c>
      <c r="U544" s="104">
        <f>SUM(S544:T544)</f>
        <v/>
      </c>
      <c r="V544" s="12">
        <f>U544/IF(H544="L",35,IF(H544="U",35,IF(H544="O",35,IF(H544="I",35,""))))</f>
        <v/>
      </c>
      <c r="W544" s="132">
        <f>IF(AND(H544="L", V544&gt;=50%), "Pass",
IF(AND(H544="U", V544&gt;=60%), "Pass",
IF(AND(H544="O", V544&gt;=75%), "Pass", "Fail")))</f>
        <v/>
      </c>
      <c r="X544" s="132">
        <f>IF(AND(Q544="Pass", W544="Pass"), "Pass", "Fail")</f>
        <v/>
      </c>
      <c r="Y544" s="15">
        <f>IF($X544="Pass",$H544,
IF(H544="L","I",
IF(H544="U","L",
IF(H544="O","U",
"I"))))</f>
        <v/>
      </c>
    </row>
    <row r="545">
      <c r="A545" s="147">
        <f>ROW()-2</f>
        <v/>
      </c>
      <c r="B545" s="127" t="n">
        <v>901148</v>
      </c>
      <c r="C545" s="128" t="inlineStr">
        <is>
          <t>MONOO KUSHWAHA</t>
        </is>
      </c>
      <c r="D545" s="127" t="inlineStr">
        <is>
          <t>PRODUCTION</t>
        </is>
      </c>
      <c r="E545" s="129" t="inlineStr">
        <is>
          <t>TYRE BUILDING-P3</t>
        </is>
      </c>
      <c r="F545" s="130" t="n">
        <v>42186</v>
      </c>
      <c r="G545" s="131">
        <f>NOW()-F545</f>
        <v/>
      </c>
      <c r="H545" s="104" t="inlineStr">
        <is>
          <t>O</t>
        </is>
      </c>
      <c r="I545" s="104" t="inlineStr">
        <is>
          <t>O</t>
        </is>
      </c>
      <c r="J545" s="104" t="n">
        <v>6</v>
      </c>
      <c r="K545" s="104" t="n">
        <v>8</v>
      </c>
      <c r="L545" s="104" t="n">
        <v>5</v>
      </c>
      <c r="M545" s="104" t="n">
        <v>7</v>
      </c>
      <c r="N545" s="104" t="n"/>
      <c r="O545" s="104">
        <f>SUM(J545:N545)</f>
        <v/>
      </c>
      <c r="P545" s="12">
        <f>O545/IF(H545="L",20,IF(H545="U",30,IF(H545="O",40,IF(H545="I",20,""))))</f>
        <v/>
      </c>
      <c r="Q545" s="132">
        <f>IF(AND(H545="L", P545&gt;=50%), "Pass",
IF(AND(H545="U", P545&gt;=60%), "Pass",
IF(AND(H545="O", P545&gt;=75%), "Pass", "Fail")))</f>
        <v/>
      </c>
      <c r="R545" s="104" t="n"/>
      <c r="S545" s="104" t="n">
        <v>19</v>
      </c>
      <c r="T545" s="104" t="n">
        <v>14</v>
      </c>
      <c r="U545" s="104">
        <f>SUM(S545:T545)</f>
        <v/>
      </c>
      <c r="V545" s="12">
        <f>U545/IF(H545="L",35,IF(H545="U",35,IF(H545="O",35,IF(H545="I",35,""))))</f>
        <v/>
      </c>
      <c r="W545" s="132">
        <f>IF(AND(H545="L", V545&gt;=50%), "Pass",
IF(AND(H545="U", V545&gt;=60%), "Pass",
IF(AND(H545="O", V545&gt;=75%), "Pass", "Fail")))</f>
        <v/>
      </c>
      <c r="X545" s="132">
        <f>IF(AND(Q545="Pass", W545="Pass"), "Pass", "Fail")</f>
        <v/>
      </c>
      <c r="Y545" s="15">
        <f>IF($X545="Pass",$H545,
IF(H545="L","I",
IF(H545="U","L",
IF(H545="O","U",
"I"))))</f>
        <v/>
      </c>
      <c r="Z545" s="82">
        <f>V545-75%</f>
        <v/>
      </c>
    </row>
    <row r="546">
      <c r="A546" s="147">
        <f>ROW()-2</f>
        <v/>
      </c>
      <c r="B546" s="127" t="n">
        <v>901149</v>
      </c>
      <c r="C546" s="128" t="inlineStr">
        <is>
          <t>ESAKKIMUTHU A</t>
        </is>
      </c>
      <c r="D546" s="127" t="inlineStr">
        <is>
          <t>PRODUCTION</t>
        </is>
      </c>
      <c r="E546" s="129" t="inlineStr">
        <is>
          <t>RADIAL MARANGONI</t>
        </is>
      </c>
      <c r="F546" s="130" t="n">
        <v>42186</v>
      </c>
      <c r="G546" s="131">
        <f>NOW()-F546</f>
        <v/>
      </c>
      <c r="H546" s="104" t="inlineStr">
        <is>
          <t>O</t>
        </is>
      </c>
      <c r="I546" s="104" t="inlineStr">
        <is>
          <t>O</t>
        </is>
      </c>
      <c r="J546" s="104" t="n">
        <v>10</v>
      </c>
      <c r="K546" s="104" t="n">
        <v>10</v>
      </c>
      <c r="L546" s="104" t="n">
        <v>10</v>
      </c>
      <c r="M546" s="104" t="n">
        <v>10</v>
      </c>
      <c r="N546" s="104" t="n"/>
      <c r="O546" s="104">
        <f>SUM(J546:N546)</f>
        <v/>
      </c>
      <c r="P546" s="12">
        <f>O546/IF(H546="L",20,IF(H546="U",30,IF(H546="O",40,IF(H546="I",20,""))))</f>
        <v/>
      </c>
      <c r="Q546" s="132">
        <f>IF(AND(H546="L", P546&gt;=50%), "Pass",
IF(AND(H546="U", P546&gt;=60%), "Pass",
IF(AND(H546="O", P546&gt;=75%), "Pass", "Fail")))</f>
        <v/>
      </c>
      <c r="R546" s="104" t="n"/>
      <c r="S546" s="104" t="n">
        <v>16</v>
      </c>
      <c r="T546" s="104" t="n">
        <v>12</v>
      </c>
      <c r="U546" s="104">
        <f>SUM(S546:T546)</f>
        <v/>
      </c>
      <c r="V546" s="12">
        <f>U546/IF(H546="L",35,IF(H546="U",35,IF(H546="O",35,IF(H546="I",35,""))))</f>
        <v/>
      </c>
      <c r="W546" s="132">
        <f>IF(AND(H546="L", V546&gt;=50%), "Pass",
IF(AND(H546="U", V546&gt;=60%), "Pass",
IF(AND(H546="O", V546&gt;=75%), "Pass", "Fail")))</f>
        <v/>
      </c>
      <c r="X546" s="132">
        <f>IF(AND(Q546="Pass", W546="Pass"), "Pass", "Fail")</f>
        <v/>
      </c>
      <c r="Y546" s="15">
        <f>IF($X546="Pass",$H546,
IF(H546="L","I",
IF(H546="U","L",
IF(H546="O","U",
"I"))))</f>
        <v/>
      </c>
    </row>
    <row r="547">
      <c r="A547" s="147">
        <f>ROW()-2</f>
        <v/>
      </c>
      <c r="B547" s="127" t="n">
        <v>901150</v>
      </c>
      <c r="C547" s="128" t="inlineStr">
        <is>
          <t>KANNAN P</t>
        </is>
      </c>
      <c r="D547" s="127" t="inlineStr">
        <is>
          <t>PRODUCTION</t>
        </is>
      </c>
      <c r="E547" s="129" t="inlineStr">
        <is>
          <t>BIAS MARANGONI&amp;BESTRY</t>
        </is>
      </c>
      <c r="F547" s="130" t="n">
        <v>42186</v>
      </c>
      <c r="G547" s="131">
        <f>NOW()-F547</f>
        <v/>
      </c>
      <c r="H547" s="104" t="inlineStr">
        <is>
          <t>O</t>
        </is>
      </c>
      <c r="I547" s="104" t="inlineStr">
        <is>
          <t>U</t>
        </is>
      </c>
      <c r="J547" s="104" t="n">
        <v>8</v>
      </c>
      <c r="K547" s="104" t="n">
        <v>9</v>
      </c>
      <c r="L547" s="104" t="n">
        <v>8</v>
      </c>
      <c r="M547" s="104" t="n">
        <v>9</v>
      </c>
      <c r="N547" s="104" t="n"/>
      <c r="O547" s="104">
        <f>SUM(J547:N547)</f>
        <v/>
      </c>
      <c r="P547" s="12">
        <f>O547/IF(H547="L",20,IF(H547="U",30,IF(H547="O",40,IF(H547="I",20,""))))</f>
        <v/>
      </c>
      <c r="Q547" s="132">
        <f>IF(AND(H547="L", P547&gt;=50%), "Pass",
IF(AND(H547="U", P547&gt;=60%), "Pass",
IF(AND(H547="O", P547&gt;=75%), "Pass", "Fail")))</f>
        <v/>
      </c>
      <c r="R547" s="104" t="n"/>
      <c r="S547" s="104" t="n">
        <v>16</v>
      </c>
      <c r="T547" s="104" t="n">
        <v>12</v>
      </c>
      <c r="U547" s="104">
        <f>SUM(S547:T547)</f>
        <v/>
      </c>
      <c r="V547" s="12">
        <f>U547/IF(H547="L",35,IF(H547="U",35,IF(H547="O",35,IF(H547="I",35,""))))</f>
        <v/>
      </c>
      <c r="W547" s="132">
        <f>IF(AND(H547="L", V547&gt;=50%), "Pass",
IF(AND(H547="U", V547&gt;=60%), "Pass",
IF(AND(H547="O", V547&gt;=75%), "Pass", "Fail")))</f>
        <v/>
      </c>
      <c r="X547" s="132">
        <f>IF(AND(Q547="Pass", W547="Pass"), "Pass", "Fail")</f>
        <v/>
      </c>
      <c r="Y547" s="15">
        <f>IF($X547="Pass",$H547,
IF(H547="L","I",
IF(H547="U","L",
IF(H547="O","U",
"I"))))</f>
        <v/>
      </c>
      <c r="Z547" s="81">
        <f>V547-75%</f>
        <v/>
      </c>
    </row>
    <row r="548">
      <c r="A548" s="147">
        <f>ROW()-2</f>
        <v/>
      </c>
      <c r="B548" s="127" t="n">
        <v>901151</v>
      </c>
      <c r="C548" s="128" t="inlineStr">
        <is>
          <t>GANESAN U</t>
        </is>
      </c>
      <c r="D548" s="127" t="inlineStr">
        <is>
          <t>PRODUCTION</t>
        </is>
      </c>
      <c r="E548" s="129" t="inlineStr">
        <is>
          <t>BIAS MARANGONI&amp;BESTRY</t>
        </is>
      </c>
      <c r="F548" s="130" t="n">
        <v>42186</v>
      </c>
      <c r="G548" s="131">
        <f>NOW()-F548</f>
        <v/>
      </c>
      <c r="H548" s="104" t="inlineStr">
        <is>
          <t>O</t>
        </is>
      </c>
      <c r="I548" s="104" t="inlineStr">
        <is>
          <t>O</t>
        </is>
      </c>
      <c r="J548" s="104" t="n">
        <v>9</v>
      </c>
      <c r="K548" s="104" t="n">
        <v>8</v>
      </c>
      <c r="L548" s="104" t="n">
        <v>9</v>
      </c>
      <c r="M548" s="104" t="n">
        <v>8</v>
      </c>
      <c r="N548" s="104" t="n"/>
      <c r="O548" s="104">
        <f>SUM(J548:N548)</f>
        <v/>
      </c>
      <c r="P548" s="12">
        <f>O548/IF(H548="L",20,IF(H548="U",30,IF(H548="O",40,IF(H548="I",20,""))))</f>
        <v/>
      </c>
      <c r="Q548" s="132">
        <f>IF(AND(H548="L", P548&gt;=50%), "Pass",
IF(AND(H548="U", P548&gt;=60%), "Pass",
IF(AND(H548="O", P548&gt;=75%), "Pass", "Fail")))</f>
        <v/>
      </c>
      <c r="R548" s="104" t="n"/>
      <c r="S548" s="104" t="n">
        <v>16</v>
      </c>
      <c r="T548" s="104" t="n">
        <v>12</v>
      </c>
      <c r="U548" s="104">
        <f>SUM(S548:T548)</f>
        <v/>
      </c>
      <c r="V548" s="12">
        <f>U548/IF(H548="L",35,IF(H548="U",35,IF(H548="O",35,IF(H548="I",35,""))))</f>
        <v/>
      </c>
      <c r="W548" s="132">
        <f>IF(AND(H548="L", V548&gt;=50%), "Pass",
IF(AND(H548="U", V548&gt;=60%), "Pass",
IF(AND(H548="O", V548&gt;=75%), "Pass", "Fail")))</f>
        <v/>
      </c>
      <c r="X548" s="132">
        <f>IF(AND(Q548="Pass", W548="Pass"), "Pass", "Fail")</f>
        <v/>
      </c>
      <c r="Y548" s="15">
        <f>IF($X548="Pass",$H548,
IF(H548="L","I",
IF(H548="U","L",
IF(H548="O","U",
"I"))))</f>
        <v/>
      </c>
    </row>
    <row r="549">
      <c r="A549" s="147">
        <f>ROW()-2</f>
        <v/>
      </c>
      <c r="B549" s="127" t="n">
        <v>901152</v>
      </c>
      <c r="C549" s="128" t="inlineStr">
        <is>
          <t>RAJA I</t>
        </is>
      </c>
      <c r="D549" s="127" t="inlineStr">
        <is>
          <t>PRODUCTION</t>
        </is>
      </c>
      <c r="E549" s="129" t="inlineStr">
        <is>
          <t>BIAS MARANGONI&amp;BESTRY</t>
        </is>
      </c>
      <c r="F549" s="130" t="n">
        <v>42186</v>
      </c>
      <c r="G549" s="131">
        <f>NOW()-F549</f>
        <v/>
      </c>
      <c r="H549" s="104" t="inlineStr">
        <is>
          <t>O</t>
        </is>
      </c>
      <c r="I549" s="104" t="inlineStr">
        <is>
          <t>U</t>
        </is>
      </c>
      <c r="J549" s="104" t="n">
        <v>9</v>
      </c>
      <c r="K549" s="104" t="n">
        <v>7</v>
      </c>
      <c r="L549" s="104" t="n">
        <v>7</v>
      </c>
      <c r="M549" s="104" t="n">
        <v>7</v>
      </c>
      <c r="N549" s="104" t="n"/>
      <c r="O549" s="104">
        <f>SUM(J549:N549)</f>
        <v/>
      </c>
      <c r="P549" s="12">
        <f>O549/IF(H549="L",20,IF(H549="U",30,IF(H549="O",40,IF(H549="I",20,""))))</f>
        <v/>
      </c>
      <c r="Q549" s="132">
        <f>IF(AND(H549="L", P549&gt;=50%), "Pass",
IF(AND(H549="U", P549&gt;=60%), "Pass",
IF(AND(H549="O", P549&gt;=75%), "Pass", "Fail")))</f>
        <v/>
      </c>
      <c r="R549" s="104" t="n"/>
      <c r="S549" s="104" t="n">
        <v>16</v>
      </c>
      <c r="T549" s="104" t="n">
        <v>12</v>
      </c>
      <c r="U549" s="104">
        <f>SUM(S549:T549)</f>
        <v/>
      </c>
      <c r="V549" s="12">
        <f>U549/IF(H549="L",35,IF(H549="U",35,IF(H549="O",35,IF(H549="I",35,""))))</f>
        <v/>
      </c>
      <c r="W549" s="132">
        <f>IF(AND(H549="L", V549&gt;=50%), "Pass",
IF(AND(H549="U", V549&gt;=60%), "Pass",
IF(AND(H549="O", V549&gt;=75%), "Pass", "Fail")))</f>
        <v/>
      </c>
      <c r="X549" s="132">
        <f>IF(AND(Q549="Pass", W549="Pass"), "Pass", "Fail")</f>
        <v/>
      </c>
      <c r="Y549" s="15">
        <f>IF($X549="Pass",$H549,
IF(H549="L","I",
IF(H549="U","L",
IF(H549="O","U",
"I"))))</f>
        <v/>
      </c>
    </row>
    <row r="550">
      <c r="A550" s="147">
        <f>ROW()-2</f>
        <v/>
      </c>
      <c r="B550" s="127" t="n">
        <v>901153</v>
      </c>
      <c r="C550" s="128" t="inlineStr">
        <is>
          <t>RAMAR S</t>
        </is>
      </c>
      <c r="D550" s="127" t="inlineStr">
        <is>
          <t>PRODUCTION</t>
        </is>
      </c>
      <c r="E550" s="129" t="inlineStr">
        <is>
          <t>TYRE CURING</t>
        </is>
      </c>
      <c r="F550" s="130" t="n">
        <v>42186</v>
      </c>
      <c r="G550" s="131">
        <f>NOW()-F550</f>
        <v/>
      </c>
      <c r="H550" s="104" t="inlineStr">
        <is>
          <t>O</t>
        </is>
      </c>
      <c r="I550" s="104" t="inlineStr">
        <is>
          <t>U</t>
        </is>
      </c>
      <c r="J550" s="104" t="n">
        <v>9</v>
      </c>
      <c r="K550" s="104" t="n">
        <v>9</v>
      </c>
      <c r="L550" s="104" t="n">
        <v>8</v>
      </c>
      <c r="M550" s="104" t="n">
        <v>10</v>
      </c>
      <c r="N550" s="104" t="n"/>
      <c r="O550" s="104">
        <f>SUM(J550:N550)</f>
        <v/>
      </c>
      <c r="P550" s="12">
        <f>O550/IF(H550="L",20,IF(H550="U",30,IF(H550="O",40,IF(H550="I",20,""))))</f>
        <v/>
      </c>
      <c r="Q550" s="132">
        <f>IF(AND(H550="L", P550&gt;=50%), "Pass",
IF(AND(H550="U", P550&gt;=60%), "Pass",
IF(AND(H550="O", P550&gt;=75%), "Pass", "Fail")))</f>
        <v/>
      </c>
      <c r="R550" s="104" t="n"/>
      <c r="S550" s="104" t="n">
        <v>14</v>
      </c>
      <c r="T550" s="104" t="n">
        <v>13</v>
      </c>
      <c r="U550" s="104">
        <f>SUM(S550:T550)</f>
        <v/>
      </c>
      <c r="V550" s="12">
        <f>U550/IF(H550="L",35,IF(H550="U",35,IF(H550="O",35,IF(H550="I",35,""))))</f>
        <v/>
      </c>
      <c r="W550" s="132">
        <f>IF(AND(H550="L", V550&gt;=50%), "Pass",
IF(AND(H550="U", V550&gt;=60%), "Pass",
IF(AND(H550="O", V550&gt;=75%), "Pass", "Fail")))</f>
        <v/>
      </c>
      <c r="X550" s="132">
        <f>IF(AND(Q550="Pass", W550="Pass"), "Pass", "Fail")</f>
        <v/>
      </c>
      <c r="Y550" s="15">
        <f>IF($X550="Pass",$H550,
IF(H550="L","I",
IF(H550="U","L",
IF(H550="O","U",
"I"))))</f>
        <v/>
      </c>
    </row>
    <row r="551">
      <c r="A551" s="147">
        <f>ROW()-2</f>
        <v/>
      </c>
      <c r="B551" s="127" t="n">
        <v>901154</v>
      </c>
      <c r="C551" s="128" t="inlineStr">
        <is>
          <t>MUTHU S</t>
        </is>
      </c>
      <c r="D551" s="127" t="inlineStr">
        <is>
          <t>PRODUCTION</t>
        </is>
      </c>
      <c r="E551" s="129" t="inlineStr">
        <is>
          <t>TYRE CURING</t>
        </is>
      </c>
      <c r="F551" s="130" t="n">
        <v>42186</v>
      </c>
      <c r="G551" s="131">
        <f>NOW()-F551</f>
        <v/>
      </c>
      <c r="H551" s="104" t="inlineStr">
        <is>
          <t>O</t>
        </is>
      </c>
      <c r="I551" s="104" t="inlineStr">
        <is>
          <t>O</t>
        </is>
      </c>
      <c r="J551" s="104" t="n">
        <v>9</v>
      </c>
      <c r="K551" s="104" t="n">
        <v>9</v>
      </c>
      <c r="L551" s="104" t="n">
        <v>8</v>
      </c>
      <c r="M551" s="104" t="n">
        <v>7</v>
      </c>
      <c r="N551" s="104" t="n"/>
      <c r="O551" s="104">
        <f>SUM(J551:N551)</f>
        <v/>
      </c>
      <c r="P551" s="12">
        <f>O551/IF(H551="L",20,IF(H551="U",30,IF(H551="O",40,IF(H551="I",20,""))))</f>
        <v/>
      </c>
      <c r="Q551" s="132">
        <f>IF(AND(H551="L", P551&gt;=50%), "Pass",
IF(AND(H551="U", P551&gt;=60%), "Pass",
IF(AND(H551="O", P551&gt;=75%), "Pass", "Fail")))</f>
        <v/>
      </c>
      <c r="R551" s="104" t="n"/>
      <c r="S551" s="104" t="n">
        <v>16</v>
      </c>
      <c r="T551" s="104" t="n">
        <v>14</v>
      </c>
      <c r="U551" s="104">
        <f>SUM(S551:T551)</f>
        <v/>
      </c>
      <c r="V551" s="12">
        <f>U551/IF(H551="L",35,IF(H551="U",35,IF(H551="O",35,IF(H551="I",35,""))))</f>
        <v/>
      </c>
      <c r="W551" s="132">
        <f>IF(AND(H551="L", V551&gt;=50%), "Pass",
IF(AND(H551="U", V551&gt;=60%), "Pass",
IF(AND(H551="O", V551&gt;=75%), "Pass", "Fail")))</f>
        <v/>
      </c>
      <c r="X551" s="132">
        <f>IF(AND(Q551="Pass", W551="Pass"), "Pass", "Fail")</f>
        <v/>
      </c>
      <c r="Y551" s="15">
        <f>IF($X551="Pass",$H551,
IF(H551="L","I",
IF(H551="U","L",
IF(H551="O","U",
"I"))))</f>
        <v/>
      </c>
    </row>
    <row r="552">
      <c r="A552" s="147">
        <f>ROW()-2</f>
        <v/>
      </c>
      <c r="B552" s="127" t="n">
        <v>901155</v>
      </c>
      <c r="C552" s="128" t="inlineStr">
        <is>
          <t>PERUMAL A</t>
        </is>
      </c>
      <c r="D552" s="127" t="inlineStr">
        <is>
          <t>PRODUCTION</t>
        </is>
      </c>
      <c r="E552" s="129" t="inlineStr">
        <is>
          <t>TYRE CURING</t>
        </is>
      </c>
      <c r="F552" s="130" t="n">
        <v>42186</v>
      </c>
      <c r="G552" s="131">
        <f>NOW()-F552</f>
        <v/>
      </c>
      <c r="H552" s="104" t="inlineStr">
        <is>
          <t>O</t>
        </is>
      </c>
      <c r="I552" s="104" t="inlineStr">
        <is>
          <t>U</t>
        </is>
      </c>
      <c r="J552" s="104" t="n">
        <v>9</v>
      </c>
      <c r="K552" s="104" t="n">
        <v>9</v>
      </c>
      <c r="L552" s="104" t="n">
        <v>8</v>
      </c>
      <c r="M552" s="104" t="n">
        <v>9</v>
      </c>
      <c r="N552" s="104" t="n"/>
      <c r="O552" s="104">
        <f>SUM(J552:N552)</f>
        <v/>
      </c>
      <c r="P552" s="12">
        <f>O552/IF(H552="L",20,IF(H552="U",30,IF(H552="O",40,IF(H552="I",20,""))))</f>
        <v/>
      </c>
      <c r="Q552" s="132">
        <f>IF(AND(H552="L", P552&gt;=50%), "Pass",
IF(AND(H552="U", P552&gt;=60%), "Pass",
IF(AND(H552="O", P552&gt;=75%), "Pass", "Fail")))</f>
        <v/>
      </c>
      <c r="R552" s="104" t="n"/>
      <c r="S552" s="104" t="n">
        <v>15</v>
      </c>
      <c r="T552" s="104" t="n">
        <v>13</v>
      </c>
      <c r="U552" s="104">
        <f>SUM(S552:T552)</f>
        <v/>
      </c>
      <c r="V552" s="12">
        <f>U552/IF(H552="L",35,IF(H552="U",35,IF(H552="O",35,IF(H552="I",35,""))))</f>
        <v/>
      </c>
      <c r="W552" s="132">
        <f>IF(AND(H552="L", V552&gt;=50%), "Pass",
IF(AND(H552="U", V552&gt;=60%), "Pass",
IF(AND(H552="O", V552&gt;=75%), "Pass", "Fail")))</f>
        <v/>
      </c>
      <c r="X552" s="132">
        <f>IF(AND(Q552="Pass", W552="Pass"), "Pass", "Fail")</f>
        <v/>
      </c>
      <c r="Y552" s="15">
        <f>IF($X552="Pass",$H552,
IF(H552="L","I",
IF(H552="U","L",
IF(H552="O","U",
"I"))))</f>
        <v/>
      </c>
    </row>
    <row r="553">
      <c r="A553" s="147">
        <f>ROW()-2</f>
        <v/>
      </c>
      <c r="B553" s="127" t="n">
        <v>901156</v>
      </c>
      <c r="C553" s="128" t="inlineStr">
        <is>
          <t>SELVA KUMAR S</t>
        </is>
      </c>
      <c r="D553" s="127" t="inlineStr">
        <is>
          <t>PRODUCTION</t>
        </is>
      </c>
      <c r="E553" s="129" t="inlineStr">
        <is>
          <t>TYRE CURING</t>
        </is>
      </c>
      <c r="F553" s="130" t="n">
        <v>42186</v>
      </c>
      <c r="G553" s="131">
        <f>NOW()-F553</f>
        <v/>
      </c>
      <c r="H553" s="104" t="inlineStr">
        <is>
          <t>O</t>
        </is>
      </c>
      <c r="I553" s="104" t="inlineStr">
        <is>
          <t>O</t>
        </is>
      </c>
      <c r="J553" s="104" t="n">
        <v>10</v>
      </c>
      <c r="K553" s="104" t="n">
        <v>9</v>
      </c>
      <c r="L553" s="104" t="n">
        <v>9</v>
      </c>
      <c r="M553" s="104" t="n">
        <v>6</v>
      </c>
      <c r="N553" s="104" t="n"/>
      <c r="O553" s="104">
        <f>SUM(J553:N553)</f>
        <v/>
      </c>
      <c r="P553" s="12">
        <f>O553/IF(H553="L",20,IF(H553="U",30,IF(H553="O",40,IF(H553="I",20,""))))</f>
        <v/>
      </c>
      <c r="Q553" s="132">
        <f>IF(AND(H553="L", P553&gt;=50%), "Pass",
IF(AND(H553="U", P553&gt;=60%), "Pass",
IF(AND(H553="O", P553&gt;=75%), "Pass", "Fail")))</f>
        <v/>
      </c>
      <c r="R553" s="104" t="n"/>
      <c r="S553" s="104" t="n">
        <v>15</v>
      </c>
      <c r="T553" s="104" t="n">
        <v>12</v>
      </c>
      <c r="U553" s="104">
        <f>SUM(S553:T553)</f>
        <v/>
      </c>
      <c r="V553" s="12">
        <f>U553/IF(H553="L",35,IF(H553="U",35,IF(H553="O",35,IF(H553="I",35,""))))</f>
        <v/>
      </c>
      <c r="W553" s="132">
        <f>IF(AND(H553="L", V553&gt;=50%), "Pass",
IF(AND(H553="U", V553&gt;=60%), "Pass",
IF(AND(H553="O", V553&gt;=75%), "Pass", "Fail")))</f>
        <v/>
      </c>
      <c r="X553" s="132">
        <f>IF(AND(Q553="Pass", W553="Pass"), "Pass", "Fail")</f>
        <v/>
      </c>
      <c r="Y553" s="15">
        <f>IF($X553="Pass",$H553,
IF(H553="L","I",
IF(H553="U","L",
IF(H553="O","U",
"I"))))</f>
        <v/>
      </c>
    </row>
    <row r="554">
      <c r="A554" s="147">
        <f>ROW()-2</f>
        <v/>
      </c>
      <c r="B554" s="127" t="n">
        <v>901157</v>
      </c>
      <c r="C554" s="128" t="inlineStr">
        <is>
          <t>RAMAR S</t>
        </is>
      </c>
      <c r="D554" s="127" t="inlineStr">
        <is>
          <t>PRODUCTION</t>
        </is>
      </c>
      <c r="E554" s="129" t="inlineStr">
        <is>
          <t>TYRE CURING</t>
        </is>
      </c>
      <c r="F554" s="130" t="n">
        <v>42186</v>
      </c>
      <c r="G554" s="131">
        <f>NOW()-F554</f>
        <v/>
      </c>
      <c r="H554" s="104" t="inlineStr">
        <is>
          <t>O</t>
        </is>
      </c>
      <c r="I554" s="104" t="inlineStr">
        <is>
          <t>O</t>
        </is>
      </c>
      <c r="J554" s="104" t="n">
        <v>9</v>
      </c>
      <c r="K554" s="104" t="n">
        <v>8</v>
      </c>
      <c r="L554" s="104" t="n">
        <v>10</v>
      </c>
      <c r="M554" s="104" t="n">
        <v>9</v>
      </c>
      <c r="N554" s="104" t="n"/>
      <c r="O554" s="104">
        <f>SUM(J554:N554)</f>
        <v/>
      </c>
      <c r="P554" s="12">
        <f>O554/IF(H554="L",20,IF(H554="U",30,IF(H554="O",40,IF(H554="I",20,""))))</f>
        <v/>
      </c>
      <c r="Q554" s="132">
        <f>IF(AND(H554="L", P554&gt;=50%), "Pass",
IF(AND(H554="U", P554&gt;=60%), "Pass",
IF(AND(H554="O", P554&gt;=75%), "Pass", "Fail")))</f>
        <v/>
      </c>
      <c r="R554" s="104" t="n"/>
      <c r="S554" s="104" t="n">
        <v>14</v>
      </c>
      <c r="T554" s="104" t="n">
        <v>13</v>
      </c>
      <c r="U554" s="104">
        <f>SUM(S554:T554)</f>
        <v/>
      </c>
      <c r="V554" s="12">
        <f>U554/IF(H554="L",35,IF(H554="U",35,IF(H554="O",35,IF(H554="I",35,""))))</f>
        <v/>
      </c>
      <c r="W554" s="132">
        <f>IF(AND(H554="L", V554&gt;=50%), "Pass",
IF(AND(H554="U", V554&gt;=60%), "Pass",
IF(AND(H554="O", V554&gt;=75%), "Pass", "Fail")))</f>
        <v/>
      </c>
      <c r="X554" s="132">
        <f>IF(AND(Q554="Pass", W554="Pass"), "Pass", "Fail")</f>
        <v/>
      </c>
      <c r="Y554" s="15">
        <f>IF($X554="Pass",$H554,
IF(H554="L","I",
IF(H554="U","L",
IF(H554="O","U",
"I"))))</f>
        <v/>
      </c>
    </row>
    <row r="555">
      <c r="A555" s="147">
        <f>ROW()-2</f>
        <v/>
      </c>
      <c r="B555" s="127" t="n">
        <v>901158</v>
      </c>
      <c r="C555" s="128" t="inlineStr">
        <is>
          <t>JAIGANESH A</t>
        </is>
      </c>
      <c r="D555" s="127" t="inlineStr">
        <is>
          <t>PRODUCTION</t>
        </is>
      </c>
      <c r="E555" s="129" t="inlineStr">
        <is>
          <t>TYRE CURING</t>
        </is>
      </c>
      <c r="F555" s="130" t="n">
        <v>42186</v>
      </c>
      <c r="G555" s="131">
        <f>NOW()-F555</f>
        <v/>
      </c>
      <c r="H555" s="104" t="inlineStr">
        <is>
          <t>O</t>
        </is>
      </c>
      <c r="I555" s="104" t="inlineStr">
        <is>
          <t>O</t>
        </is>
      </c>
      <c r="J555" s="104" t="n">
        <v>9</v>
      </c>
      <c r="K555" s="104" t="n">
        <v>9</v>
      </c>
      <c r="L555" s="104" t="n">
        <v>8</v>
      </c>
      <c r="M555" s="104" t="n">
        <v>8</v>
      </c>
      <c r="N555" s="104" t="n"/>
      <c r="O555" s="104">
        <f>SUM(J555:N555)</f>
        <v/>
      </c>
      <c r="P555" s="12">
        <f>O555/IF(H555="L",20,IF(H555="U",30,IF(H555="O",40,IF(H555="I",20,""))))</f>
        <v/>
      </c>
      <c r="Q555" s="132">
        <f>IF(AND(H555="L", P555&gt;=50%), "Pass",
IF(AND(H555="U", P555&gt;=60%), "Pass",
IF(AND(H555="O", P555&gt;=75%), "Pass", "Fail")))</f>
        <v/>
      </c>
      <c r="R555" s="104" t="n"/>
      <c r="S555" s="104" t="n">
        <v>11</v>
      </c>
      <c r="T555" s="104" t="n">
        <v>7</v>
      </c>
      <c r="U555" s="104">
        <f>SUM(S555:T555)</f>
        <v/>
      </c>
      <c r="V555" s="12">
        <f>U555/IF(H555="L",35,IF(H555="U",35,IF(H555="O",35,IF(H555="I",35,""))))</f>
        <v/>
      </c>
      <c r="W555" s="132">
        <f>IF(AND(H555="L", V555&gt;=50%), "Pass",
IF(AND(H555="U", V555&gt;=60%), "Pass",
IF(AND(H555="O", V555&gt;=75%), "Pass", "Fail")))</f>
        <v/>
      </c>
      <c r="X555" s="132">
        <f>IF(AND(Q555="Pass", W555="Pass"), "Pass", "Fail")</f>
        <v/>
      </c>
      <c r="Y555" s="15">
        <f>IF($X555="Pass",$H555,
IF(H555="L","I",
IF(H555="U","L",
IF(H555="O","U",
"I"))))</f>
        <v/>
      </c>
    </row>
    <row r="556">
      <c r="A556" s="147">
        <f>ROW()-2</f>
        <v/>
      </c>
      <c r="B556" s="127" t="n">
        <v>901159</v>
      </c>
      <c r="C556" s="128" t="inlineStr">
        <is>
          <t>MUPPUDATHI E</t>
        </is>
      </c>
      <c r="D556" s="127" t="inlineStr">
        <is>
          <t>PRODUCTION</t>
        </is>
      </c>
      <c r="E556" s="129" t="inlineStr">
        <is>
          <t>TYRE CURING</t>
        </is>
      </c>
      <c r="F556" s="130" t="n">
        <v>42186</v>
      </c>
      <c r="G556" s="131">
        <f>NOW()-F556</f>
        <v/>
      </c>
      <c r="H556" s="104" t="inlineStr">
        <is>
          <t>O</t>
        </is>
      </c>
      <c r="I556" s="104" t="inlineStr">
        <is>
          <t>O</t>
        </is>
      </c>
      <c r="J556" s="104" t="n">
        <v>7</v>
      </c>
      <c r="K556" s="104" t="n">
        <v>9</v>
      </c>
      <c r="L556" s="104" t="n">
        <v>7</v>
      </c>
      <c r="M556" s="104" t="n">
        <v>6</v>
      </c>
      <c r="N556" s="104" t="n"/>
      <c r="O556" s="104">
        <f>SUM(J556:N556)</f>
        <v/>
      </c>
      <c r="P556" s="12">
        <f>O556/IF(H556="L",20,IF(H556="U",30,IF(H556="O",40,IF(H556="I",20,""))))</f>
        <v/>
      </c>
      <c r="Q556" s="132">
        <f>IF(AND(H556="L", P556&gt;=50%), "Pass",
IF(AND(H556="U", P556&gt;=60%), "Pass",
IF(AND(H556="O", P556&gt;=75%), "Pass", "Fail")))</f>
        <v/>
      </c>
      <c r="R556" s="104" t="n"/>
      <c r="S556" s="104" t="n">
        <v>11</v>
      </c>
      <c r="T556" s="104" t="n">
        <v>8</v>
      </c>
      <c r="U556" s="104">
        <f>SUM(S556:T556)</f>
        <v/>
      </c>
      <c r="V556" s="12">
        <f>U556/IF(H556="L",35,IF(H556="U",35,IF(H556="O",35,IF(H556="I",35,""))))</f>
        <v/>
      </c>
      <c r="W556" s="132">
        <f>IF(AND(H556="L", V556&gt;=50%), "Pass",
IF(AND(H556="U", V556&gt;=60%), "Pass",
IF(AND(H556="O", V556&gt;=75%), "Pass", "Fail")))</f>
        <v/>
      </c>
      <c r="X556" s="132">
        <f>IF(AND(Q556="Pass", W556="Pass"), "Pass", "Fail")</f>
        <v/>
      </c>
      <c r="Y556" s="15">
        <f>IF($X556="Pass",$H556,
IF(H556="L","I",
IF(H556="U","L",
IF(H556="O","U",
"I"))))</f>
        <v/>
      </c>
    </row>
    <row r="557">
      <c r="A557" s="147">
        <f>ROW()-2</f>
        <v/>
      </c>
      <c r="B557" s="127" t="n">
        <v>901160</v>
      </c>
      <c r="C557" s="128" t="inlineStr">
        <is>
          <t>SAVARI RAJ K</t>
        </is>
      </c>
      <c r="D557" s="127" t="inlineStr">
        <is>
          <t>PRODUCTION</t>
        </is>
      </c>
      <c r="E557" s="129" t="inlineStr">
        <is>
          <t>TYRE CURING</t>
        </is>
      </c>
      <c r="F557" s="130" t="n">
        <v>42186</v>
      </c>
      <c r="G557" s="131">
        <f>NOW()-F557</f>
        <v/>
      </c>
      <c r="H557" s="104" t="inlineStr">
        <is>
          <t>O</t>
        </is>
      </c>
      <c r="I557" s="104" t="inlineStr">
        <is>
          <t>O</t>
        </is>
      </c>
      <c r="J557" s="104" t="n">
        <v>10</v>
      </c>
      <c r="K557" s="104" t="n">
        <v>8</v>
      </c>
      <c r="L557" s="104" t="n">
        <v>10</v>
      </c>
      <c r="M557" s="104" t="n">
        <v>8</v>
      </c>
      <c r="N557" s="104" t="n"/>
      <c r="O557" s="104">
        <f>SUM(J557:N557)</f>
        <v/>
      </c>
      <c r="P557" s="12">
        <f>O557/IF(H557="L",20,IF(H557="U",30,IF(H557="O",40,IF(H557="I",20,""))))</f>
        <v/>
      </c>
      <c r="Q557" s="132">
        <f>IF(AND(H557="L", P557&gt;=50%), "Pass",
IF(AND(H557="U", P557&gt;=60%), "Pass",
IF(AND(H557="O", P557&gt;=75%), "Pass", "Fail")))</f>
        <v/>
      </c>
      <c r="R557" s="104" t="n"/>
      <c r="S557" s="104" t="n">
        <v>15</v>
      </c>
      <c r="T557" s="104" t="n">
        <v>12</v>
      </c>
      <c r="U557" s="104">
        <f>SUM(S557:T557)</f>
        <v/>
      </c>
      <c r="V557" s="12">
        <f>U557/IF(H557="L",35,IF(H557="U",35,IF(H557="O",35,IF(H557="I",35,""))))</f>
        <v/>
      </c>
      <c r="W557" s="132">
        <f>IF(AND(H557="L", V557&gt;=50%), "Pass",
IF(AND(H557="U", V557&gt;=60%), "Pass",
IF(AND(H557="O", V557&gt;=75%), "Pass", "Fail")))</f>
        <v/>
      </c>
      <c r="X557" s="132">
        <f>IF(AND(Q557="Pass", W557="Pass"), "Pass", "Fail")</f>
        <v/>
      </c>
      <c r="Y557" s="15">
        <f>IF($X557="Pass",$H557,
IF(H557="L","I",
IF(H557="U","L",
IF(H557="O","U",
"I"))))</f>
        <v/>
      </c>
    </row>
    <row r="558">
      <c r="A558" s="147">
        <f>ROW()-2</f>
        <v/>
      </c>
      <c r="B558" s="127" t="n">
        <v>901175</v>
      </c>
      <c r="C558" s="128" t="inlineStr">
        <is>
          <t>SHUNMUGA SUNDAR D</t>
        </is>
      </c>
      <c r="D558" s="127" t="inlineStr">
        <is>
          <t>PRODUCTION</t>
        </is>
      </c>
      <c r="E558" s="129" t="inlineStr">
        <is>
          <t>SOLID TYRE</t>
        </is>
      </c>
      <c r="F558" s="130" t="n">
        <v>42186</v>
      </c>
      <c r="G558" s="131">
        <f>NOW()-F558</f>
        <v/>
      </c>
      <c r="H558" s="104" t="inlineStr">
        <is>
          <t>O</t>
        </is>
      </c>
      <c r="I558" s="104" t="inlineStr">
        <is>
          <t>O</t>
        </is>
      </c>
      <c r="J558" s="104" t="n">
        <v>10</v>
      </c>
      <c r="K558" s="104" t="n">
        <v>10</v>
      </c>
      <c r="L558" s="104" t="n">
        <v>8</v>
      </c>
      <c r="M558" s="104" t="n">
        <v>9</v>
      </c>
      <c r="N558" s="104" t="n"/>
      <c r="O558" s="104">
        <f>SUM(J558:N558)</f>
        <v/>
      </c>
      <c r="P558" s="12">
        <f>O558/IF(H558="L",20,IF(H558="U",30,IF(H558="O",40,IF(H558="I",20,""))))</f>
        <v/>
      </c>
      <c r="Q558" s="132">
        <f>IF(AND(H558="L", P558&gt;=50%), "Pass",
IF(AND(H558="U", P558&gt;=60%), "Pass",
IF(AND(H558="O", P558&gt;=75%), "Pass", "Fail")))</f>
        <v/>
      </c>
      <c r="R558" s="104" t="n"/>
      <c r="S558" s="104" t="n">
        <v>20</v>
      </c>
      <c r="T558" s="104" t="n">
        <v>14</v>
      </c>
      <c r="U558" s="104">
        <f>SUM(S558:T558)</f>
        <v/>
      </c>
      <c r="V558" s="12">
        <f>U558/IF(H558="L",35,IF(H558="U",35,IF(H558="O",35,IF(H558="I",35,""))))</f>
        <v/>
      </c>
      <c r="W558" s="132">
        <f>IF(AND(H558="L", V558&gt;=50%), "Pass",
IF(AND(H558="U", V558&gt;=60%), "Pass",
IF(AND(H558="O", V558&gt;=75%), "Pass", "Fail")))</f>
        <v/>
      </c>
      <c r="X558" s="132">
        <f>IF(AND(Q558="Pass", W558="Pass"), "Pass", "Fail")</f>
        <v/>
      </c>
      <c r="Y558" s="15">
        <f>IF($X558="Pass",$H558,
IF(H558="L","I",
IF(H558="U","L",
IF(H558="O","U",
"I"))))</f>
        <v/>
      </c>
    </row>
    <row r="559">
      <c r="A559" s="147">
        <f>ROW()-2</f>
        <v/>
      </c>
      <c r="B559" s="127" t="inlineStr">
        <is>
          <t>SK2392</t>
        </is>
      </c>
      <c r="C559" s="128" t="inlineStr">
        <is>
          <t>SINGA DURAI A</t>
        </is>
      </c>
      <c r="D559" s="127" t="inlineStr">
        <is>
          <t>PRODUCTION</t>
        </is>
      </c>
      <c r="E559" s="129" t="inlineStr">
        <is>
          <t>BIAS MARANGONI&amp;BESTRY</t>
        </is>
      </c>
      <c r="F559" s="130" t="n">
        <v>42187</v>
      </c>
      <c r="G559" s="131">
        <f>NOW()-F559</f>
        <v/>
      </c>
      <c r="H559" s="104" t="inlineStr">
        <is>
          <t>O</t>
        </is>
      </c>
      <c r="I559" s="104" t="inlineStr">
        <is>
          <t>U</t>
        </is>
      </c>
      <c r="J559" s="104" t="n">
        <v>8</v>
      </c>
      <c r="K559" s="104" t="n">
        <v>2</v>
      </c>
      <c r="L559" s="104" t="n">
        <v>6</v>
      </c>
      <c r="M559" s="104" t="n">
        <v>4</v>
      </c>
      <c r="N559" s="104" t="n"/>
      <c r="O559" s="104">
        <f>SUM(J559:N559)</f>
        <v/>
      </c>
      <c r="P559" s="12">
        <f>O559/IF(H559="L",20,IF(H559="U",30,IF(H559="O",40,IF(H559="I",20,""))))</f>
        <v/>
      </c>
      <c r="Q559" s="132">
        <f>IF(AND(H559="L", P559&gt;=50%), "Pass",
IF(AND(H559="U", P559&gt;=60%), "Pass",
IF(AND(H559="O", P559&gt;=75%), "Pass", "Fail")))</f>
        <v/>
      </c>
      <c r="R559" s="104" t="n"/>
      <c r="S559" s="104" t="n">
        <v>9</v>
      </c>
      <c r="T559" s="104" t="n">
        <v>8</v>
      </c>
      <c r="U559" s="104">
        <f>SUM(S559:T559)</f>
        <v/>
      </c>
      <c r="V559" s="12">
        <f>U559/IF(H559="L",35,IF(H559="U",35,IF(H559="O",35,IF(H559="I",35,""))))</f>
        <v/>
      </c>
      <c r="W559" s="132">
        <f>IF(AND(H559="L", V559&gt;=50%), "Pass",
IF(AND(H559="U", V559&gt;=60%), "Pass",
IF(AND(H559="O", V559&gt;=75%), "Pass", "Fail")))</f>
        <v/>
      </c>
      <c r="X559" s="132">
        <f>IF(AND(Q559="Pass", W559="Pass"), "Pass", "Fail")</f>
        <v/>
      </c>
      <c r="Y559" s="15">
        <f>IF($X559="Pass",$H559,
IF(H559="L","I",
IF(H559="U","L",
IF(H559="O","U",
"I"))))</f>
        <v/>
      </c>
    </row>
    <row r="560">
      <c r="A560" s="147">
        <f>ROW()-2</f>
        <v/>
      </c>
      <c r="B560" s="127" t="inlineStr">
        <is>
          <t>SK2393</t>
        </is>
      </c>
      <c r="C560" s="128" t="inlineStr">
        <is>
          <t>MOHAMAD ALI P</t>
        </is>
      </c>
      <c r="D560" s="127" t="inlineStr">
        <is>
          <t>PRODUCTION</t>
        </is>
      </c>
      <c r="E560" s="129" t="inlineStr">
        <is>
          <t>TYRE BUILDING-P2</t>
        </is>
      </c>
      <c r="F560" s="130" t="n">
        <v>42188</v>
      </c>
      <c r="G560" s="131">
        <f>NOW()-F560</f>
        <v/>
      </c>
      <c r="H560" s="104" t="inlineStr">
        <is>
          <t>O</t>
        </is>
      </c>
      <c r="I560" s="104" t="inlineStr">
        <is>
          <t>O</t>
        </is>
      </c>
      <c r="J560" s="104" t="n">
        <v>9</v>
      </c>
      <c r="K560" s="104" t="n">
        <v>9</v>
      </c>
      <c r="L560" s="104" t="n">
        <v>5</v>
      </c>
      <c r="M560" s="104" t="n">
        <v>9</v>
      </c>
      <c r="N560" s="104" t="n"/>
      <c r="O560" s="104">
        <f>SUM(J560:N560)</f>
        <v/>
      </c>
      <c r="P560" s="12">
        <f>O560/IF(H560="L",20,IF(H560="U",30,IF(H560="O",40,IF(H560="I",20,""))))</f>
        <v/>
      </c>
      <c r="Q560" s="132">
        <f>IF(AND(H560="L", P560&gt;=50%), "Pass",
IF(AND(H560="U", P560&gt;=60%), "Pass",
IF(AND(H560="O", P560&gt;=75%), "Pass", "Fail")))</f>
        <v/>
      </c>
      <c r="R560" s="104" t="n"/>
      <c r="S560" s="104" t="n">
        <v>11</v>
      </c>
      <c r="T560" s="104" t="n">
        <v>10</v>
      </c>
      <c r="U560" s="104">
        <f>SUM(S560:T560)</f>
        <v/>
      </c>
      <c r="V560" s="12">
        <f>U560/IF(H560="L",35,IF(H560="U",35,IF(H560="O",35,IF(H560="I",35,""))))</f>
        <v/>
      </c>
      <c r="W560" s="132">
        <f>IF(AND(H560="L", V560&gt;=50%), "Pass",
IF(AND(H560="U", V560&gt;=60%), "Pass",
IF(AND(H560="O", V560&gt;=75%), "Pass", "Fail")))</f>
        <v/>
      </c>
      <c r="X560" s="132">
        <f>IF(AND(Q560="Pass", W560="Pass"), "Pass", "Fail")</f>
        <v/>
      </c>
      <c r="Y560" s="15">
        <f>IF($X560="Pass",$H560,
IF(H560="L","I",
IF(H560="U","L",
IF(H560="O","U",
"I"))))</f>
        <v/>
      </c>
    </row>
    <row r="561">
      <c r="A561" s="147">
        <f>ROW()-2</f>
        <v/>
      </c>
      <c r="B561" s="127" t="inlineStr">
        <is>
          <t>PK0689</t>
        </is>
      </c>
      <c r="C561" s="128" t="inlineStr">
        <is>
          <t>KARTHICK V</t>
        </is>
      </c>
      <c r="D561" s="127" t="inlineStr">
        <is>
          <t>PRODUCTION</t>
        </is>
      </c>
      <c r="E561" s="129" t="inlineStr">
        <is>
          <t>BEAD WINDING</t>
        </is>
      </c>
      <c r="F561" s="130" t="n">
        <v>42191</v>
      </c>
      <c r="G561" s="131">
        <f>NOW()-F561</f>
        <v/>
      </c>
      <c r="H561" s="104" t="inlineStr">
        <is>
          <t>O</t>
        </is>
      </c>
      <c r="I561" s="104" t="inlineStr">
        <is>
          <t>O</t>
        </is>
      </c>
      <c r="J561" s="104" t="n">
        <v>8</v>
      </c>
      <c r="K561" s="104" t="n">
        <v>9</v>
      </c>
      <c r="L561" s="104" t="n">
        <v>7</v>
      </c>
      <c r="M561" s="104" t="n">
        <v>8</v>
      </c>
      <c r="N561" s="104" t="n"/>
      <c r="O561" s="104">
        <f>SUM(J561:N561)</f>
        <v/>
      </c>
      <c r="P561" s="12">
        <f>O561/IF(H561="L",20,IF(H561="U",30,IF(H561="O",40,IF(H561="I",20,""))))</f>
        <v/>
      </c>
      <c r="Q561" s="132">
        <f>IF(AND(H561="L", P561&gt;=50%), "Pass",
IF(AND(H561="U", P561&gt;=60%), "Pass",
IF(AND(H561="O", P561&gt;=75%), "Pass", "Fail")))</f>
        <v/>
      </c>
      <c r="R561" s="104" t="n"/>
      <c r="S561" s="104" t="n">
        <v>16</v>
      </c>
      <c r="T561" s="104" t="n">
        <v>12</v>
      </c>
      <c r="U561" s="104">
        <f>SUM(S561:T561)</f>
        <v/>
      </c>
      <c r="V561" s="12">
        <f>U561/IF(H561="L",35,IF(H561="U",35,IF(H561="O",35,IF(H561="I",35,""))))</f>
        <v/>
      </c>
      <c r="W561" s="132">
        <f>IF(AND(H561="L", V561&gt;=50%), "Pass",
IF(AND(H561="U", V561&gt;=60%), "Pass",
IF(AND(H561="O", V561&gt;=75%), "Pass", "Fail")))</f>
        <v/>
      </c>
      <c r="X561" s="132">
        <f>IF(AND(Q561="Pass", W561="Pass"), "Pass", "Fail")</f>
        <v/>
      </c>
      <c r="Y561" s="15">
        <f>IF($X561="Pass",$H561,
IF(H561="L","I",
IF(H561="U","L",
IF(H561="O","U",
"I"))))</f>
        <v/>
      </c>
    </row>
    <row r="562">
      <c r="A562" s="147">
        <f>ROW()-2</f>
        <v/>
      </c>
      <c r="B562" s="127" t="inlineStr">
        <is>
          <t>SK2408</t>
        </is>
      </c>
      <c r="C562" s="128" t="inlineStr">
        <is>
          <t>MAHARAJAN R</t>
        </is>
      </c>
      <c r="D562" s="127" t="inlineStr">
        <is>
          <t>PRODUCTION</t>
        </is>
      </c>
      <c r="E562" s="129" t="inlineStr">
        <is>
          <t>BAND BUILDING-P2</t>
        </is>
      </c>
      <c r="F562" s="130" t="n">
        <v>42191</v>
      </c>
      <c r="G562" s="131">
        <f>NOW()-F562</f>
        <v/>
      </c>
      <c r="H562" s="104" t="inlineStr">
        <is>
          <t>O</t>
        </is>
      </c>
      <c r="I562" s="104" t="inlineStr">
        <is>
          <t>U</t>
        </is>
      </c>
      <c r="J562" s="104" t="n">
        <v>8</v>
      </c>
      <c r="K562" s="104" t="n">
        <v>5</v>
      </c>
      <c r="L562" s="104" t="n">
        <v>6</v>
      </c>
      <c r="M562" s="104" t="n">
        <v>2</v>
      </c>
      <c r="N562" s="104" t="n"/>
      <c r="O562" s="104">
        <f>SUM(J562:N562)</f>
        <v/>
      </c>
      <c r="P562" s="12">
        <f>O562/IF(H562="L",20,IF(H562="U",30,IF(H562="O",40,IF(H562="I",20,""))))</f>
        <v/>
      </c>
      <c r="Q562" s="132">
        <f>IF(AND(H562="L", P562&gt;=50%), "Pass",
IF(AND(H562="U", P562&gt;=60%), "Pass",
IF(AND(H562="O", P562&gt;=75%), "Pass", "Fail")))</f>
        <v/>
      </c>
      <c r="R562" s="104" t="n"/>
      <c r="S562" s="104" t="n">
        <v>13</v>
      </c>
      <c r="T562" s="104" t="n">
        <v>11</v>
      </c>
      <c r="U562" s="104">
        <f>SUM(S562:T562)</f>
        <v/>
      </c>
      <c r="V562" s="12">
        <f>U562/IF(H562="L",35,IF(H562="U",35,IF(H562="O",35,IF(H562="I",35,""))))</f>
        <v/>
      </c>
      <c r="W562" s="132">
        <f>IF(AND(H562="L", V562&gt;=50%), "Pass",
IF(AND(H562="U", V562&gt;=60%), "Pass",
IF(AND(H562="O", V562&gt;=75%), "Pass", "Fail")))</f>
        <v/>
      </c>
      <c r="X562" s="132">
        <f>IF(AND(Q562="Pass", W562="Pass"), "Pass", "Fail")</f>
        <v/>
      </c>
      <c r="Y562" s="15">
        <f>IF($X562="Pass",$H562,
IF(H562="L","I",
IF(H562="U","L",
IF(H562="O","U",
"I"))))</f>
        <v/>
      </c>
    </row>
    <row r="563">
      <c r="A563" s="147">
        <f>ROW()-2</f>
        <v/>
      </c>
      <c r="B563" s="127" t="inlineStr">
        <is>
          <t>SK2319</t>
        </is>
      </c>
      <c r="C563" s="128" t="inlineStr">
        <is>
          <t>RAMACHANDRAN A</t>
        </is>
      </c>
      <c r="D563" s="127" t="inlineStr">
        <is>
          <t>PRODUCTION</t>
        </is>
      </c>
      <c r="E563" s="129" t="inlineStr">
        <is>
          <t>BAND BUILDING-P2</t>
        </is>
      </c>
      <c r="F563" s="130" t="n">
        <v>42203</v>
      </c>
      <c r="G563" s="131">
        <f>NOW()-F563</f>
        <v/>
      </c>
      <c r="H563" s="104" t="inlineStr">
        <is>
          <t>O</t>
        </is>
      </c>
      <c r="I563" s="104" t="inlineStr">
        <is>
          <t>U</t>
        </is>
      </c>
      <c r="J563" s="104" t="n">
        <v>9</v>
      </c>
      <c r="K563" s="104" t="n">
        <v>9</v>
      </c>
      <c r="L563" s="104" t="n">
        <v>8</v>
      </c>
      <c r="M563" s="104" t="n">
        <v>8</v>
      </c>
      <c r="N563" s="104" t="n"/>
      <c r="O563" s="104">
        <f>SUM(J563:N563)</f>
        <v/>
      </c>
      <c r="P563" s="12">
        <f>O563/IF(H563="L",20,IF(H563="U",30,IF(H563="O",40,IF(H563="I",20,""))))</f>
        <v/>
      </c>
      <c r="Q563" s="132">
        <f>IF(AND(H563="L", P563&gt;=50%), "Pass",
IF(AND(H563="U", P563&gt;=60%), "Pass",
IF(AND(H563="O", P563&gt;=75%), "Pass", "Fail")))</f>
        <v/>
      </c>
      <c r="R563" s="104" t="n"/>
      <c r="S563" s="104" t="n">
        <v>16</v>
      </c>
      <c r="T563" s="104" t="n">
        <v>12</v>
      </c>
      <c r="U563" s="104">
        <f>SUM(S563:T563)</f>
        <v/>
      </c>
      <c r="V563" s="12">
        <f>U563/IF(H563="L",35,IF(H563="U",35,IF(H563="O",35,IF(H563="I",35,""))))</f>
        <v/>
      </c>
      <c r="W563" s="132">
        <f>IF(AND(H563="L", V563&gt;=50%), "Pass",
IF(AND(H563="U", V563&gt;=60%), "Pass",
IF(AND(H563="O", V563&gt;=75%), "Pass", "Fail")))</f>
        <v/>
      </c>
      <c r="X563" s="132">
        <f>IF(AND(Q563="Pass", W563="Pass"), "Pass", "Fail")</f>
        <v/>
      </c>
      <c r="Y563" s="15">
        <f>IF($X563="Pass",$H563,
IF(H563="L","I",
IF(H563="U","L",
IF(H563="O","U",
"I"))))</f>
        <v/>
      </c>
    </row>
    <row r="564">
      <c r="A564" s="147">
        <f>ROW()-2</f>
        <v/>
      </c>
      <c r="B564" s="127" t="inlineStr">
        <is>
          <t>KK0405</t>
        </is>
      </c>
      <c r="C564" s="128" t="inlineStr">
        <is>
          <t>PACKIYARAJ A</t>
        </is>
      </c>
      <c r="D564" s="127" t="inlineStr">
        <is>
          <t>PRODUCTION</t>
        </is>
      </c>
      <c r="E564" s="129" t="inlineStr">
        <is>
          <t>TYRE CURING</t>
        </is>
      </c>
      <c r="F564" s="130" t="n">
        <v>42205</v>
      </c>
      <c r="G564" s="131">
        <f>NOW()-F564</f>
        <v/>
      </c>
      <c r="H564" s="104" t="inlineStr">
        <is>
          <t>O</t>
        </is>
      </c>
      <c r="I564" s="104" t="inlineStr">
        <is>
          <t>U</t>
        </is>
      </c>
      <c r="J564" s="104" t="n">
        <v>8</v>
      </c>
      <c r="K564" s="104" t="n">
        <v>9</v>
      </c>
      <c r="L564" s="104" t="n">
        <v>8</v>
      </c>
      <c r="M564" s="104" t="n">
        <v>5</v>
      </c>
      <c r="N564" s="104" t="n"/>
      <c r="O564" s="104">
        <f>SUM(J564:N564)</f>
        <v/>
      </c>
      <c r="P564" s="12">
        <f>O564/IF(H564="L",20,IF(H564="U",30,IF(H564="O",40,IF(H564="I",20,""))))</f>
        <v/>
      </c>
      <c r="Q564" s="132">
        <f>IF(AND(H564="L", P564&gt;=50%), "Pass",
IF(AND(H564="U", P564&gt;=60%), "Pass",
IF(AND(H564="O", P564&gt;=75%), "Pass", "Fail")))</f>
        <v/>
      </c>
      <c r="R564" s="104" t="n"/>
      <c r="S564" s="104" t="n">
        <v>14</v>
      </c>
      <c r="T564" s="104" t="n">
        <v>10</v>
      </c>
      <c r="U564" s="104">
        <f>SUM(S564:T564)</f>
        <v/>
      </c>
      <c r="V564" s="12">
        <f>U564/IF(H564="L",35,IF(H564="U",35,IF(H564="O",35,IF(H564="I",35,""))))</f>
        <v/>
      </c>
      <c r="W564" s="132">
        <f>IF(AND(H564="L", V564&gt;=50%), "Pass",
IF(AND(H564="U", V564&gt;=60%), "Pass",
IF(AND(H564="O", V564&gt;=75%), "Pass", "Fail")))</f>
        <v/>
      </c>
      <c r="X564" s="132">
        <f>IF(AND(Q564="Pass", W564="Pass"), "Pass", "Fail")</f>
        <v/>
      </c>
      <c r="Y564" s="15">
        <f>IF($X564="Pass",$H564,
IF(H564="L","I",
IF(H564="U","L",
IF(H564="O","U",
"I"))))</f>
        <v/>
      </c>
    </row>
    <row r="565">
      <c r="A565" s="147">
        <f>ROW()-2</f>
        <v/>
      </c>
      <c r="B565" s="127" t="inlineStr">
        <is>
          <t>SK1868</t>
        </is>
      </c>
      <c r="C565" s="128" t="inlineStr">
        <is>
          <t>RAJU R</t>
        </is>
      </c>
      <c r="D565" s="127" t="inlineStr">
        <is>
          <t>PRODUCTION</t>
        </is>
      </c>
      <c r="E565" s="129" t="inlineStr">
        <is>
          <t>SOLID TYRE</t>
        </is>
      </c>
      <c r="F565" s="130" t="n">
        <v>42205</v>
      </c>
      <c r="G565" s="131">
        <f>NOW()-F565</f>
        <v/>
      </c>
      <c r="H565" s="104" t="inlineStr">
        <is>
          <t>O</t>
        </is>
      </c>
      <c r="I565" s="104" t="inlineStr">
        <is>
          <t>O</t>
        </is>
      </c>
      <c r="J565" s="104" t="n">
        <v>8</v>
      </c>
      <c r="K565" s="104" t="n">
        <v>8</v>
      </c>
      <c r="L565" s="104" t="n">
        <v>9</v>
      </c>
      <c r="M565" s="104" t="n">
        <v>7</v>
      </c>
      <c r="N565" s="104" t="n"/>
      <c r="O565" s="104">
        <f>SUM(J565:N565)</f>
        <v/>
      </c>
      <c r="P565" s="12">
        <f>O565/IF(H565="L",20,IF(H565="U",30,IF(H565="O",40,IF(H565="I",20,""))))</f>
        <v/>
      </c>
      <c r="Q565" s="132">
        <f>IF(AND(H565="L", P565&gt;=50%), "Pass",
IF(AND(H565="U", P565&gt;=60%), "Pass",
IF(AND(H565="O", P565&gt;=75%), "Pass", "Fail")))</f>
        <v/>
      </c>
      <c r="R565" s="104" t="n"/>
      <c r="S565" s="104" t="n">
        <v>19</v>
      </c>
      <c r="T565" s="104" t="n">
        <v>15</v>
      </c>
      <c r="U565" s="104">
        <f>SUM(S565:T565)</f>
        <v/>
      </c>
      <c r="V565" s="12">
        <f>U565/IF(H565="L",35,IF(H565="U",35,IF(H565="O",35,IF(H565="I",35,""))))</f>
        <v/>
      </c>
      <c r="W565" s="132">
        <f>IF(AND(H565="L", V565&gt;=50%), "Pass",
IF(AND(H565="U", V565&gt;=60%), "Pass",
IF(AND(H565="O", V565&gt;=75%), "Pass", "Fail")))</f>
        <v/>
      </c>
      <c r="X565" s="132">
        <f>IF(AND(Q565="Pass", W565="Pass"), "Pass", "Fail")</f>
        <v/>
      </c>
      <c r="Y565" s="15">
        <f>IF($X565="Pass",$H565,
IF(H565="L","I",
IF(H565="U","L",
IF(H565="O","U",
"I"))))</f>
        <v/>
      </c>
    </row>
    <row r="566">
      <c r="A566" s="147">
        <f>ROW()-2</f>
        <v/>
      </c>
      <c r="B566" s="127" t="inlineStr">
        <is>
          <t>SK2399</t>
        </is>
      </c>
      <c r="C566" s="128" t="inlineStr">
        <is>
          <t>MARIAPPAN E</t>
        </is>
      </c>
      <c r="D566" s="127" t="inlineStr">
        <is>
          <t>PRODUCTION</t>
        </is>
      </c>
      <c r="E566" s="129" t="inlineStr">
        <is>
          <t>BIAS CUTTING-2</t>
        </is>
      </c>
      <c r="F566" s="130" t="n">
        <v>42205</v>
      </c>
      <c r="G566" s="131">
        <f>NOW()-F566</f>
        <v/>
      </c>
      <c r="H566" s="104" t="inlineStr">
        <is>
          <t>O</t>
        </is>
      </c>
      <c r="I566" s="104" t="inlineStr">
        <is>
          <t>O</t>
        </is>
      </c>
      <c r="J566" s="104" t="n">
        <v>9</v>
      </c>
      <c r="K566" s="104" t="n">
        <v>9</v>
      </c>
      <c r="L566" s="104" t="n">
        <v>8</v>
      </c>
      <c r="M566" s="104" t="n">
        <v>9</v>
      </c>
      <c r="N566" s="104" t="n"/>
      <c r="O566" s="104">
        <f>SUM(J566:N566)</f>
        <v/>
      </c>
      <c r="P566" s="12">
        <f>O566/IF(H566="L",20,IF(H566="U",30,IF(H566="O",40,IF(H566="I",20,""))))</f>
        <v/>
      </c>
      <c r="Q566" s="132">
        <f>IF(AND(H566="L", P566&gt;=50%), "Pass",
IF(AND(H566="U", P566&gt;=60%), "Pass",
IF(AND(H566="O", P566&gt;=75%), "Pass", "Fail")))</f>
        <v/>
      </c>
      <c r="R566" s="104" t="n"/>
      <c r="S566" s="104" t="n">
        <v>18</v>
      </c>
      <c r="T566" s="104" t="n">
        <v>13</v>
      </c>
      <c r="U566" s="104">
        <f>SUM(S566:T566)</f>
        <v/>
      </c>
      <c r="V566" s="12">
        <f>U566/IF(H566="L",35,IF(H566="U",35,IF(H566="O",35,IF(H566="I",35,""))))</f>
        <v/>
      </c>
      <c r="W566" s="132">
        <f>IF(AND(H566="L", V566&gt;=50%), "Pass",
IF(AND(H566="U", V566&gt;=60%), "Pass",
IF(AND(H566="O", V566&gt;=75%), "Pass", "Fail")))</f>
        <v/>
      </c>
      <c r="X566" s="132">
        <f>IF(AND(Q566="Pass", W566="Pass"), "Pass", "Fail")</f>
        <v/>
      </c>
      <c r="Y566" s="15">
        <f>IF($X566="Pass",$H566,
IF(H566="L","I",
IF(H566="U","L",
IF(H566="O","U",
"I"))))</f>
        <v/>
      </c>
    </row>
    <row r="567">
      <c r="A567" s="147">
        <f>ROW()-2</f>
        <v/>
      </c>
      <c r="B567" s="127" t="inlineStr">
        <is>
          <t>SR0364</t>
        </is>
      </c>
      <c r="C567" s="128" t="inlineStr">
        <is>
          <t>PRABAKARAN S</t>
        </is>
      </c>
      <c r="D567" s="127" t="inlineStr">
        <is>
          <t>PRODUCTION</t>
        </is>
      </c>
      <c r="E567" s="129" t="inlineStr">
        <is>
          <t>TYRE CURING</t>
        </is>
      </c>
      <c r="F567" s="130" t="n">
        <v>42207</v>
      </c>
      <c r="G567" s="131">
        <f>NOW()-F567</f>
        <v/>
      </c>
      <c r="H567" s="104" t="inlineStr">
        <is>
          <t>O</t>
        </is>
      </c>
      <c r="I567" s="104" t="inlineStr">
        <is>
          <t>U</t>
        </is>
      </c>
      <c r="J567" s="104" t="n">
        <v>9</v>
      </c>
      <c r="K567" s="104" t="n">
        <v>8</v>
      </c>
      <c r="L567" s="104" t="n">
        <v>8</v>
      </c>
      <c r="M567" s="104" t="n">
        <v>7</v>
      </c>
      <c r="N567" s="104" t="n"/>
      <c r="O567" s="104">
        <f>SUM(J567:N567)</f>
        <v/>
      </c>
      <c r="P567" s="12">
        <f>O567/IF(H567="L",20,IF(H567="U",30,IF(H567="O",40,IF(H567="I",20,""))))</f>
        <v/>
      </c>
      <c r="Q567" s="132">
        <f>IF(AND(H567="L", P567&gt;=50%), "Pass",
IF(AND(H567="U", P567&gt;=60%), "Pass",
IF(AND(H567="O", P567&gt;=75%), "Pass", "Fail")))</f>
        <v/>
      </c>
      <c r="R567" s="104" t="n"/>
      <c r="S567" s="104" t="n">
        <v>15</v>
      </c>
      <c r="T567" s="104" t="n">
        <v>14</v>
      </c>
      <c r="U567" s="104">
        <f>SUM(S567:T567)</f>
        <v/>
      </c>
      <c r="V567" s="12">
        <f>U567/IF(H567="L",35,IF(H567="U",35,IF(H567="O",35,IF(H567="I",35,""))))</f>
        <v/>
      </c>
      <c r="W567" s="132">
        <f>IF(AND(H567="L", V567&gt;=50%), "Pass",
IF(AND(H567="U", V567&gt;=60%), "Pass",
IF(AND(H567="O", V567&gt;=75%), "Pass", "Fail")))</f>
        <v/>
      </c>
      <c r="X567" s="132">
        <f>IF(AND(Q567="Pass", W567="Pass"), "Pass", "Fail")</f>
        <v/>
      </c>
      <c r="Y567" s="15">
        <f>IF($X567="Pass",$H567,
IF(H567="L","I",
IF(H567="U","L",
IF(H567="O","U",
"I"))))</f>
        <v/>
      </c>
    </row>
    <row r="568">
      <c r="A568" s="147">
        <f>ROW()-2</f>
        <v/>
      </c>
      <c r="B568" s="127" t="inlineStr">
        <is>
          <t>AK0354</t>
        </is>
      </c>
      <c r="C568" s="128" t="inlineStr">
        <is>
          <t>BAGAVATHI S</t>
        </is>
      </c>
      <c r="D568" s="127" t="inlineStr">
        <is>
          <t>PRODUCTION</t>
        </is>
      </c>
      <c r="E568" s="129" t="inlineStr">
        <is>
          <t>TYRE BUILDING-P3</t>
        </is>
      </c>
      <c r="F568" s="130" t="n">
        <v>42208</v>
      </c>
      <c r="G568" s="131">
        <f>NOW()-F568</f>
        <v/>
      </c>
      <c r="H568" s="104" t="inlineStr">
        <is>
          <t>O</t>
        </is>
      </c>
      <c r="I568" s="104" t="inlineStr">
        <is>
          <t>U</t>
        </is>
      </c>
      <c r="J568" s="104" t="n">
        <v>8</v>
      </c>
      <c r="K568" s="104" t="n">
        <v>10</v>
      </c>
      <c r="L568" s="104" t="n">
        <v>6</v>
      </c>
      <c r="M568" s="104" t="n">
        <v>6</v>
      </c>
      <c r="N568" s="104" t="n"/>
      <c r="O568" s="104">
        <f>SUM(J568:N568)</f>
        <v/>
      </c>
      <c r="P568" s="12">
        <f>O568/IF(H568="L",20,IF(H568="U",30,IF(H568="O",40,IF(H568="I",20,""))))</f>
        <v/>
      </c>
      <c r="Q568" s="132">
        <f>IF(AND(H568="L", P568&gt;=50%), "Pass",
IF(AND(H568="U", P568&gt;=60%), "Pass",
IF(AND(H568="O", P568&gt;=75%), "Pass", "Fail")))</f>
        <v/>
      </c>
      <c r="R568" s="104" t="n"/>
      <c r="S568" s="104" t="n">
        <v>19</v>
      </c>
      <c r="T568" s="104" t="n">
        <v>15</v>
      </c>
      <c r="U568" s="104">
        <f>SUM(S568:T568)</f>
        <v/>
      </c>
      <c r="V568" s="12">
        <f>U568/IF(H568="L",35,IF(H568="U",35,IF(H568="O",35,IF(H568="I",35,""))))</f>
        <v/>
      </c>
      <c r="W568" s="132">
        <f>IF(AND(H568="L", V568&gt;=50%), "Pass",
IF(AND(H568="U", V568&gt;=60%), "Pass",
IF(AND(H568="O", V568&gt;=75%), "Pass", "Fail")))</f>
        <v/>
      </c>
      <c r="X568" s="132">
        <f>IF(AND(Q568="Pass", W568="Pass"), "Pass", "Fail")</f>
        <v/>
      </c>
      <c r="Y568" s="15">
        <f>IF($X568="Pass",$H568,
IF(H568="L","I",
IF(H568="U","L",
IF(H568="O","U",
"I"))))</f>
        <v/>
      </c>
    </row>
    <row r="569">
      <c r="A569" s="147">
        <f>ROW()-2</f>
        <v/>
      </c>
      <c r="B569" s="127" t="inlineStr">
        <is>
          <t>MG0731</t>
        </is>
      </c>
      <c r="C569" s="128" t="inlineStr">
        <is>
          <t>ANANTHARAJ N</t>
        </is>
      </c>
      <c r="D569" s="127" t="inlineStr">
        <is>
          <t>PRODUCTION</t>
        </is>
      </c>
      <c r="E569" s="129" t="inlineStr">
        <is>
          <t>TYRE BUILDING-P2</t>
        </is>
      </c>
      <c r="F569" s="130" t="n">
        <v>42208</v>
      </c>
      <c r="G569" s="131">
        <f>NOW()-F569</f>
        <v/>
      </c>
      <c r="H569" s="104" t="inlineStr">
        <is>
          <t>O</t>
        </is>
      </c>
      <c r="I569" s="104" t="inlineStr">
        <is>
          <t>O</t>
        </is>
      </c>
      <c r="J569" s="104" t="n">
        <v>8</v>
      </c>
      <c r="K569" s="104" t="n">
        <v>8</v>
      </c>
      <c r="L569" s="104" t="n">
        <v>8</v>
      </c>
      <c r="M569" s="104" t="n">
        <v>8</v>
      </c>
      <c r="N569" s="104" t="n"/>
      <c r="O569" s="104">
        <f>SUM(J569:N569)</f>
        <v/>
      </c>
      <c r="P569" s="12">
        <f>O569/IF(H569="L",20,IF(H569="U",30,IF(H569="O",40,IF(H569="I",20,""))))</f>
        <v/>
      </c>
      <c r="Q569" s="132">
        <f>IF(AND(H569="L", P569&gt;=50%), "Pass",
IF(AND(H569="U", P569&gt;=60%), "Pass",
IF(AND(H569="O", P569&gt;=75%), "Pass", "Fail")))</f>
        <v/>
      </c>
      <c r="R569" s="104" t="n"/>
      <c r="S569" s="104" t="n">
        <v>13</v>
      </c>
      <c r="T569" s="104" t="n">
        <v>11</v>
      </c>
      <c r="U569" s="104">
        <f>SUM(S569:T569)</f>
        <v/>
      </c>
      <c r="V569" s="12">
        <f>U569/IF(H569="L",35,IF(H569="U",35,IF(H569="O",35,IF(H569="I",35,""))))</f>
        <v/>
      </c>
      <c r="W569" s="132">
        <f>IF(AND(H569="L", V569&gt;=50%), "Pass",
IF(AND(H569="U", V569&gt;=60%), "Pass",
IF(AND(H569="O", V569&gt;=75%), "Pass", "Fail")))</f>
        <v/>
      </c>
      <c r="X569" s="132">
        <f>IF(AND(Q569="Pass", W569="Pass"), "Pass", "Fail")</f>
        <v/>
      </c>
      <c r="Y569" s="15">
        <f>IF($X569="Pass",$H569,
IF(H569="L","I",
IF(H569="U","L",
IF(H569="O","U",
"I"))))</f>
        <v/>
      </c>
    </row>
    <row r="570">
      <c r="A570" s="147">
        <f>ROW()-2</f>
        <v/>
      </c>
      <c r="B570" s="127" t="inlineStr">
        <is>
          <t>SK2401</t>
        </is>
      </c>
      <c r="C570" s="128" t="inlineStr">
        <is>
          <t>SUDALAI PANDI A</t>
        </is>
      </c>
      <c r="D570" s="127" t="inlineStr">
        <is>
          <t>PRODUCTION</t>
        </is>
      </c>
      <c r="E570" s="129" t="inlineStr">
        <is>
          <t>TYRE CURING</t>
        </is>
      </c>
      <c r="F570" s="130" t="n">
        <v>42208</v>
      </c>
      <c r="G570" s="131">
        <f>NOW()-F570</f>
        <v/>
      </c>
      <c r="H570" s="104" t="inlineStr">
        <is>
          <t>O</t>
        </is>
      </c>
      <c r="I570" s="104" t="inlineStr">
        <is>
          <t>O</t>
        </is>
      </c>
      <c r="J570" s="104" t="n">
        <v>9</v>
      </c>
      <c r="K570" s="104" t="n">
        <v>6</v>
      </c>
      <c r="L570" s="104" t="n">
        <v>7</v>
      </c>
      <c r="M570" s="104" t="n">
        <v>4</v>
      </c>
      <c r="N570" s="104" t="n"/>
      <c r="O570" s="104">
        <f>SUM(J570:N570)</f>
        <v/>
      </c>
      <c r="P570" s="12">
        <f>O570/IF(H570="L",20,IF(H570="U",30,IF(H570="O",40,IF(H570="I",20,""))))</f>
        <v/>
      </c>
      <c r="Q570" s="132">
        <f>IF(AND(H570="L", P570&gt;=50%), "Pass",
IF(AND(H570="U", P570&gt;=60%), "Pass",
IF(AND(H570="O", P570&gt;=75%), "Pass", "Fail")))</f>
        <v/>
      </c>
      <c r="R570" s="104" t="n"/>
      <c r="S570" s="104" t="n">
        <v>12</v>
      </c>
      <c r="T570" s="104" t="n">
        <v>9</v>
      </c>
      <c r="U570" s="104">
        <f>SUM(S570:T570)</f>
        <v/>
      </c>
      <c r="V570" s="12">
        <f>U570/IF(H570="L",35,IF(H570="U",35,IF(H570="O",35,IF(H570="I",35,""))))</f>
        <v/>
      </c>
      <c r="W570" s="132">
        <f>IF(AND(H570="L", V570&gt;=50%), "Pass",
IF(AND(H570="U", V570&gt;=60%), "Pass",
IF(AND(H570="O", V570&gt;=75%), "Pass", "Fail")))</f>
        <v/>
      </c>
      <c r="X570" s="132">
        <f>IF(AND(Q570="Pass", W570="Pass"), "Pass", "Fail")</f>
        <v/>
      </c>
      <c r="Y570" s="15">
        <f>IF($X570="Pass",$H570,
IF(H570="L","I",
IF(H570="U","L",
IF(H570="O","U",
"I"))))</f>
        <v/>
      </c>
    </row>
    <row r="571">
      <c r="A571" s="147">
        <f>ROW()-2</f>
        <v/>
      </c>
      <c r="B571" s="127" t="inlineStr">
        <is>
          <t>MG0733</t>
        </is>
      </c>
      <c r="C571" s="128" t="inlineStr">
        <is>
          <t>RAMAMOORTHY G</t>
        </is>
      </c>
      <c r="D571" s="127" t="inlineStr">
        <is>
          <t>PRODUCTION</t>
        </is>
      </c>
      <c r="E571" s="129" t="inlineStr">
        <is>
          <t>TYRE BUILDING-P1</t>
        </is>
      </c>
      <c r="F571" s="130" t="n">
        <v>42209</v>
      </c>
      <c r="G571" s="131">
        <f>NOW()-F571</f>
        <v/>
      </c>
      <c r="H571" s="104" t="inlineStr">
        <is>
          <t>O</t>
        </is>
      </c>
      <c r="I571" s="104" t="inlineStr">
        <is>
          <t>U</t>
        </is>
      </c>
      <c r="J571" s="104" t="n">
        <v>9</v>
      </c>
      <c r="K571" s="104" t="n">
        <v>8</v>
      </c>
      <c r="L571" s="104" t="n">
        <v>6</v>
      </c>
      <c r="M571" s="104" t="n">
        <v>7</v>
      </c>
      <c r="N571" s="104" t="n"/>
      <c r="O571" s="104">
        <f>SUM(J571:N571)</f>
        <v/>
      </c>
      <c r="P571" s="12">
        <f>O571/IF(H571="L",20,IF(H571="U",30,IF(H571="O",40,IF(H571="I",20,""))))</f>
        <v/>
      </c>
      <c r="Q571" s="132">
        <f>IF(AND(H571="L", P571&gt;=50%), "Pass",
IF(AND(H571="U", P571&gt;=60%), "Pass",
IF(AND(H571="O", P571&gt;=75%), "Pass", "Fail")))</f>
        <v/>
      </c>
      <c r="R571" s="104" t="n"/>
      <c r="S571" s="104" t="n">
        <v>15</v>
      </c>
      <c r="T571" s="104" t="n">
        <v>15</v>
      </c>
      <c r="U571" s="104">
        <f>SUM(S571:T571)</f>
        <v/>
      </c>
      <c r="V571" s="12">
        <f>U571/IF(H571="L",35,IF(H571="U",35,IF(H571="O",35,IF(H571="I",35,""))))</f>
        <v/>
      </c>
      <c r="W571" s="132">
        <f>IF(AND(H571="L", V571&gt;=50%), "Pass",
IF(AND(H571="U", V571&gt;=60%), "Pass",
IF(AND(H571="O", V571&gt;=75%), "Pass", "Fail")))</f>
        <v/>
      </c>
      <c r="X571" s="132">
        <f>IF(AND(Q571="Pass", W571="Pass"), "Pass", "Fail")</f>
        <v/>
      </c>
      <c r="Y571" s="15">
        <f>IF($X571="Pass",$H571,
IF(H571="L","I",
IF(H571="U","L",
IF(H571="O","U",
"I"))))</f>
        <v/>
      </c>
    </row>
    <row r="572">
      <c r="A572" s="147">
        <f>ROW()-2</f>
        <v/>
      </c>
      <c r="B572" s="127" t="inlineStr">
        <is>
          <t>PK0363</t>
        </is>
      </c>
      <c r="C572" s="128" t="inlineStr">
        <is>
          <t>BAL ALIAS KALANGARAIYAN K</t>
        </is>
      </c>
      <c r="D572" s="127" t="inlineStr">
        <is>
          <t>PRODUCTION</t>
        </is>
      </c>
      <c r="E572" s="129" t="inlineStr">
        <is>
          <t>BEAD WINDING</t>
        </is>
      </c>
      <c r="F572" s="130" t="n">
        <v>42209</v>
      </c>
      <c r="G572" s="131">
        <f>NOW()-F572</f>
        <v/>
      </c>
      <c r="H572" s="104" t="inlineStr">
        <is>
          <t>O</t>
        </is>
      </c>
      <c r="I572" s="104" t="inlineStr">
        <is>
          <t>U</t>
        </is>
      </c>
      <c r="J572" s="104" t="n">
        <v>8</v>
      </c>
      <c r="K572" s="104" t="n">
        <v>7</v>
      </c>
      <c r="L572" s="104" t="n">
        <v>7</v>
      </c>
      <c r="M572" s="104" t="n">
        <v>6</v>
      </c>
      <c r="N572" s="104" t="n"/>
      <c r="O572" s="104">
        <f>SUM(J572:N572)</f>
        <v/>
      </c>
      <c r="P572" s="12">
        <f>O572/IF(H572="L",20,IF(H572="U",30,IF(H572="O",40,IF(H572="I",20,""))))</f>
        <v/>
      </c>
      <c r="Q572" s="132">
        <f>IF(AND(H572="L", P572&gt;=50%), "Pass",
IF(AND(H572="U", P572&gt;=60%), "Pass",
IF(AND(H572="O", P572&gt;=75%), "Pass", "Fail")))</f>
        <v/>
      </c>
      <c r="R572" s="104" t="n"/>
      <c r="S572" s="104" t="n">
        <v>16</v>
      </c>
      <c r="T572" s="104" t="n">
        <v>6</v>
      </c>
      <c r="U572" s="104">
        <f>SUM(S572:T572)</f>
        <v/>
      </c>
      <c r="V572" s="12">
        <f>U572/IF(H572="L",35,IF(H572="U",35,IF(H572="O",35,IF(H572="I",35,""))))</f>
        <v/>
      </c>
      <c r="W572" s="132">
        <f>IF(AND(H572="L", V572&gt;=50%), "Pass",
IF(AND(H572="U", V572&gt;=60%), "Pass",
IF(AND(H572="O", V572&gt;=75%), "Pass", "Fail")))</f>
        <v/>
      </c>
      <c r="X572" s="132">
        <f>IF(AND(Q572="Pass", W572="Pass"), "Pass", "Fail")</f>
        <v/>
      </c>
      <c r="Y572" s="15">
        <f>IF($X572="Pass",$H572,
IF(H572="L","I",
IF(H572="U","L",
IF(H572="O","U",
"I"))))</f>
        <v/>
      </c>
    </row>
    <row r="573">
      <c r="A573" s="147">
        <f>ROW()-2</f>
        <v/>
      </c>
      <c r="B573" s="127" t="inlineStr">
        <is>
          <t>PK0816</t>
        </is>
      </c>
      <c r="C573" s="128" t="inlineStr">
        <is>
          <t>SELVAN S</t>
        </is>
      </c>
      <c r="D573" s="127" t="inlineStr">
        <is>
          <t>PRODUCTION</t>
        </is>
      </c>
      <c r="E573" s="129" t="inlineStr">
        <is>
          <t>TYRE CURING</t>
        </is>
      </c>
      <c r="F573" s="130" t="n">
        <v>42209</v>
      </c>
      <c r="G573" s="131">
        <f>NOW()-F573</f>
        <v/>
      </c>
      <c r="H573" s="104" t="inlineStr">
        <is>
          <t>O</t>
        </is>
      </c>
      <c r="I573" s="104" t="inlineStr">
        <is>
          <t>U</t>
        </is>
      </c>
      <c r="J573" s="104" t="n">
        <v>9</v>
      </c>
      <c r="K573" s="104" t="n">
        <v>9</v>
      </c>
      <c r="L573" s="104" t="n">
        <v>9</v>
      </c>
      <c r="M573" s="104" t="n">
        <v>8</v>
      </c>
      <c r="N573" s="104" t="n"/>
      <c r="O573" s="104">
        <f>SUM(J573:N573)</f>
        <v/>
      </c>
      <c r="P573" s="12">
        <f>O573/IF(H573="L",20,IF(H573="U",30,IF(H573="O",40,IF(H573="I",20,""))))</f>
        <v/>
      </c>
      <c r="Q573" s="132">
        <f>IF(AND(H573="L", P573&gt;=50%), "Pass",
IF(AND(H573="U", P573&gt;=60%), "Pass",
IF(AND(H573="O", P573&gt;=75%), "Pass", "Fail")))</f>
        <v/>
      </c>
      <c r="R573" s="104" t="n"/>
      <c r="S573" s="104" t="n">
        <v>12</v>
      </c>
      <c r="T573" s="104" t="n">
        <v>7</v>
      </c>
      <c r="U573" s="104">
        <f>SUM(S573:T573)</f>
        <v/>
      </c>
      <c r="V573" s="12">
        <f>U573/IF(H573="L",35,IF(H573="U",35,IF(H573="O",35,IF(H573="I",35,""))))</f>
        <v/>
      </c>
      <c r="W573" s="132">
        <f>IF(AND(H573="L", V573&gt;=50%), "Pass",
IF(AND(H573="U", V573&gt;=60%), "Pass",
IF(AND(H573="O", V573&gt;=75%), "Pass", "Fail")))</f>
        <v/>
      </c>
      <c r="X573" s="132">
        <f>IF(AND(Q573="Pass", W573="Pass"), "Pass", "Fail")</f>
        <v/>
      </c>
      <c r="Y573" s="15">
        <f>IF($X573="Pass",$H573,
IF(H573="L","I",
IF(H573="U","L",
IF(H573="O","U",
"I"))))</f>
        <v/>
      </c>
    </row>
    <row r="574">
      <c r="A574" s="147">
        <f>ROW()-2</f>
        <v/>
      </c>
      <c r="B574" s="127" t="inlineStr">
        <is>
          <t>AK0358</t>
        </is>
      </c>
      <c r="C574" s="128" t="inlineStr">
        <is>
          <t>SANKARA PANDIAN G</t>
        </is>
      </c>
      <c r="D574" s="127" t="inlineStr">
        <is>
          <t>PRODUCTION</t>
        </is>
      </c>
      <c r="E574" s="129" t="inlineStr">
        <is>
          <t>TYRE CURING</t>
        </is>
      </c>
      <c r="F574" s="130" t="n">
        <v>42212</v>
      </c>
      <c r="G574" s="131">
        <f>NOW()-F574</f>
        <v/>
      </c>
      <c r="H574" s="104" t="inlineStr">
        <is>
          <t>O</t>
        </is>
      </c>
      <c r="I574" s="104" t="inlineStr">
        <is>
          <t>O</t>
        </is>
      </c>
      <c r="J574" s="104" t="n">
        <v>9</v>
      </c>
      <c r="K574" s="104" t="n">
        <v>9</v>
      </c>
      <c r="L574" s="104" t="n">
        <v>9</v>
      </c>
      <c r="M574" s="104" t="n">
        <v>8</v>
      </c>
      <c r="N574" s="104" t="n"/>
      <c r="O574" s="104">
        <f>SUM(J574:N574)</f>
        <v/>
      </c>
      <c r="P574" s="12">
        <f>O574/IF(H574="L",20,IF(H574="U",30,IF(H574="O",40,IF(H574="I",20,""))))</f>
        <v/>
      </c>
      <c r="Q574" s="132">
        <f>IF(AND(H574="L", P574&gt;=50%), "Pass",
IF(AND(H574="U", P574&gt;=60%), "Pass",
IF(AND(H574="O", P574&gt;=75%), "Pass", "Fail")))</f>
        <v/>
      </c>
      <c r="R574" s="104" t="n"/>
      <c r="S574" s="104" t="n">
        <v>15</v>
      </c>
      <c r="T574" s="104" t="n">
        <v>12</v>
      </c>
      <c r="U574" s="104">
        <f>SUM(S574:T574)</f>
        <v/>
      </c>
      <c r="V574" s="12">
        <f>U574/IF(H574="L",35,IF(H574="U",35,IF(H574="O",35,IF(H574="I",35,""))))</f>
        <v/>
      </c>
      <c r="W574" s="132">
        <f>IF(AND(H574="L", V574&gt;=50%), "Pass",
IF(AND(H574="U", V574&gt;=60%), "Pass",
IF(AND(H574="O", V574&gt;=75%), "Pass", "Fail")))</f>
        <v/>
      </c>
      <c r="X574" s="132">
        <f>IF(AND(Q574="Pass", W574="Pass"), "Pass", "Fail")</f>
        <v/>
      </c>
      <c r="Y574" s="15">
        <f>IF($X574="Pass",$H574,
IF(H574="L","I",
IF(H574="U","L",
IF(H574="O","U",
"I"))))</f>
        <v/>
      </c>
    </row>
    <row r="575">
      <c r="A575" s="147">
        <f>ROW()-2</f>
        <v/>
      </c>
      <c r="B575" s="127" t="inlineStr">
        <is>
          <t>SK1895</t>
        </is>
      </c>
      <c r="C575" s="128" t="inlineStr">
        <is>
          <t>PRASANTH M</t>
        </is>
      </c>
      <c r="D575" s="127" t="inlineStr">
        <is>
          <t>PRODUCTION</t>
        </is>
      </c>
      <c r="E575" s="129" t="inlineStr">
        <is>
          <t>BAND BUILDING-P1</t>
        </is>
      </c>
      <c r="F575" s="130" t="n">
        <v>42212</v>
      </c>
      <c r="G575" s="131">
        <f>NOW()-F575</f>
        <v/>
      </c>
      <c r="H575" s="104" t="inlineStr">
        <is>
          <t>O</t>
        </is>
      </c>
      <c r="I575" s="104" t="inlineStr">
        <is>
          <t>O</t>
        </is>
      </c>
      <c r="J575" s="104" t="n">
        <v>10</v>
      </c>
      <c r="K575" s="104" t="n">
        <v>9</v>
      </c>
      <c r="L575" s="104" t="n">
        <v>7</v>
      </c>
      <c r="M575" s="104" t="n">
        <v>7</v>
      </c>
      <c r="N575" s="104" t="n"/>
      <c r="O575" s="104">
        <f>SUM(J575:N575)</f>
        <v/>
      </c>
      <c r="P575" s="12">
        <f>O575/IF(H575="L",20,IF(H575="U",30,IF(H575="O",40,IF(H575="I",20,""))))</f>
        <v/>
      </c>
      <c r="Q575" s="132">
        <f>IF(AND(H575="L", P575&gt;=50%), "Pass",
IF(AND(H575="U", P575&gt;=60%), "Pass",
IF(AND(H575="O", P575&gt;=75%), "Pass", "Fail")))</f>
        <v/>
      </c>
      <c r="R575" s="104" t="n"/>
      <c r="S575" s="104" t="n">
        <v>17</v>
      </c>
      <c r="T575" s="104" t="n">
        <v>15</v>
      </c>
      <c r="U575" s="104">
        <f>SUM(S575:T575)</f>
        <v/>
      </c>
      <c r="V575" s="12">
        <f>U575/IF(H575="L",35,IF(H575="U",35,IF(H575="O",35,IF(H575="I",35,""))))</f>
        <v/>
      </c>
      <c r="W575" s="132">
        <f>IF(AND(H575="L", V575&gt;=50%), "Pass",
IF(AND(H575="U", V575&gt;=60%), "Pass",
IF(AND(H575="O", V575&gt;=75%), "Pass", "Fail")))</f>
        <v/>
      </c>
      <c r="X575" s="132">
        <f>IF(AND(Q575="Pass", W575="Pass"), "Pass", "Fail")</f>
        <v/>
      </c>
      <c r="Y575" s="15">
        <f>IF($X575="Pass",$H575,
IF(H575="L","I",
IF(H575="U","L",
IF(H575="O","U",
"I"))))</f>
        <v/>
      </c>
    </row>
    <row r="576">
      <c r="A576" s="147">
        <f>ROW()-2</f>
        <v/>
      </c>
      <c r="B576" s="127" t="inlineStr">
        <is>
          <t>SR0375</t>
        </is>
      </c>
      <c r="C576" s="128" t="inlineStr">
        <is>
          <t>RAJ P</t>
        </is>
      </c>
      <c r="D576" s="127" t="inlineStr">
        <is>
          <t>PRODUCTION</t>
        </is>
      </c>
      <c r="E576" s="129" t="inlineStr">
        <is>
          <t>BIAS CUTTING-4</t>
        </is>
      </c>
      <c r="F576" s="130" t="n">
        <v>42212</v>
      </c>
      <c r="G576" s="131">
        <f>NOW()-F576</f>
        <v/>
      </c>
      <c r="H576" s="104" t="inlineStr">
        <is>
          <t>O</t>
        </is>
      </c>
      <c r="I576" s="104" t="inlineStr">
        <is>
          <t>O</t>
        </is>
      </c>
      <c r="J576" s="104" t="n">
        <v>7</v>
      </c>
      <c r="K576" s="104" t="n">
        <v>8</v>
      </c>
      <c r="L576" s="104" t="n">
        <v>7</v>
      </c>
      <c r="M576" s="104" t="n">
        <v>8</v>
      </c>
      <c r="N576" s="104" t="n"/>
      <c r="O576" s="104">
        <f>SUM(J576:N576)</f>
        <v/>
      </c>
      <c r="P576" s="12">
        <f>O576/IF(H576="L",20,IF(H576="U",30,IF(H576="O",40,IF(H576="I",20,""))))</f>
        <v/>
      </c>
      <c r="Q576" s="132">
        <f>IF(AND(H576="L", P576&gt;=50%), "Pass",
IF(AND(H576="U", P576&gt;=60%), "Pass",
IF(AND(H576="O", P576&gt;=75%), "Pass", "Fail")))</f>
        <v/>
      </c>
      <c r="R576" s="104" t="n"/>
      <c r="S576" s="104" t="n">
        <v>16</v>
      </c>
      <c r="T576" s="104" t="n">
        <v>12</v>
      </c>
      <c r="U576" s="104">
        <f>SUM(S576:T576)</f>
        <v/>
      </c>
      <c r="V576" s="12">
        <f>U576/IF(H576="L",35,IF(H576="U",35,IF(H576="O",35,IF(H576="I",35,""))))</f>
        <v/>
      </c>
      <c r="W576" s="132">
        <f>IF(AND(H576="L", V576&gt;=50%), "Pass",
IF(AND(H576="U", V576&gt;=60%), "Pass",
IF(AND(H576="O", V576&gt;=75%), "Pass", "Fail")))</f>
        <v/>
      </c>
      <c r="X576" s="132">
        <f>IF(AND(Q576="Pass", W576="Pass"), "Pass", "Fail")</f>
        <v/>
      </c>
      <c r="Y576" s="15">
        <f>IF($X576="Pass",$H576,
IF(H576="L","I",
IF(H576="U","L",
IF(H576="O","U",
"I"))))</f>
        <v/>
      </c>
      <c r="Z576" s="81">
        <f>V576-75%</f>
        <v/>
      </c>
    </row>
    <row r="577">
      <c r="A577" s="147">
        <f>ROW()-2</f>
        <v/>
      </c>
      <c r="B577" s="127" t="inlineStr">
        <is>
          <t>SR0377</t>
        </is>
      </c>
      <c r="C577" s="128" t="inlineStr">
        <is>
          <t>ESAKKI RAJA V</t>
        </is>
      </c>
      <c r="D577" s="127" t="inlineStr">
        <is>
          <t>PRODUCTION</t>
        </is>
      </c>
      <c r="E577" s="129" t="inlineStr">
        <is>
          <t>TYRE CURING</t>
        </is>
      </c>
      <c r="F577" s="130" t="n">
        <v>42213</v>
      </c>
      <c r="G577" s="131">
        <f>NOW()-F577</f>
        <v/>
      </c>
      <c r="H577" s="104" t="inlineStr">
        <is>
          <t>O</t>
        </is>
      </c>
      <c r="I577" s="104" t="inlineStr">
        <is>
          <t>O</t>
        </is>
      </c>
      <c r="J577" s="104" t="n">
        <v>9</v>
      </c>
      <c r="K577" s="104" t="n">
        <v>8</v>
      </c>
      <c r="L577" s="104" t="n">
        <v>8</v>
      </c>
      <c r="M577" s="104" t="n">
        <v>8</v>
      </c>
      <c r="N577" s="104" t="n"/>
      <c r="O577" s="104">
        <f>SUM(J577:N577)</f>
        <v/>
      </c>
      <c r="P577" s="12">
        <f>O577/IF(H577="L",20,IF(H577="U",30,IF(H577="O",40,IF(H577="I",20,""))))</f>
        <v/>
      </c>
      <c r="Q577" s="132">
        <f>IF(AND(H577="L", P577&gt;=50%), "Pass",
IF(AND(H577="U", P577&gt;=60%), "Pass",
IF(AND(H577="O", P577&gt;=75%), "Pass", "Fail")))</f>
        <v/>
      </c>
      <c r="R577" s="104" t="n"/>
      <c r="S577" s="104" t="n">
        <v>17</v>
      </c>
      <c r="T577" s="104" t="n">
        <v>15</v>
      </c>
      <c r="U577" s="104">
        <f>SUM(S577:T577)</f>
        <v/>
      </c>
      <c r="V577" s="12">
        <f>U577/IF(H577="L",35,IF(H577="U",35,IF(H577="O",35,IF(H577="I",35,""))))</f>
        <v/>
      </c>
      <c r="W577" s="132">
        <f>IF(AND(H577="L", V577&gt;=50%), "Pass",
IF(AND(H577="U", V577&gt;=60%), "Pass",
IF(AND(H577="O", V577&gt;=75%), "Pass", "Fail")))</f>
        <v/>
      </c>
      <c r="X577" s="132">
        <f>IF(AND(Q577="Pass", W577="Pass"), "Pass", "Fail")</f>
        <v/>
      </c>
      <c r="Y577" s="15">
        <f>IF($X577="Pass",$H577,
IF(H577="L","I",
IF(H577="U","L",
IF(H577="O","U",
"I"))))</f>
        <v/>
      </c>
    </row>
    <row r="578">
      <c r="A578" s="147">
        <f>ROW()-2</f>
        <v/>
      </c>
      <c r="B578" s="127" t="inlineStr">
        <is>
          <t>PK0691</t>
        </is>
      </c>
      <c r="C578" s="128" t="inlineStr">
        <is>
          <t>BALASUNDARAM M</t>
        </is>
      </c>
      <c r="D578" s="127" t="inlineStr">
        <is>
          <t>PRODUCTION</t>
        </is>
      </c>
      <c r="E578" s="129" t="inlineStr">
        <is>
          <t>TYRE CURING</t>
        </is>
      </c>
      <c r="F578" s="130" t="n">
        <v>42216</v>
      </c>
      <c r="G578" s="131">
        <f>NOW()-F578</f>
        <v/>
      </c>
      <c r="H578" s="104" t="inlineStr">
        <is>
          <t>O</t>
        </is>
      </c>
      <c r="I578" s="104" t="inlineStr">
        <is>
          <t>O</t>
        </is>
      </c>
      <c r="J578" s="104" t="n">
        <v>9</v>
      </c>
      <c r="K578" s="104" t="n">
        <v>6</v>
      </c>
      <c r="L578" s="104" t="n">
        <v>7</v>
      </c>
      <c r="M578" s="104" t="n">
        <v>4</v>
      </c>
      <c r="N578" s="104" t="n"/>
      <c r="O578" s="104">
        <f>SUM(J578:N578)</f>
        <v/>
      </c>
      <c r="P578" s="12">
        <f>O578/IF(H578="L",20,IF(H578="U",30,IF(H578="O",40,IF(H578="I",20,""))))</f>
        <v/>
      </c>
      <c r="Q578" s="132">
        <f>IF(AND(H578="L", P578&gt;=50%), "Pass",
IF(AND(H578="U", P578&gt;=60%), "Pass",
IF(AND(H578="O", P578&gt;=75%), "Pass", "Fail")))</f>
        <v/>
      </c>
      <c r="R578" s="104" t="n"/>
      <c r="S578" s="104" t="n">
        <v>13</v>
      </c>
      <c r="T578" s="104" t="n">
        <v>11</v>
      </c>
      <c r="U578" s="104">
        <f>SUM(S578:T578)</f>
        <v/>
      </c>
      <c r="V578" s="12">
        <f>U578/IF(H578="L",35,IF(H578="U",35,IF(H578="O",35,IF(H578="I",35,""))))</f>
        <v/>
      </c>
      <c r="W578" s="132">
        <f>IF(AND(H578="L", V578&gt;=50%), "Pass",
IF(AND(H578="U", V578&gt;=60%), "Pass",
IF(AND(H578="O", V578&gt;=75%), "Pass", "Fail")))</f>
        <v/>
      </c>
      <c r="X578" s="132">
        <f>IF(AND(Q578="Pass", W578="Pass"), "Pass", "Fail")</f>
        <v/>
      </c>
      <c r="Y578" s="15">
        <f>IF($X578="Pass",$H578,
IF(H578="L","I",
IF(H578="U","L",
IF(H578="O","U",
"I"))))</f>
        <v/>
      </c>
    </row>
    <row r="579">
      <c r="A579" s="147">
        <f>ROW()-2</f>
        <v/>
      </c>
      <c r="B579" s="127" t="inlineStr">
        <is>
          <t>PK0692</t>
        </is>
      </c>
      <c r="C579" s="128" t="inlineStr">
        <is>
          <t>THANGA MUTHU T</t>
        </is>
      </c>
      <c r="D579" s="127" t="inlineStr">
        <is>
          <t>PRODUCTION</t>
        </is>
      </c>
      <c r="E579" s="129" t="inlineStr">
        <is>
          <t>TYRE CURING</t>
        </is>
      </c>
      <c r="F579" s="130" t="n">
        <v>42221</v>
      </c>
      <c r="G579" s="131">
        <f>NOW()-F579</f>
        <v/>
      </c>
      <c r="H579" s="104" t="inlineStr">
        <is>
          <t>O</t>
        </is>
      </c>
      <c r="I579" s="104" t="inlineStr">
        <is>
          <t>O</t>
        </is>
      </c>
      <c r="J579" s="104" t="n">
        <v>9</v>
      </c>
      <c r="K579" s="104" t="n">
        <v>9</v>
      </c>
      <c r="L579" s="104" t="n">
        <v>6</v>
      </c>
      <c r="M579" s="104" t="n">
        <v>8</v>
      </c>
      <c r="N579" s="104" t="n"/>
      <c r="O579" s="104">
        <f>SUM(J579:N579)</f>
        <v/>
      </c>
      <c r="P579" s="12">
        <f>O579/IF(H579="L",20,IF(H579="U",30,IF(H579="O",40,IF(H579="I",20,""))))</f>
        <v/>
      </c>
      <c r="Q579" s="132">
        <f>IF(AND(H579="L", P579&gt;=50%), "Pass",
 IF(AND(H579="U", P579&gt;=60%), "Pass",
 IF(AND(H579="O", P579&gt;=75%), "Pass", "Fail")))</f>
        <v/>
      </c>
      <c r="R579" s="104" t="n"/>
      <c r="S579" s="104" t="n">
        <v>15</v>
      </c>
      <c r="T579" s="104" t="n">
        <v>12</v>
      </c>
      <c r="U579" s="104">
        <f>SUM(S579:T579)</f>
        <v/>
      </c>
      <c r="V579" s="12">
        <f>U579/IF(H579="L",35,IF(H579="U",35,IF(H579="O",35,IF(H579="I",35,""))))</f>
        <v/>
      </c>
      <c r="W579" s="132">
        <f>IF(AND(H579="L", V579&gt;=50%), "Pass",
 IF(AND(H579="U", V579&gt;=60%), "Pass",
 IF(AND(H579="O", V579&gt;=75%), "Pass", "Fail")))</f>
        <v/>
      </c>
      <c r="X579" s="132">
        <f>IF(AND(Q579="Pass", W579="Pass"), "Pass", "Fail")</f>
        <v/>
      </c>
      <c r="Y579" s="15">
        <f>IF($X579="Pass",$H579,
IF(H579="L","I",
IF(H579="U","L",
IF(H579="O","U",
"I"))))</f>
        <v/>
      </c>
    </row>
    <row r="580">
      <c r="A580" s="147">
        <f>ROW()-2</f>
        <v/>
      </c>
      <c r="B580" s="127" t="inlineStr">
        <is>
          <t>SK1972</t>
        </is>
      </c>
      <c r="C580" s="128" t="inlineStr">
        <is>
          <t>ANISH KUMAR S</t>
        </is>
      </c>
      <c r="D580" s="127" t="inlineStr">
        <is>
          <t>PRODUCTION</t>
        </is>
      </c>
      <c r="E580" s="129" t="inlineStr">
        <is>
          <t>TYRE CURING</t>
        </is>
      </c>
      <c r="F580" s="130" t="n">
        <v>42252</v>
      </c>
      <c r="G580" s="131">
        <f>NOW()-F580</f>
        <v/>
      </c>
      <c r="H580" s="104" t="inlineStr">
        <is>
          <t>O</t>
        </is>
      </c>
      <c r="I580" s="104" t="inlineStr">
        <is>
          <t>O</t>
        </is>
      </c>
      <c r="J580" s="104" t="n">
        <v>9</v>
      </c>
      <c r="K580" s="104" t="n">
        <v>9</v>
      </c>
      <c r="L580" s="104" t="n">
        <v>8</v>
      </c>
      <c r="M580" s="104" t="n">
        <v>8</v>
      </c>
      <c r="N580" s="104" t="n"/>
      <c r="O580" s="104">
        <f>SUM(J580:N580)</f>
        <v/>
      </c>
      <c r="P580" s="12">
        <f>O580/IF(H580="L",20,IF(H580="U",30,IF(H580="O",40,IF(H580="I",20,""))))</f>
        <v/>
      </c>
      <c r="Q580" s="132">
        <f>IF(AND(H580="L", P580&gt;=50%), "Pass",
IF(AND(H580="U", P580&gt;=60%), "Pass",
IF(AND(H580="O", P580&gt;=75%), "Pass", "Fail")))</f>
        <v/>
      </c>
      <c r="R580" s="104" t="n"/>
      <c r="S580" s="104" t="n">
        <v>17</v>
      </c>
      <c r="T580" s="104" t="n">
        <v>13</v>
      </c>
      <c r="U580" s="104">
        <f>SUM(S580:T580)</f>
        <v/>
      </c>
      <c r="V580" s="12">
        <f>U580/IF(H580="L",35,IF(H580="U",35,IF(H580="O",35,IF(H580="I",35,""))))</f>
        <v/>
      </c>
      <c r="W580" s="132">
        <f>IF(AND(H580="L", V580&gt;=50%), "Pass",
IF(AND(H580="U", V580&gt;=60%), "Pass",
IF(AND(H580="O", V580&gt;=75%), "Pass", "Fail")))</f>
        <v/>
      </c>
      <c r="X580" s="132">
        <f>IF(AND(Q580="Pass", W580="Pass"), "Pass", "Fail")</f>
        <v/>
      </c>
      <c r="Y580" s="15">
        <f>IF($X580="Pass",$H580,
IF(H580="L","I",
IF(H580="U","L",
IF(H580="O","U",
"I"))))</f>
        <v/>
      </c>
    </row>
    <row r="581">
      <c r="A581" s="147">
        <f>ROW()-2</f>
        <v/>
      </c>
      <c r="B581" s="133" t="inlineStr">
        <is>
          <t>SK2323</t>
        </is>
      </c>
      <c r="C581" s="148" t="inlineStr">
        <is>
          <t>SHUNMUGARAJ C</t>
        </is>
      </c>
      <c r="D581" s="127" t="inlineStr">
        <is>
          <t>PRODUCTION</t>
        </is>
      </c>
      <c r="E581" s="135" t="inlineStr">
        <is>
          <t>MIXING</t>
        </is>
      </c>
      <c r="F581" s="136" t="n">
        <v>42252</v>
      </c>
      <c r="G581" s="131">
        <f>NOW()-F581</f>
        <v/>
      </c>
      <c r="H581" s="104" t="inlineStr">
        <is>
          <t>O</t>
        </is>
      </c>
      <c r="I581" s="104" t="inlineStr">
        <is>
          <t>U</t>
        </is>
      </c>
      <c r="J581" s="104" t="inlineStr">
        <is>
          <t>NIL</t>
        </is>
      </c>
      <c r="K581" s="104" t="n"/>
      <c r="L581" s="104" t="n"/>
      <c r="M581" s="104" t="n"/>
      <c r="N581" s="104" t="n"/>
      <c r="O581" s="104" t="n"/>
      <c r="P581" s="12">
        <f>O581/IF(H581="L",20,IF(H581="U",30,IF(H581="O",40,IF(H581="I",20,""))))</f>
        <v/>
      </c>
      <c r="Q581" s="132">
        <f>IF(AND(H581="L", P581&gt;=50%), "Pass",
IF(AND(H581="U", P581&gt;=60%), "Pass",
IF(AND(H581="O", P581&gt;=75%), "Pass", "Fail")))</f>
        <v/>
      </c>
      <c r="R581" s="104" t="n"/>
      <c r="S581" s="104" t="n">
        <v>13</v>
      </c>
      <c r="T581" s="104" t="n">
        <v>11</v>
      </c>
      <c r="U581" s="104">
        <f>SUM(S581:T581)</f>
        <v/>
      </c>
      <c r="V581" s="12">
        <f>U581/IF(H581="L",35,IF(H581="U",35,IF(H581="O",35,IF(H581="I",35,""))))</f>
        <v/>
      </c>
      <c r="W581" s="132">
        <f>IF(AND(H581="L", V581&gt;=50%), "Pass",
IF(AND(H581="U", V581&gt;=60%), "Pass",
IF(AND(H581="O", V581&gt;=75%), "Pass", "Fail")))</f>
        <v/>
      </c>
      <c r="X581" s="132">
        <f>IF(AND(Q581="Pass", W581="Pass"), "Pass", "Fail")</f>
        <v/>
      </c>
      <c r="Y581" s="15">
        <f>IF($X581="Pass",$H581,
IF(H581="L","I",
IF(H581="U","L",
IF(H581="O","U",
"I"))))</f>
        <v/>
      </c>
    </row>
    <row r="582">
      <c r="A582" s="147">
        <f>ROW()-2</f>
        <v/>
      </c>
      <c r="B582" s="127" t="inlineStr">
        <is>
          <t>KK0450</t>
        </is>
      </c>
      <c r="C582" s="128" t="inlineStr">
        <is>
          <t>RAMACHANDRAN M</t>
        </is>
      </c>
      <c r="D582" s="127" t="inlineStr">
        <is>
          <t>PRODUCTION</t>
        </is>
      </c>
      <c r="E582" s="129" t="inlineStr">
        <is>
          <t>TYRE CURING</t>
        </is>
      </c>
      <c r="F582" s="130" t="n">
        <v>42261</v>
      </c>
      <c r="G582" s="131">
        <f>NOW()-F582</f>
        <v/>
      </c>
      <c r="H582" s="104" t="inlineStr">
        <is>
          <t>O</t>
        </is>
      </c>
      <c r="I582" s="104" t="inlineStr">
        <is>
          <t>U</t>
        </is>
      </c>
      <c r="J582" s="104" t="n">
        <v>10</v>
      </c>
      <c r="K582" s="104" t="n">
        <v>9</v>
      </c>
      <c r="L582" s="104" t="n">
        <v>9</v>
      </c>
      <c r="M582" s="104" t="n">
        <v>6</v>
      </c>
      <c r="N582" s="104" t="n"/>
      <c r="O582" s="104">
        <f>SUM(J582:N582)</f>
        <v/>
      </c>
      <c r="P582" s="12">
        <f>O582/IF(H582="L",20,IF(H582="U",30,IF(H582="O",40,IF(H582="I",20,""))))</f>
        <v/>
      </c>
      <c r="Q582" s="132">
        <f>IF(AND(H582="L", P582&gt;=50%), "Pass",
IF(AND(H582="U", P582&gt;=60%), "Pass",
IF(AND(H582="O", P582&gt;=75%), "Pass", "Fail")))</f>
        <v/>
      </c>
      <c r="R582" s="104" t="n"/>
      <c r="S582" s="104" t="n">
        <v>16</v>
      </c>
      <c r="T582" s="104" t="n">
        <v>13</v>
      </c>
      <c r="U582" s="104">
        <f>SUM(S582:T582)</f>
        <v/>
      </c>
      <c r="V582" s="12">
        <f>U582/IF(H582="L",35,IF(H582="U",35,IF(H582="O",35,IF(H582="I",35,""))))</f>
        <v/>
      </c>
      <c r="W582" s="132">
        <f>IF(AND(H582="L", V582&gt;=50%), "Pass",
IF(AND(H582="U", V582&gt;=60%), "Pass",
IF(AND(H582="O", V582&gt;=75%), "Pass", "Fail")))</f>
        <v/>
      </c>
      <c r="X582" s="132">
        <f>IF(AND(Q582="Pass", W582="Pass"), "Pass", "Fail")</f>
        <v/>
      </c>
      <c r="Y582" s="15">
        <f>IF($X582="Pass",$H582,
IF(H582="L","I",
IF(H582="U","L",
IF(H582="O","U",
"I"))))</f>
        <v/>
      </c>
    </row>
    <row r="583">
      <c r="A583" s="147">
        <f>ROW()-2</f>
        <v/>
      </c>
      <c r="B583" s="127" t="inlineStr">
        <is>
          <t>SR0391</t>
        </is>
      </c>
      <c r="C583" s="128" t="inlineStr">
        <is>
          <t>SELVA KUMAR M</t>
        </is>
      </c>
      <c r="D583" s="127" t="inlineStr">
        <is>
          <t>PRODUCTION</t>
        </is>
      </c>
      <c r="E583" s="129" t="inlineStr">
        <is>
          <t>TYRE CURING</t>
        </is>
      </c>
      <c r="F583" s="130" t="n">
        <v>42265</v>
      </c>
      <c r="G583" s="131">
        <f>NOW()-F583</f>
        <v/>
      </c>
      <c r="H583" s="104" t="inlineStr">
        <is>
          <t>O</t>
        </is>
      </c>
      <c r="I583" s="104" t="inlineStr">
        <is>
          <t>O</t>
        </is>
      </c>
      <c r="J583" s="104" t="n">
        <v>10</v>
      </c>
      <c r="K583" s="104" t="n">
        <v>9</v>
      </c>
      <c r="L583" s="104" t="n">
        <v>8</v>
      </c>
      <c r="M583" s="104" t="n">
        <v>8</v>
      </c>
      <c r="N583" s="104" t="n"/>
      <c r="O583" s="104">
        <f>SUM(J583:N583)</f>
        <v/>
      </c>
      <c r="P583" s="12">
        <f>O583/IF(H583="L",20,IF(H583="U",30,IF(H583="O",40,IF(H583="I",20,""))))</f>
        <v/>
      </c>
      <c r="Q583" s="132">
        <f>IF(AND(H583="L", P583&gt;=50%), "Pass",
IF(AND(H583="U", P583&gt;=60%), "Pass",
IF(AND(H583="O", P583&gt;=75%), "Pass", "Fail")))</f>
        <v/>
      </c>
      <c r="R583" s="104" t="n"/>
      <c r="S583" s="104" t="n">
        <v>18</v>
      </c>
      <c r="T583" s="104" t="n">
        <v>14</v>
      </c>
      <c r="U583" s="104">
        <f>SUM(S583:T583)</f>
        <v/>
      </c>
      <c r="V583" s="12">
        <f>U583/IF(H583="L",35,IF(H583="U",35,IF(H583="O",35,IF(H583="I",35,""))))</f>
        <v/>
      </c>
      <c r="W583" s="132">
        <f>IF(AND(H583="L", V583&gt;=50%), "Pass",
IF(AND(H583="U", V583&gt;=60%), "Pass",
IF(AND(H583="O", V583&gt;=75%), "Pass", "Fail")))</f>
        <v/>
      </c>
      <c r="X583" s="132">
        <f>IF(AND(Q583="Pass", W583="Pass"), "Pass", "Fail")</f>
        <v/>
      </c>
      <c r="Y583" s="15">
        <f>IF($X583="Pass",$H583,
IF(H583="L","I",
IF(H583="U","L",
IF(H583="O","U",
"I"))))</f>
        <v/>
      </c>
    </row>
    <row r="584">
      <c r="A584" s="147">
        <f>ROW()-2</f>
        <v/>
      </c>
      <c r="B584" s="133" t="inlineStr">
        <is>
          <t>AK0366</t>
        </is>
      </c>
      <c r="C584" s="148" t="inlineStr">
        <is>
          <t>KARUPPASAMY M</t>
        </is>
      </c>
      <c r="D584" s="127" t="inlineStr">
        <is>
          <t>PRODUCTION</t>
        </is>
      </c>
      <c r="E584" s="135" t="inlineStr">
        <is>
          <t>MIXING</t>
        </is>
      </c>
      <c r="F584" s="136" t="n">
        <v>42266</v>
      </c>
      <c r="G584" s="131">
        <f>NOW()-F584</f>
        <v/>
      </c>
      <c r="H584" s="104" t="inlineStr">
        <is>
          <t>O</t>
        </is>
      </c>
      <c r="I584" s="104" t="inlineStr">
        <is>
          <t>U</t>
        </is>
      </c>
      <c r="J584" s="104" t="inlineStr">
        <is>
          <t>NIL</t>
        </is>
      </c>
      <c r="K584" s="104" t="n"/>
      <c r="L584" s="104" t="n"/>
      <c r="M584" s="104" t="n"/>
      <c r="N584" s="104" t="n"/>
      <c r="O584" s="104" t="n"/>
      <c r="P584" s="12">
        <f>O584/IF(H584="L",20,IF(H584="U",30,IF(H584="O",40,IF(H584="I",20,""))))</f>
        <v/>
      </c>
      <c r="Q584" s="132">
        <f>IF(AND(H584="L", P584&gt;=50%), "Pass",
IF(AND(H584="U", P584&gt;=60%), "Pass",
IF(AND(H584="O", P584&gt;=75%), "Pass", "Fail")))</f>
        <v/>
      </c>
      <c r="R584" s="104" t="n"/>
      <c r="S584" s="104" t="n">
        <v>12</v>
      </c>
      <c r="T584" s="104" t="n">
        <v>12</v>
      </c>
      <c r="U584" s="104">
        <f>SUM(S584:T584)</f>
        <v/>
      </c>
      <c r="V584" s="12">
        <f>U584/IF(H584="L",35,IF(H584="U",35,IF(H584="O",35,IF(H584="I",35,""))))</f>
        <v/>
      </c>
      <c r="W584" s="132">
        <f>IF(AND(H584="L", V584&gt;=50%), "Pass",
IF(AND(H584="U", V584&gt;=60%), "Pass",
IF(AND(H584="O", V584&gt;=75%), "Pass", "Fail")))</f>
        <v/>
      </c>
      <c r="X584" s="132">
        <f>IF(AND(Q584="Pass", W584="Pass"), "Pass", "Fail")</f>
        <v/>
      </c>
      <c r="Y584" s="15">
        <f>IF($X584="Pass",$H584,
IF(H584="L","I",
IF(H584="U","L",
IF(H584="O","U",
"I"))))</f>
        <v/>
      </c>
    </row>
    <row r="585">
      <c r="A585" s="147">
        <f>ROW()-2</f>
        <v/>
      </c>
      <c r="B585" s="127" t="inlineStr">
        <is>
          <t>KK0468</t>
        </is>
      </c>
      <c r="C585" s="128" t="inlineStr">
        <is>
          <t>IYYAPPAN U</t>
        </is>
      </c>
      <c r="D585" s="127" t="inlineStr">
        <is>
          <t>PRODUCTION</t>
        </is>
      </c>
      <c r="E585" s="129" t="inlineStr">
        <is>
          <t>TYRE CURING</t>
        </is>
      </c>
      <c r="F585" s="130" t="n">
        <v>42267</v>
      </c>
      <c r="G585" s="131">
        <f>NOW()-F585</f>
        <v/>
      </c>
      <c r="H585" s="104" t="inlineStr">
        <is>
          <t>O</t>
        </is>
      </c>
      <c r="I585" s="104" t="inlineStr">
        <is>
          <t>O</t>
        </is>
      </c>
      <c r="J585" s="104" t="n">
        <v>9</v>
      </c>
      <c r="K585" s="104" t="n">
        <v>9</v>
      </c>
      <c r="L585" s="104" t="n">
        <v>6</v>
      </c>
      <c r="M585" s="104" t="n">
        <v>7</v>
      </c>
      <c r="N585" s="104" t="n"/>
      <c r="O585" s="104">
        <f>SUM(J585:N585)</f>
        <v/>
      </c>
      <c r="P585" s="12">
        <f>O585/IF(H585="L",20,IF(H585="U",30,IF(H585="O",40,IF(H585="I",20,""))))</f>
        <v/>
      </c>
      <c r="Q585" s="132">
        <f>IF(AND(H585="L", P585&gt;=50%), "Pass",
IF(AND(H585="U", P585&gt;=60%), "Pass",
IF(AND(H585="O", P585&gt;=75%), "Pass", "Fail")))</f>
        <v/>
      </c>
      <c r="R585" s="104" t="n"/>
      <c r="S585" s="104" t="n">
        <v>15</v>
      </c>
      <c r="T585" s="104" t="n">
        <v>12</v>
      </c>
      <c r="U585" s="104">
        <f>SUM(S585:T585)</f>
        <v/>
      </c>
      <c r="V585" s="12">
        <f>U585/IF(H585="L",35,IF(H585="U",35,IF(H585="O",35,IF(H585="I",35,""))))</f>
        <v/>
      </c>
      <c r="W585" s="132">
        <f>IF(AND(H585="L", V585&gt;=50%), "Pass",
IF(AND(H585="U", V585&gt;=60%), "Pass",
IF(AND(H585="O", V585&gt;=75%), "Pass", "Fail")))</f>
        <v/>
      </c>
      <c r="X585" s="132">
        <f>IF(AND(Q585="Pass", W585="Pass"), "Pass", "Fail")</f>
        <v/>
      </c>
      <c r="Y585" s="15">
        <f>IF($X585="Pass",$H585,
IF(H585="L","I",
IF(H585="U","L",
IF(H585="O","U",
"I"))))</f>
        <v/>
      </c>
      <c r="Z585" s="81">
        <f>V585-75%</f>
        <v/>
      </c>
    </row>
    <row r="586">
      <c r="A586" s="147">
        <f>ROW()-2</f>
        <v/>
      </c>
      <c r="B586" s="127" t="inlineStr">
        <is>
          <t>KK0475</t>
        </is>
      </c>
      <c r="C586" s="128" t="inlineStr">
        <is>
          <t>RAMASAMY M</t>
        </is>
      </c>
      <c r="D586" s="127" t="inlineStr">
        <is>
          <t>PRODUCTION</t>
        </is>
      </c>
      <c r="E586" s="129" t="inlineStr">
        <is>
          <t>TYRE CURING</t>
        </is>
      </c>
      <c r="F586" s="130" t="n">
        <v>42268</v>
      </c>
      <c r="G586" s="131">
        <f>NOW()-F586</f>
        <v/>
      </c>
      <c r="H586" s="104" t="inlineStr">
        <is>
          <t>O</t>
        </is>
      </c>
      <c r="I586" s="104" t="inlineStr">
        <is>
          <t>U</t>
        </is>
      </c>
      <c r="J586" s="104" t="n">
        <v>10</v>
      </c>
      <c r="K586" s="104" t="n">
        <v>9</v>
      </c>
      <c r="L586" s="104" t="n">
        <v>8</v>
      </c>
      <c r="M586" s="104" t="n">
        <v>5</v>
      </c>
      <c r="N586" s="104" t="n"/>
      <c r="O586" s="104">
        <f>SUM(J586:N586)</f>
        <v/>
      </c>
      <c r="P586" s="12">
        <f>O586/IF(H586="L",20,IF(H586="U",30,IF(H586="O",40,IF(H586="I",20,""))))</f>
        <v/>
      </c>
      <c r="Q586" s="132">
        <f>IF(AND(H586="L", P586&gt;=50%), "Pass",
IF(AND(H586="U", P586&gt;=60%), "Pass",
IF(AND(H586="O", P586&gt;=75%), "Pass", "Fail")))</f>
        <v/>
      </c>
      <c r="R586" s="104" t="n"/>
      <c r="S586" s="104" t="n">
        <v>13</v>
      </c>
      <c r="T586" s="104" t="n">
        <v>9</v>
      </c>
      <c r="U586" s="104">
        <f>SUM(S586:T586)</f>
        <v/>
      </c>
      <c r="V586" s="12">
        <f>U586/IF(H586="L",35,IF(H586="U",35,IF(H586="O",35,IF(H586="I",35,""))))</f>
        <v/>
      </c>
      <c r="W586" s="132">
        <f>IF(AND(H586="L", V586&gt;=50%), "Pass",
IF(AND(H586="U", V586&gt;=60%), "Pass",
IF(AND(H586="O", V586&gt;=75%), "Pass", "Fail")))</f>
        <v/>
      </c>
      <c r="X586" s="132">
        <f>IF(AND(Q586="Pass", W586="Pass"), "Pass", "Fail")</f>
        <v/>
      </c>
      <c r="Y586" s="15">
        <f>IF($X586="Pass",$H586,
IF(H586="L","I",
IF(H586="U","L",
IF(H586="O","U",
"I"))))</f>
        <v/>
      </c>
    </row>
    <row r="587">
      <c r="A587" s="147">
        <f>ROW()-2</f>
        <v/>
      </c>
      <c r="B587" s="127" t="inlineStr">
        <is>
          <t>SR0401</t>
        </is>
      </c>
      <c r="C587" s="128" t="inlineStr">
        <is>
          <t>VELMURUGAN N</t>
        </is>
      </c>
      <c r="D587" s="127" t="inlineStr">
        <is>
          <t>PRODUCTION</t>
        </is>
      </c>
      <c r="E587" s="129" t="inlineStr">
        <is>
          <t>TYRE CURING</t>
        </is>
      </c>
      <c r="F587" s="130" t="n">
        <v>42268</v>
      </c>
      <c r="G587" s="131">
        <f>NOW()-F587</f>
        <v/>
      </c>
      <c r="H587" s="104" t="inlineStr">
        <is>
          <t>O</t>
        </is>
      </c>
      <c r="I587" s="104" t="inlineStr">
        <is>
          <t>O</t>
        </is>
      </c>
      <c r="J587" s="104" t="n">
        <v>10</v>
      </c>
      <c r="K587" s="104" t="n">
        <v>9</v>
      </c>
      <c r="L587" s="104" t="n">
        <v>9</v>
      </c>
      <c r="M587" s="104" t="n">
        <v>8</v>
      </c>
      <c r="N587" s="104" t="n"/>
      <c r="O587" s="104">
        <f>SUM(J587:N587)</f>
        <v/>
      </c>
      <c r="P587" s="12">
        <f>O587/IF(H587="L",20,IF(H587="U",30,IF(H587="O",40,IF(H587="I",20,""))))</f>
        <v/>
      </c>
      <c r="Q587" s="132">
        <f>IF(AND(H587="L", P587&gt;=50%), "Pass",
IF(AND(H587="U", P587&gt;=60%), "Pass",
IF(AND(H587="O", P587&gt;=75%), "Pass", "Fail")))</f>
        <v/>
      </c>
      <c r="R587" s="104" t="n"/>
      <c r="S587" s="104" t="n">
        <v>14</v>
      </c>
      <c r="T587" s="104" t="n">
        <v>8</v>
      </c>
      <c r="U587" s="104">
        <f>SUM(S587:T587)</f>
        <v/>
      </c>
      <c r="V587" s="12">
        <f>U587/IF(H587="L",35,IF(H587="U",35,IF(H587="O",35,IF(H587="I",35,""))))</f>
        <v/>
      </c>
      <c r="W587" s="132">
        <f>IF(AND(H587="L", V587&gt;=50%), "Pass",
IF(AND(H587="U", V587&gt;=60%), "Pass",
IF(AND(H587="O", V587&gt;=75%), "Pass", "Fail")))</f>
        <v/>
      </c>
      <c r="X587" s="132">
        <f>IF(AND(Q587="Pass", W587="Pass"), "Pass", "Fail")</f>
        <v/>
      </c>
      <c r="Y587" s="15">
        <f>IF($X587="Pass",$H587,
IF(H587="L","I",
IF(H587="U","L",
IF(H587="O","U",
"I"))))</f>
        <v/>
      </c>
    </row>
    <row r="588">
      <c r="A588" s="147">
        <f>ROW()-2</f>
        <v/>
      </c>
      <c r="B588" s="127" t="inlineStr">
        <is>
          <t>SK2328</t>
        </is>
      </c>
      <c r="C588" s="128" t="inlineStr">
        <is>
          <t>SANKAR PANDI M</t>
        </is>
      </c>
      <c r="D588" s="127" t="inlineStr">
        <is>
          <t>PRODUCTION</t>
        </is>
      </c>
      <c r="E588" s="129" t="inlineStr">
        <is>
          <t>TYRE BUILDING-P3</t>
        </is>
      </c>
      <c r="F588" s="130" t="n">
        <v>42289</v>
      </c>
      <c r="G588" s="131">
        <f>NOW()-F588</f>
        <v/>
      </c>
      <c r="H588" s="104" t="inlineStr">
        <is>
          <t>O</t>
        </is>
      </c>
      <c r="I588" s="104" t="inlineStr">
        <is>
          <t>O</t>
        </is>
      </c>
      <c r="J588" s="104" t="n">
        <v>10</v>
      </c>
      <c r="K588" s="104" t="n">
        <v>9</v>
      </c>
      <c r="L588" s="104" t="n">
        <v>8</v>
      </c>
      <c r="M588" s="104" t="n">
        <v>5</v>
      </c>
      <c r="N588" s="104" t="n"/>
      <c r="O588" s="104">
        <f>SUM(J588:N588)</f>
        <v/>
      </c>
      <c r="P588" s="12">
        <f>O588/IF(H588="L",20,IF(H588="U",30,IF(H588="O",40,IF(H588="I",20,""))))</f>
        <v/>
      </c>
      <c r="Q588" s="132">
        <f>IF(AND(H588="L", P588&gt;=50%), "Pass",
IF(AND(H588="U", P588&gt;=60%), "Pass",
IF(AND(H588="O", P588&gt;=75%), "Pass", "Fail")))</f>
        <v/>
      </c>
      <c r="R588" s="104" t="n"/>
      <c r="S588" s="104" t="n">
        <v>17</v>
      </c>
      <c r="T588" s="104" t="n">
        <v>13</v>
      </c>
      <c r="U588" s="104">
        <f>SUM(S588:T588)</f>
        <v/>
      </c>
      <c r="V588" s="12">
        <f>U588/IF(H588="L",35,IF(H588="U",35,IF(H588="O",35,IF(H588="I",35,""))))</f>
        <v/>
      </c>
      <c r="W588" s="132">
        <f>IF(AND(H588="L", V588&gt;=50%), "Pass",
IF(AND(H588="U", V588&gt;=60%), "Pass",
IF(AND(H588="O", V588&gt;=75%), "Pass", "Fail")))</f>
        <v/>
      </c>
      <c r="X588" s="132">
        <f>IF(AND(Q588="Pass", W588="Pass"), "Pass", "Fail")</f>
        <v/>
      </c>
      <c r="Y588" s="15">
        <f>IF($X588="Pass",$H588,
IF(H588="L","I",
IF(H588="U","L",
IF(H588="O","U",
"I"))))</f>
        <v/>
      </c>
    </row>
    <row r="589">
      <c r="A589" s="147">
        <f>ROW()-2</f>
        <v/>
      </c>
      <c r="B589" s="127" t="inlineStr">
        <is>
          <t>KK0526</t>
        </is>
      </c>
      <c r="C589" s="128" t="inlineStr">
        <is>
          <t>RAJ P</t>
        </is>
      </c>
      <c r="D589" s="127" t="inlineStr">
        <is>
          <t>PRODUCTION</t>
        </is>
      </c>
      <c r="E589" s="129" t="inlineStr">
        <is>
          <t>TYRE BUILDING-P1</t>
        </is>
      </c>
      <c r="F589" s="130" t="n">
        <v>42314</v>
      </c>
      <c r="G589" s="131">
        <f>NOW()-F589</f>
        <v/>
      </c>
      <c r="H589" s="104" t="inlineStr">
        <is>
          <t>O</t>
        </is>
      </c>
      <c r="I589" s="104" t="inlineStr">
        <is>
          <t>U</t>
        </is>
      </c>
      <c r="J589" s="104" t="n">
        <v>10</v>
      </c>
      <c r="K589" s="104" t="n">
        <v>9</v>
      </c>
      <c r="L589" s="104" t="n">
        <v>6</v>
      </c>
      <c r="M589" s="104" t="n">
        <v>7</v>
      </c>
      <c r="N589" s="104" t="n"/>
      <c r="O589" s="104">
        <f>SUM(J589:N589)</f>
        <v/>
      </c>
      <c r="P589" s="12">
        <f>O589/IF(H589="L",20,IF(H589="U",30,IF(H589="O",40,IF(H589="I",20,""))))</f>
        <v/>
      </c>
      <c r="Q589" s="132">
        <f>IF(AND(H589="L", P589&gt;=50%), "Pass",
IF(AND(H589="U", P589&gt;=60%), "Pass",
IF(AND(H589="O", P589&gt;=75%), "Pass", "Fail")))</f>
        <v/>
      </c>
      <c r="R589" s="104" t="n"/>
      <c r="S589" s="104" t="n">
        <v>12</v>
      </c>
      <c r="T589" s="104" t="n">
        <v>11</v>
      </c>
      <c r="U589" s="104">
        <f>SUM(S589:T589)</f>
        <v/>
      </c>
      <c r="V589" s="12">
        <f>U589/IF(H589="L",35,IF(H589="U",35,IF(H589="O",35,IF(H589="I",35,""))))</f>
        <v/>
      </c>
      <c r="W589" s="132">
        <f>IF(AND(H589="L", V589&gt;=50%), "Pass",
IF(AND(H589="U", V589&gt;=60%), "Pass",
IF(AND(H589="O", V589&gt;=75%), "Pass", "Fail")))</f>
        <v/>
      </c>
      <c r="X589" s="132">
        <f>IF(AND(Q589="Pass", W589="Pass"), "Pass", "Fail")</f>
        <v/>
      </c>
      <c r="Y589" s="15">
        <f>IF($X589="Pass",$H589,
IF(H589="L","I",
IF(H589="U","L",
IF(H589="O","U",
"I"))))</f>
        <v/>
      </c>
      <c r="Z589" s="82" t="n"/>
    </row>
    <row r="590">
      <c r="A590" s="147">
        <f>ROW()-2</f>
        <v/>
      </c>
      <c r="B590" s="127" t="inlineStr">
        <is>
          <t>KK0527</t>
        </is>
      </c>
      <c r="C590" s="128" t="inlineStr">
        <is>
          <t>SAPPANIMUTHU S</t>
        </is>
      </c>
      <c r="D590" s="127" t="inlineStr">
        <is>
          <t>PRODUCTION</t>
        </is>
      </c>
      <c r="E590" s="129" t="inlineStr">
        <is>
          <t>SOLID TYRE</t>
        </is>
      </c>
      <c r="F590" s="130" t="n">
        <v>42324</v>
      </c>
      <c r="G590" s="131">
        <f>NOW()-F590</f>
        <v/>
      </c>
      <c r="H590" s="104" t="inlineStr">
        <is>
          <t>O</t>
        </is>
      </c>
      <c r="I590" s="104" t="inlineStr">
        <is>
          <t>O</t>
        </is>
      </c>
      <c r="J590" s="104" t="n">
        <v>10</v>
      </c>
      <c r="K590" s="104" t="n">
        <v>8</v>
      </c>
      <c r="L590" s="104" t="n">
        <v>10</v>
      </c>
      <c r="M590" s="104" t="n">
        <v>8</v>
      </c>
      <c r="N590" s="104" t="n"/>
      <c r="O590" s="104">
        <f>SUM(J590:N590)</f>
        <v/>
      </c>
      <c r="P590" s="12">
        <f>O590/IF(H590="L",20,IF(H590="U",30,IF(H590="O",40,IF(H590="I",20,""))))</f>
        <v/>
      </c>
      <c r="Q590" s="132">
        <f>IF(AND(H590="L", P590&gt;=50%), "Pass",
IF(AND(H590="U", P590&gt;=60%), "Pass",
IF(AND(H590="O", P590&gt;=75%), "Pass", "Fail")))</f>
        <v/>
      </c>
      <c r="R590" s="104" t="n"/>
      <c r="S590" s="104" t="n">
        <v>20</v>
      </c>
      <c r="T590" s="104" t="n">
        <v>14</v>
      </c>
      <c r="U590" s="104">
        <f>SUM(S590:T590)</f>
        <v/>
      </c>
      <c r="V590" s="12">
        <f>U590/IF(H590="L",35,IF(H590="U",35,IF(H590="O",35,IF(H590="I",35,""))))</f>
        <v/>
      </c>
      <c r="W590" s="132">
        <f>IF(AND(H590="L", V590&gt;=50%), "Pass",
IF(AND(H590="U", V590&gt;=60%), "Pass",
IF(AND(H590="O", V590&gt;=75%), "Pass", "Fail")))</f>
        <v/>
      </c>
      <c r="X590" s="132">
        <f>IF(AND(Q590="Pass", W590="Pass"), "Pass", "Fail")</f>
        <v/>
      </c>
      <c r="Y590" s="15">
        <f>IF($X590="Pass",$H590,
IF(H590="L","I",
IF(H590="U","L",
IF(H590="O","U",
"I"))))</f>
        <v/>
      </c>
    </row>
    <row r="591">
      <c r="A591" s="147">
        <f>ROW()-2</f>
        <v/>
      </c>
      <c r="B591" s="127" t="inlineStr">
        <is>
          <t>SK2330</t>
        </is>
      </c>
      <c r="C591" s="128" t="inlineStr">
        <is>
          <t>SELVAKUMAR M</t>
        </is>
      </c>
      <c r="D591" s="127" t="inlineStr">
        <is>
          <t>PRODUCTION</t>
        </is>
      </c>
      <c r="E591" s="129" t="inlineStr">
        <is>
          <t>TYRE CURING</t>
        </is>
      </c>
      <c r="F591" s="130" t="n">
        <v>42324</v>
      </c>
      <c r="G591" s="131">
        <f>NOW()-F591</f>
        <v/>
      </c>
      <c r="H591" s="104" t="inlineStr">
        <is>
          <t>O</t>
        </is>
      </c>
      <c r="I591" s="104" t="inlineStr">
        <is>
          <t>O</t>
        </is>
      </c>
      <c r="J591" s="104" t="n">
        <v>10</v>
      </c>
      <c r="K591" s="104" t="n">
        <v>9</v>
      </c>
      <c r="L591" s="104" t="n">
        <v>9</v>
      </c>
      <c r="M591" s="104" t="n">
        <v>6</v>
      </c>
      <c r="N591" s="104" t="n"/>
      <c r="O591" s="104">
        <f>SUM(J591:N591)</f>
        <v/>
      </c>
      <c r="P591" s="12">
        <f>O591/IF(H591="L",20,IF(H591="U",30,IF(H591="O",40,IF(H591="I",20,""))))</f>
        <v/>
      </c>
      <c r="Q591" s="132">
        <f>IF(AND(H591="L", P591&gt;=50%), "Pass",
IF(AND(H591="U", P591&gt;=60%), "Pass",
IF(AND(H591="O", P591&gt;=75%), "Pass", "Fail")))</f>
        <v/>
      </c>
      <c r="R591" s="104" t="n"/>
      <c r="S591" s="104" t="n">
        <v>14</v>
      </c>
      <c r="T591" s="104" t="n">
        <v>10</v>
      </c>
      <c r="U591" s="104">
        <f>SUM(S591:T591)</f>
        <v/>
      </c>
      <c r="V591" s="12">
        <f>U591/IF(H591="L",35,IF(H591="U",35,IF(H591="O",35,IF(H591="I",35,""))))</f>
        <v/>
      </c>
      <c r="W591" s="132">
        <f>IF(AND(H591="L", V591&gt;=50%), "Pass",
IF(AND(H591="U", V591&gt;=60%), "Pass",
IF(AND(H591="O", V591&gt;=75%), "Pass", "Fail")))</f>
        <v/>
      </c>
      <c r="X591" s="132">
        <f>IF(AND(Q591="Pass", W591="Pass"), "Pass", "Fail")</f>
        <v/>
      </c>
      <c r="Y591" s="15">
        <f>IF($X591="Pass",$H591,
IF(H591="L","I",
IF(H591="U","L",
IF(H591="O","U",
"I"))))</f>
        <v/>
      </c>
    </row>
    <row r="592">
      <c r="A592" s="147">
        <f>ROW()-2</f>
        <v/>
      </c>
      <c r="B592" s="127" t="inlineStr">
        <is>
          <t>KK0529</t>
        </is>
      </c>
      <c r="C592" s="128" t="inlineStr">
        <is>
          <t>BISWAJIT SARKAR</t>
        </is>
      </c>
      <c r="D592" s="127" t="inlineStr">
        <is>
          <t>PRODUCTION</t>
        </is>
      </c>
      <c r="E592" s="129" t="inlineStr">
        <is>
          <t>TYRE BUILDING-P2</t>
        </is>
      </c>
      <c r="F592" s="130" t="n">
        <v>42325</v>
      </c>
      <c r="G592" s="131">
        <f>NOW()-F592</f>
        <v/>
      </c>
      <c r="H592" s="104" t="inlineStr">
        <is>
          <t>O</t>
        </is>
      </c>
      <c r="I592" s="104" t="inlineStr">
        <is>
          <t>U</t>
        </is>
      </c>
      <c r="J592" s="104" t="n">
        <v>6</v>
      </c>
      <c r="K592" s="104" t="n">
        <v>10</v>
      </c>
      <c r="L592" s="104" t="n">
        <v>6</v>
      </c>
      <c r="M592" s="104" t="n">
        <v>7</v>
      </c>
      <c r="N592" s="104" t="n"/>
      <c r="O592" s="104">
        <f>SUM(J592:N592)</f>
        <v/>
      </c>
      <c r="P592" s="12">
        <f>O592/IF(H592="L",20,IF(H592="U",30,IF(H592="O",40,IF(H592="I",20,""))))</f>
        <v/>
      </c>
      <c r="Q592" s="132">
        <f>IF(AND(H592="L", P592&gt;=50%), "Pass",
IF(AND(H592="U", P592&gt;=60%), "Pass",
IF(AND(H592="O", P592&gt;=75%), "Pass", "Fail")))</f>
        <v/>
      </c>
      <c r="R592" s="104" t="n"/>
      <c r="S592" s="104" t="n">
        <v>11</v>
      </c>
      <c r="T592" s="104" t="n">
        <v>10</v>
      </c>
      <c r="U592" s="104">
        <f>SUM(S592:T592)</f>
        <v/>
      </c>
      <c r="V592" s="12">
        <f>U592/IF(H592="L",35,IF(H592="U",35,IF(H592="O",35,IF(H592="I",35,""))))</f>
        <v/>
      </c>
      <c r="W592" s="132">
        <f>IF(AND(H592="L", V592&gt;=50%), "Pass",
IF(AND(H592="U", V592&gt;=60%), "Pass",
IF(AND(H592="O", V592&gt;=75%), "Pass", "Fail")))</f>
        <v/>
      </c>
      <c r="X592" s="132">
        <f>IF(AND(Q592="Pass", W592="Pass"), "Pass", "Fail")</f>
        <v/>
      </c>
      <c r="Y592" s="15">
        <f>IF($X592="Pass",$H592,
IF(H592="L","I",
IF(H592="U","L",
IF(H592="O","U",
"I"))))</f>
        <v/>
      </c>
    </row>
    <row r="593">
      <c r="A593" s="147">
        <f>ROW()-2</f>
        <v/>
      </c>
      <c r="B593" s="127" t="inlineStr">
        <is>
          <t>KK0530</t>
        </is>
      </c>
      <c r="C593" s="128" t="inlineStr">
        <is>
          <t>VEMBU KRISHNAN N</t>
        </is>
      </c>
      <c r="D593" s="127" t="inlineStr">
        <is>
          <t>PRODUCTION</t>
        </is>
      </c>
      <c r="E593" s="129" t="inlineStr">
        <is>
          <t>TYRE CURING</t>
        </is>
      </c>
      <c r="F593" s="130" t="n">
        <v>42325</v>
      </c>
      <c r="G593" s="131">
        <f>NOW()-F593</f>
        <v/>
      </c>
      <c r="H593" s="104" t="inlineStr">
        <is>
          <t>O</t>
        </is>
      </c>
      <c r="I593" s="104" t="inlineStr">
        <is>
          <t>O</t>
        </is>
      </c>
      <c r="J593" s="104" t="n">
        <v>9</v>
      </c>
      <c r="K593" s="104" t="n">
        <v>8</v>
      </c>
      <c r="L593" s="104" t="n">
        <v>8</v>
      </c>
      <c r="M593" s="104" t="n">
        <v>5</v>
      </c>
      <c r="N593" s="104" t="n"/>
      <c r="O593" s="104">
        <f>SUM(J593:N593)</f>
        <v/>
      </c>
      <c r="P593" s="12">
        <f>O593/IF(H593="L",20,IF(H593="U",30,IF(H593="O",40,IF(H593="I",20,""))))</f>
        <v/>
      </c>
      <c r="Q593" s="132">
        <f>IF(AND(H593="L", P593&gt;=50%), "Pass",
IF(AND(H593="U", P593&gt;=60%), "Pass",
IF(AND(H593="O", P593&gt;=75%), "Pass", "Fail")))</f>
        <v/>
      </c>
      <c r="R593" s="104" t="n"/>
      <c r="S593" s="104" t="n">
        <v>14</v>
      </c>
      <c r="T593" s="104" t="n">
        <v>10</v>
      </c>
      <c r="U593" s="104">
        <f>SUM(S593:T593)</f>
        <v/>
      </c>
      <c r="V593" s="12">
        <f>U593/IF(H593="L",35,IF(H593="U",35,IF(H593="O",35,IF(H593="I",35,""))))</f>
        <v/>
      </c>
      <c r="W593" s="132">
        <f>IF(AND(H593="L", V593&gt;=50%), "Pass",
IF(AND(H593="U", V593&gt;=60%), "Pass",
IF(AND(H593="O", V593&gt;=75%), "Pass", "Fail")))</f>
        <v/>
      </c>
      <c r="X593" s="132">
        <f>IF(AND(Q593="Pass", W593="Pass"), "Pass", "Fail")</f>
        <v/>
      </c>
      <c r="Y593" s="15">
        <f>IF($X593="Pass",$H593,
IF(H593="L","I",
IF(H593="U","L",
IF(H593="O","U",
"I"))))</f>
        <v/>
      </c>
    </row>
    <row r="594">
      <c r="A594" s="147">
        <f>ROW()-2</f>
        <v/>
      </c>
      <c r="B594" s="127" t="inlineStr">
        <is>
          <t>KK0532</t>
        </is>
      </c>
      <c r="C594" s="128" t="inlineStr">
        <is>
          <t>MARI MUTHU S</t>
        </is>
      </c>
      <c r="D594" s="127" t="inlineStr">
        <is>
          <t>PRODUCTION</t>
        </is>
      </c>
      <c r="E594" s="129" t="inlineStr">
        <is>
          <t>BAND BUILDING-P1</t>
        </is>
      </c>
      <c r="F594" s="130" t="n">
        <v>42325</v>
      </c>
      <c r="G594" s="131">
        <f>NOW()-F594</f>
        <v/>
      </c>
      <c r="H594" s="104" t="inlineStr">
        <is>
          <t>O</t>
        </is>
      </c>
      <c r="I594" s="104" t="inlineStr">
        <is>
          <t>U</t>
        </is>
      </c>
      <c r="J594" s="104" t="n">
        <v>4</v>
      </c>
      <c r="K594" s="104" t="n">
        <v>1</v>
      </c>
      <c r="L594" s="104" t="n">
        <v>3</v>
      </c>
      <c r="M594" s="104" t="n">
        <v>3</v>
      </c>
      <c r="N594" s="104" t="n"/>
      <c r="O594" s="104">
        <f>SUM(J594:N594)</f>
        <v/>
      </c>
      <c r="P594" s="12">
        <f>O594/IF(H594="L",20,IF(H594="U",30,IF(H594="O",40,IF(H594="I",20,""))))</f>
        <v/>
      </c>
      <c r="Q594" s="132">
        <f>IF(AND(H594="L", P594&gt;=50%), "Pass",
IF(AND(H594="U", P594&gt;=60%), "Pass",
IF(AND(H594="O", P594&gt;=75%), "Pass", "Fail")))</f>
        <v/>
      </c>
      <c r="R594" s="104" t="n"/>
      <c r="S594" s="104" t="n">
        <v>10</v>
      </c>
      <c r="T594" s="104" t="n">
        <v>9</v>
      </c>
      <c r="U594" s="104">
        <f>SUM(S594:T594)</f>
        <v/>
      </c>
      <c r="V594" s="12">
        <f>U594/IF(H594="L",35,IF(H594="U",35,IF(H594="O",35,IF(H594="I",35,""))))</f>
        <v/>
      </c>
      <c r="W594" s="132">
        <f>IF(AND(H594="L", V594&gt;=50%), "Pass",
IF(AND(H594="U", V594&gt;=60%), "Pass",
IF(AND(H594="O", V594&gt;=75%), "Pass", "Fail")))</f>
        <v/>
      </c>
      <c r="X594" s="132">
        <f>IF(AND(Q594="Pass", W594="Pass"), "Pass", "Fail")</f>
        <v/>
      </c>
      <c r="Y594" s="15">
        <f>IF($X594="Pass",$H594,
IF(H594="L","I",
IF(H594="U","L",
IF(H594="O","U",
"I"))))</f>
        <v/>
      </c>
    </row>
    <row r="595">
      <c r="A595" s="147">
        <f>ROW()-2</f>
        <v/>
      </c>
      <c r="B595" s="127" t="inlineStr">
        <is>
          <t>SK2035</t>
        </is>
      </c>
      <c r="C595" s="128" t="inlineStr">
        <is>
          <t>JENIT M</t>
        </is>
      </c>
      <c r="D595" s="127" t="inlineStr">
        <is>
          <t>PRODUCTION</t>
        </is>
      </c>
      <c r="E595" s="129" t="inlineStr">
        <is>
          <t>BEAD WINDING</t>
        </is>
      </c>
      <c r="F595" s="130" t="n">
        <v>42326</v>
      </c>
      <c r="G595" s="131">
        <f>NOW()-F595</f>
        <v/>
      </c>
      <c r="H595" s="104" t="inlineStr">
        <is>
          <t>O</t>
        </is>
      </c>
      <c r="I595" s="104" t="inlineStr">
        <is>
          <t>U</t>
        </is>
      </c>
      <c r="J595" s="104" t="n">
        <v>7</v>
      </c>
      <c r="K595" s="104" t="n">
        <v>8</v>
      </c>
      <c r="L595" s="104" t="n">
        <v>6</v>
      </c>
      <c r="M595" s="104" t="n">
        <v>5</v>
      </c>
      <c r="N595" s="104" t="n"/>
      <c r="O595" s="104">
        <f>SUM(J595:N595)</f>
        <v/>
      </c>
      <c r="P595" s="12">
        <f>O595/IF(H595="L",20,IF(H595="U",30,IF(H595="O",40,IF(H595="I",20,""))))</f>
        <v/>
      </c>
      <c r="Q595" s="132">
        <f>IF(AND(H595="L", P595&gt;=50%), "Pass",
IF(AND(H595="U", P595&gt;=60%), "Pass",
IF(AND(H595="O", P595&gt;=75%), "Pass", "Fail")))</f>
        <v/>
      </c>
      <c r="R595" s="104" t="n"/>
      <c r="S595" s="104" t="n">
        <v>16</v>
      </c>
      <c r="T595" s="104" t="n">
        <v>12</v>
      </c>
      <c r="U595" s="104">
        <f>SUM(S595:T595)</f>
        <v/>
      </c>
      <c r="V595" s="12">
        <f>U595/IF(H595="L",35,IF(H595="U",35,IF(H595="O",35,IF(H595="I",35,""))))</f>
        <v/>
      </c>
      <c r="W595" s="132">
        <f>IF(AND(H595="L", V595&gt;=50%), "Pass",
IF(AND(H595="U", V595&gt;=60%), "Pass",
IF(AND(H595="O", V595&gt;=75%), "Pass", "Fail")))</f>
        <v/>
      </c>
      <c r="X595" s="132">
        <f>IF(AND(Q595="Pass", W595="Pass"), "Pass", "Fail")</f>
        <v/>
      </c>
      <c r="Y595" s="15">
        <f>IF($X595="Pass",$H595,
IF(H595="L","I",
IF(H595="U","L",
IF(H595="O","U",
"I"))))</f>
        <v/>
      </c>
    </row>
    <row r="596">
      <c r="A596" s="147">
        <f>ROW()-2</f>
        <v/>
      </c>
      <c r="B596" s="127" t="inlineStr">
        <is>
          <t>MG0881</t>
        </is>
      </c>
      <c r="C596" s="128" t="inlineStr">
        <is>
          <t>THANGA VELU T</t>
        </is>
      </c>
      <c r="D596" s="127" t="inlineStr">
        <is>
          <t>PRODUCTION</t>
        </is>
      </c>
      <c r="E596" s="129" t="inlineStr">
        <is>
          <t>TYRE CURING</t>
        </is>
      </c>
      <c r="F596" s="130" t="n">
        <v>42336</v>
      </c>
      <c r="G596" s="131">
        <f>NOW()-F596</f>
        <v/>
      </c>
      <c r="H596" s="104" t="inlineStr">
        <is>
          <t>O</t>
        </is>
      </c>
      <c r="I596" s="104" t="inlineStr">
        <is>
          <t>O</t>
        </is>
      </c>
      <c r="J596" s="104" t="n">
        <v>10</v>
      </c>
      <c r="K596" s="104" t="n">
        <v>9</v>
      </c>
      <c r="L596" s="104" t="n">
        <v>10</v>
      </c>
      <c r="M596" s="104" t="n">
        <v>5</v>
      </c>
      <c r="N596" s="104" t="n"/>
      <c r="O596" s="104">
        <f>SUM(J596:N596)</f>
        <v/>
      </c>
      <c r="P596" s="12">
        <f>O596/IF(H596="L",20,IF(H596="U",30,IF(H596="O",40,IF(H596="I",20,""))))</f>
        <v/>
      </c>
      <c r="Q596" s="132">
        <f>IF(AND(H596="L", P596&gt;=50%), "Pass",
IF(AND(H596="U", P596&gt;=60%), "Pass",
IF(AND(H596="O", P596&gt;=75%), "Pass", "Fail")))</f>
        <v/>
      </c>
      <c r="R596" s="104" t="n"/>
      <c r="S596" s="104" t="n">
        <v>14</v>
      </c>
      <c r="T596" s="104" t="n">
        <v>13</v>
      </c>
      <c r="U596" s="104">
        <f>SUM(S596:T596)</f>
        <v/>
      </c>
      <c r="V596" s="12">
        <f>U596/IF(H596="L",35,IF(H596="U",35,IF(H596="O",35,IF(H596="I",35,""))))</f>
        <v/>
      </c>
      <c r="W596" s="132">
        <f>IF(AND(H596="L", V596&gt;=50%), "Pass",
IF(AND(H596="U", V596&gt;=60%), "Pass",
IF(AND(H596="O", V596&gt;=75%), "Pass", "Fail")))</f>
        <v/>
      </c>
      <c r="X596" s="132">
        <f>IF(AND(Q596="Pass", W596="Pass"), "Pass", "Fail")</f>
        <v/>
      </c>
      <c r="Y596" s="15">
        <f>IF($X596="Pass",$H596,
IF(H596="L","I",
IF(H596="U","L",
IF(H596="O","U",
"I"))))</f>
        <v/>
      </c>
    </row>
    <row r="597">
      <c r="A597" s="147">
        <f>ROW()-2</f>
        <v/>
      </c>
      <c r="B597" s="127" t="inlineStr">
        <is>
          <t>PK0446</t>
        </is>
      </c>
      <c r="C597" s="128" t="inlineStr">
        <is>
          <t>MUTHU S</t>
        </is>
      </c>
      <c r="D597" s="127" t="inlineStr">
        <is>
          <t>PRODUCTION</t>
        </is>
      </c>
      <c r="E597" s="129" t="inlineStr">
        <is>
          <t>BAND BUILDING-P2</t>
        </is>
      </c>
      <c r="F597" s="130" t="n">
        <v>42336</v>
      </c>
      <c r="G597" s="131">
        <f>NOW()-F597</f>
        <v/>
      </c>
      <c r="H597" s="104" t="inlineStr">
        <is>
          <t>O</t>
        </is>
      </c>
      <c r="I597" s="104" t="inlineStr">
        <is>
          <t>O</t>
        </is>
      </c>
      <c r="J597" s="104" t="n">
        <v>10</v>
      </c>
      <c r="K597" s="104" t="n">
        <v>7</v>
      </c>
      <c r="L597" s="104" t="n">
        <v>9</v>
      </c>
      <c r="M597" s="104" t="n">
        <v>7</v>
      </c>
      <c r="N597" s="104" t="n"/>
      <c r="O597" s="104">
        <f>SUM(J597:N597)</f>
        <v/>
      </c>
      <c r="P597" s="12">
        <f>O597/IF(H597="L",20,IF(H597="U",30,IF(H597="O",40,IF(H597="I",20,""))))</f>
        <v/>
      </c>
      <c r="Q597" s="132">
        <f>IF(AND(H597="L", P597&gt;=50%), "Pass",
IF(AND(H597="U", P597&gt;=60%), "Pass",
IF(AND(H597="O", P597&gt;=75%), "Pass", "Fail")))</f>
        <v/>
      </c>
      <c r="R597" s="104" t="n"/>
      <c r="S597" s="104" t="n">
        <v>16</v>
      </c>
      <c r="T597" s="104" t="n">
        <v>12</v>
      </c>
      <c r="U597" s="104">
        <f>SUM(S597:T597)</f>
        <v/>
      </c>
      <c r="V597" s="12">
        <f>U597/IF(H597="L",35,IF(H597="U",35,IF(H597="O",35,IF(H597="I",35,""))))</f>
        <v/>
      </c>
      <c r="W597" s="132">
        <f>IF(AND(H597="L", V597&gt;=50%), "Pass",
IF(AND(H597="U", V597&gt;=60%), "Pass",
IF(AND(H597="O", V597&gt;=75%), "Pass", "Fail")))</f>
        <v/>
      </c>
      <c r="X597" s="132">
        <f>IF(AND(Q597="Pass", W597="Pass"), "Pass", "Fail")</f>
        <v/>
      </c>
      <c r="Y597" s="15">
        <f>IF($X597="Pass",$H597,
IF(H597="L","I",
IF(H597="U","L",
IF(H597="O","U",
"I"))))</f>
        <v/>
      </c>
    </row>
    <row r="598">
      <c r="A598" s="147">
        <f>ROW()-2</f>
        <v/>
      </c>
      <c r="B598" s="127" t="inlineStr">
        <is>
          <t>KK0562</t>
        </is>
      </c>
      <c r="C598" s="128" t="inlineStr">
        <is>
          <t>SAPPANI MUTHU S</t>
        </is>
      </c>
      <c r="D598" s="127" t="inlineStr">
        <is>
          <t>PRODUCTION</t>
        </is>
      </c>
      <c r="E598" s="129" t="inlineStr">
        <is>
          <t>TYRE CURING</t>
        </is>
      </c>
      <c r="F598" s="130" t="n">
        <v>42349</v>
      </c>
      <c r="G598" s="131">
        <f>NOW()-F598</f>
        <v/>
      </c>
      <c r="H598" s="104" t="inlineStr">
        <is>
          <t>O</t>
        </is>
      </c>
      <c r="I598" s="104" t="inlineStr">
        <is>
          <t>U</t>
        </is>
      </c>
      <c r="J598" s="104" t="n">
        <v>9</v>
      </c>
      <c r="K598" s="104" t="n">
        <v>9</v>
      </c>
      <c r="L598" s="104" t="n">
        <v>9</v>
      </c>
      <c r="M598" s="104" t="n">
        <v>7</v>
      </c>
      <c r="N598" s="104" t="n"/>
      <c r="O598" s="104">
        <f>SUM(J598:N598)</f>
        <v/>
      </c>
      <c r="P598" s="12">
        <f>O598/IF(H598="L",20,IF(H598="U",30,IF(H598="O",40,IF(H598="I",20,""))))</f>
        <v/>
      </c>
      <c r="Q598" s="132">
        <f>IF(AND(H598="L", P598&gt;=50%), "Pass",
IF(AND(H598="U", P598&gt;=60%), "Pass",
IF(AND(H598="O", P598&gt;=75%), "Pass", "Fail")))</f>
        <v/>
      </c>
      <c r="R598" s="104" t="n"/>
      <c r="S598" s="104" t="n">
        <v>11</v>
      </c>
      <c r="T598" s="104" t="n">
        <v>9</v>
      </c>
      <c r="U598" s="104">
        <f>SUM(S598:T598)</f>
        <v/>
      </c>
      <c r="V598" s="12">
        <f>U598/IF(H598="L",35,IF(H598="U",35,IF(H598="O",35,IF(H598="I",35,""))))</f>
        <v/>
      </c>
      <c r="W598" s="132">
        <f>IF(AND(H598="L", V598&gt;=50%), "Pass",
IF(AND(H598="U", V598&gt;=60%), "Pass",
IF(AND(H598="O", V598&gt;=75%), "Pass", "Fail")))</f>
        <v/>
      </c>
      <c r="X598" s="132">
        <f>IF(AND(Q598="Pass", W598="Pass"), "Pass", "Fail")</f>
        <v/>
      </c>
      <c r="Y598" s="15">
        <f>IF($X598="Pass",$H598,
IF(H598="L","I",
IF(H598="U","L",
IF(H598="O","U",
"I"))))</f>
        <v/>
      </c>
    </row>
    <row r="599">
      <c r="A599" s="147">
        <f>ROW()-2</f>
        <v/>
      </c>
      <c r="B599" s="127" t="inlineStr">
        <is>
          <t>SK2045</t>
        </is>
      </c>
      <c r="C599" s="128" t="inlineStr">
        <is>
          <t>CHIDAMBARAM S</t>
        </is>
      </c>
      <c r="D599" s="127" t="inlineStr">
        <is>
          <t>PRODUCTION</t>
        </is>
      </c>
      <c r="E599" s="129" t="inlineStr">
        <is>
          <t>TYRE BUILDING-P3</t>
        </is>
      </c>
      <c r="F599" s="130" t="n">
        <v>42349</v>
      </c>
      <c r="G599" s="131">
        <f>NOW()-F599</f>
        <v/>
      </c>
      <c r="H599" s="104" t="inlineStr">
        <is>
          <t>O</t>
        </is>
      </c>
      <c r="I599" s="104" t="inlineStr">
        <is>
          <t>O</t>
        </is>
      </c>
      <c r="J599" s="104" t="n">
        <v>8</v>
      </c>
      <c r="K599" s="104" t="n">
        <v>10</v>
      </c>
      <c r="L599" s="104" t="n">
        <v>8</v>
      </c>
      <c r="M599" s="104" t="n">
        <v>9</v>
      </c>
      <c r="N599" s="104" t="n"/>
      <c r="O599" s="104">
        <f>SUM(J599:N599)</f>
        <v/>
      </c>
      <c r="P599" s="12">
        <f>O599/IF(H599="L",20,IF(H599="U",30,IF(H599="O",40,IF(H599="I",20,""))))</f>
        <v/>
      </c>
      <c r="Q599" s="132">
        <f>IF(AND(H599="L", P599&gt;=50%), "Pass",
IF(AND(H599="U", P599&gt;=60%), "Pass",
IF(AND(H599="O", P599&gt;=75%), "Pass", "Fail")))</f>
        <v/>
      </c>
      <c r="R599" s="104" t="n"/>
      <c r="S599" s="104" t="n">
        <v>18</v>
      </c>
      <c r="T599" s="104" t="n">
        <v>14</v>
      </c>
      <c r="U599" s="104">
        <f>SUM(S599:T599)</f>
        <v/>
      </c>
      <c r="V599" s="12">
        <f>U599/IF(H599="L",35,IF(H599="U",35,IF(H599="O",35,IF(H599="I",35,""))))</f>
        <v/>
      </c>
      <c r="W599" s="132">
        <f>IF(AND(H599="L", V599&gt;=50%), "Pass",
IF(AND(H599="U", V599&gt;=60%), "Pass",
IF(AND(H599="O", V599&gt;=75%), "Pass", "Fail")))</f>
        <v/>
      </c>
      <c r="X599" s="132">
        <f>IF(AND(Q599="Pass", W599="Pass"), "Pass", "Fail")</f>
        <v/>
      </c>
      <c r="Y599" s="15">
        <f>IF($X599="Pass",$H599,
IF(H599="L","I",
IF(H599="U","L",
IF(H599="O","U",
"I"))))</f>
        <v/>
      </c>
    </row>
    <row r="600">
      <c r="A600" s="147">
        <f>ROW()-2</f>
        <v/>
      </c>
      <c r="B600" s="127" t="inlineStr">
        <is>
          <t>AK0651</t>
        </is>
      </c>
      <c r="C600" s="128" t="inlineStr">
        <is>
          <t>UCHI MAKALI PANDI M</t>
        </is>
      </c>
      <c r="D600" s="127" t="inlineStr">
        <is>
          <t>PRODUCTION</t>
        </is>
      </c>
      <c r="E600" s="129" t="inlineStr">
        <is>
          <t>TYRE BUILDING-P3</t>
        </is>
      </c>
      <c r="F600" s="130" t="n">
        <v>42350</v>
      </c>
      <c r="G600" s="131">
        <f>NOW()-F600</f>
        <v/>
      </c>
      <c r="H600" s="104" t="inlineStr">
        <is>
          <t>O</t>
        </is>
      </c>
      <c r="I600" s="104" t="inlineStr">
        <is>
          <t>O</t>
        </is>
      </c>
      <c r="J600" s="104" t="n">
        <v>10</v>
      </c>
      <c r="K600" s="104" t="n">
        <v>9</v>
      </c>
      <c r="L600" s="104" t="n">
        <v>7</v>
      </c>
      <c r="M600" s="104" t="n">
        <v>9</v>
      </c>
      <c r="N600" s="104" t="n"/>
      <c r="O600" s="104">
        <f>SUM(J600:N600)</f>
        <v/>
      </c>
      <c r="P600" s="12">
        <f>O600/IF(H600="L",20,IF(H600="U",30,IF(H600="O",40,IF(H600="I",20,""))))</f>
        <v/>
      </c>
      <c r="Q600" s="132">
        <f>IF(AND(H600="L", P600&gt;=50%), "Pass",
IF(AND(H600="U", P600&gt;=60%), "Pass",
IF(AND(H600="O", P600&gt;=75%), "Pass", "Fail")))</f>
        <v/>
      </c>
      <c r="R600" s="104" t="n"/>
      <c r="S600" s="104" t="n">
        <v>18</v>
      </c>
      <c r="T600" s="104" t="n">
        <v>15</v>
      </c>
      <c r="U600" s="104">
        <f>SUM(S600:T600)</f>
        <v/>
      </c>
      <c r="V600" s="12">
        <f>U600/IF(H600="L",35,IF(H600="U",35,IF(H600="O",35,IF(H600="I",35,""))))</f>
        <v/>
      </c>
      <c r="W600" s="132">
        <f>IF(AND(H600="L", V600&gt;=50%), "Pass",
IF(AND(H600="U", V600&gt;=60%), "Pass",
IF(AND(H600="O", V600&gt;=75%), "Pass", "Fail")))</f>
        <v/>
      </c>
      <c r="X600" s="132">
        <f>IF(AND(Q600="Pass", W600="Pass"), "Pass", "Fail")</f>
        <v/>
      </c>
      <c r="Y600" s="15">
        <f>IF($X600="Pass",$H600,
IF(H600="L","I",
IF(H600="U","L",
IF(H600="O","U",
"I"))))</f>
        <v/>
      </c>
    </row>
    <row r="601">
      <c r="A601" s="147">
        <f>ROW()-2</f>
        <v/>
      </c>
      <c r="B601" s="127" t="inlineStr">
        <is>
          <t>SK2415</t>
        </is>
      </c>
      <c r="C601" s="128" t="inlineStr">
        <is>
          <t>SANKAR M</t>
        </is>
      </c>
      <c r="D601" s="127" t="inlineStr">
        <is>
          <t>PRODUCTION</t>
        </is>
      </c>
      <c r="E601" s="129" t="inlineStr">
        <is>
          <t>EXTRUDER</t>
        </is>
      </c>
      <c r="F601" s="130" t="n">
        <v>42373</v>
      </c>
      <c r="G601" s="131">
        <f>NOW()-F601</f>
        <v/>
      </c>
      <c r="H601" s="104" t="inlineStr">
        <is>
          <t>O</t>
        </is>
      </c>
      <c r="I601" s="104" t="inlineStr">
        <is>
          <t>U</t>
        </is>
      </c>
      <c r="J601" s="104" t="n">
        <v>6</v>
      </c>
      <c r="K601" s="104" t="n">
        <v>4</v>
      </c>
      <c r="L601" s="104" t="n">
        <v>10</v>
      </c>
      <c r="M601" s="104" t="n">
        <v>0</v>
      </c>
      <c r="N601" s="104" t="n"/>
      <c r="O601" s="104">
        <f>SUM(J601:N601)</f>
        <v/>
      </c>
      <c r="P601" s="12">
        <f>O601/IF(H601="L",20,IF(H601="U",30,IF(H601="O",40,IF(H601="I",20,""))))</f>
        <v/>
      </c>
      <c r="Q601" s="132">
        <f>IF(AND(H601="L", P601&gt;=50%), "Pass",
IF(AND(H601="U", P601&gt;=60%), "Pass",
IF(AND(H601="O", P601&gt;=75%), "Pass", "Fail")))</f>
        <v/>
      </c>
      <c r="R601" s="104" t="n"/>
      <c r="S601" s="104" t="n">
        <v>13</v>
      </c>
      <c r="T601" s="104" t="n">
        <v>8</v>
      </c>
      <c r="U601" s="104">
        <f>SUM(S601:T601)</f>
        <v/>
      </c>
      <c r="V601" s="12">
        <f>U601/IF(H601="L",35,IF(H601="U",35,IF(H601="O",35,IF(H601="I",35,""))))</f>
        <v/>
      </c>
      <c r="W601" s="132">
        <f>IF(AND(H601="L", V601&gt;=50%), "Pass",
IF(AND(H601="U", V601&gt;=60%), "Pass",
IF(AND(H601="O", V601&gt;=75%), "Pass", "Fail")))</f>
        <v/>
      </c>
      <c r="X601" s="132">
        <f>IF(AND(Q601="Pass", W601="Pass"), "Pass", "Fail")</f>
        <v/>
      </c>
      <c r="Y601" s="15">
        <f>IF($X601="Pass",$H601,
IF(H601="L","I",
IF(H601="U","L",
IF(H601="O","U",
"I"))))</f>
        <v/>
      </c>
    </row>
    <row r="602">
      <c r="A602" s="147">
        <f>ROW()-2</f>
        <v/>
      </c>
      <c r="B602" s="127" t="inlineStr">
        <is>
          <t>SR0630</t>
        </is>
      </c>
      <c r="C602" s="128" t="inlineStr">
        <is>
          <t>IMMANUVEL J</t>
        </is>
      </c>
      <c r="D602" s="127" t="inlineStr">
        <is>
          <t>PRODUCTION</t>
        </is>
      </c>
      <c r="E602" s="129" t="inlineStr">
        <is>
          <t>TYRE BUILDING-P1</t>
        </is>
      </c>
      <c r="F602" s="130" t="n">
        <v>42374</v>
      </c>
      <c r="G602" s="131">
        <f>NOW()-F602</f>
        <v/>
      </c>
      <c r="H602" s="104" t="inlineStr">
        <is>
          <t>O</t>
        </is>
      </c>
      <c r="I602" s="104" t="inlineStr">
        <is>
          <t>U</t>
        </is>
      </c>
      <c r="J602" s="104" t="n">
        <v>6</v>
      </c>
      <c r="K602" s="104" t="n">
        <v>10</v>
      </c>
      <c r="L602" s="104" t="n">
        <v>6</v>
      </c>
      <c r="M602" s="104" t="n">
        <v>7</v>
      </c>
      <c r="N602" s="104" t="n"/>
      <c r="O602" s="104">
        <f>SUM(J602:N602)</f>
        <v/>
      </c>
      <c r="P602" s="12">
        <f>O602/IF(H602="L",20,IF(H602="U",30,IF(H602="O",40,IF(H602="I",20,""))))</f>
        <v/>
      </c>
      <c r="Q602" s="132">
        <f>IF(AND(H602="L", P602&gt;=50%), "Pass",
IF(AND(H602="U", P602&gt;=60%), "Pass",
IF(AND(H602="O", P602&gt;=75%), "Pass", "Fail")))</f>
        <v/>
      </c>
      <c r="R602" s="104" t="n"/>
      <c r="S602" s="104" t="n">
        <v>11</v>
      </c>
      <c r="T602" s="104" t="n">
        <v>12</v>
      </c>
      <c r="U602" s="104">
        <f>SUM(S602:T602)</f>
        <v/>
      </c>
      <c r="V602" s="12">
        <f>U602/IF(H602="L",35,IF(H602="U",35,IF(H602="O",35,IF(H602="I",35,""))))</f>
        <v/>
      </c>
      <c r="W602" s="132">
        <f>IF(AND(H602="L", V602&gt;=50%), "Pass",
IF(AND(H602="U", V602&gt;=60%), "Pass",
IF(AND(H602="O", V602&gt;=75%), "Pass", "Fail")))</f>
        <v/>
      </c>
      <c r="X602" s="132">
        <f>IF(AND(Q602="Pass", W602="Pass"), "Pass", "Fail")</f>
        <v/>
      </c>
      <c r="Y602" s="15">
        <f>IF($X602="Pass",$H602,
IF(H602="L","I",
IF(H602="U","L",
IF(H602="O","U",
"I"))))</f>
        <v/>
      </c>
    </row>
    <row r="603">
      <c r="A603" s="147">
        <f>ROW()-2</f>
        <v/>
      </c>
      <c r="B603" s="127" t="inlineStr">
        <is>
          <t>KK0582</t>
        </is>
      </c>
      <c r="C603" s="128" t="inlineStr">
        <is>
          <t>UMESH S</t>
        </is>
      </c>
      <c r="D603" s="127" t="inlineStr">
        <is>
          <t>PRODUCTION</t>
        </is>
      </c>
      <c r="E603" s="129" t="inlineStr">
        <is>
          <t>3 ROLL-P2</t>
        </is>
      </c>
      <c r="F603" s="130" t="n">
        <v>42375</v>
      </c>
      <c r="G603" s="131">
        <f>NOW()-F603</f>
        <v/>
      </c>
      <c r="H603" s="104" t="inlineStr">
        <is>
          <t>O</t>
        </is>
      </c>
      <c r="I603" s="104" t="inlineStr">
        <is>
          <t>U</t>
        </is>
      </c>
      <c r="J603" s="104" t="n">
        <v>5</v>
      </c>
      <c r="K603" s="104" t="n">
        <v>6</v>
      </c>
      <c r="L603" s="104" t="n">
        <v>5</v>
      </c>
      <c r="M603" s="104" t="n">
        <v>5</v>
      </c>
      <c r="N603" s="104" t="n"/>
      <c r="O603" s="104">
        <f>SUM(J603:N603)</f>
        <v/>
      </c>
      <c r="P603" s="12">
        <f>O603/IF(H603="L",20,IF(H603="U",30,IF(H603="O",40,IF(H603="I",20,""))))</f>
        <v/>
      </c>
      <c r="Q603" s="132">
        <f>IF(AND(H603="L", P603&gt;=50%), "Pass",
IF(AND(H603="U", P603&gt;=60%), "Pass",
IF(AND(H603="O", P603&gt;=75%), "Pass", "Fail")))</f>
        <v/>
      </c>
      <c r="R603" s="104" t="n"/>
      <c r="S603" s="104" t="n">
        <v>14</v>
      </c>
      <c r="T603" s="104" t="n">
        <v>11</v>
      </c>
      <c r="U603" s="104">
        <f>SUM(S603:T603)</f>
        <v/>
      </c>
      <c r="V603" s="12">
        <f>U603/IF(H603="L",35,IF(H603="U",35,IF(H603="O",35,IF(H603="I",35,""))))</f>
        <v/>
      </c>
      <c r="W603" s="132">
        <f>IF(AND(H603="L", V603&gt;=50%), "Pass",
IF(AND(H603="U", V603&gt;=60%), "Pass",
IF(AND(H603="O", V603&gt;=75%), "Pass", "Fail")))</f>
        <v/>
      </c>
      <c r="X603" s="132">
        <f>IF(AND(Q603="Pass", W603="Pass"), "Pass", "Fail")</f>
        <v/>
      </c>
      <c r="Y603" s="15">
        <f>IF($X603="Pass",$H603,
IF(H603="L","I",
IF(H603="U","L",
IF(H603="O","U",
"I"))))</f>
        <v/>
      </c>
    </row>
    <row r="604">
      <c r="A604" s="147">
        <f>ROW()-2</f>
        <v/>
      </c>
      <c r="B604" s="127" t="inlineStr">
        <is>
          <t>PK0706</t>
        </is>
      </c>
      <c r="C604" s="128" t="inlineStr">
        <is>
          <t>THANGA NAINAR M</t>
        </is>
      </c>
      <c r="D604" s="127" t="inlineStr">
        <is>
          <t>PRODUCTION</t>
        </is>
      </c>
      <c r="E604" s="129" t="inlineStr">
        <is>
          <t>BIAS MARANGONI&amp;BESTRY</t>
        </is>
      </c>
      <c r="F604" s="130" t="n">
        <v>42423</v>
      </c>
      <c r="G604" s="131">
        <f>NOW()-F604</f>
        <v/>
      </c>
      <c r="H604" s="104" t="inlineStr">
        <is>
          <t>O</t>
        </is>
      </c>
      <c r="I604" s="104" t="inlineStr">
        <is>
          <t>U</t>
        </is>
      </c>
      <c r="J604" s="104" t="n">
        <v>9</v>
      </c>
      <c r="K604" s="104" t="n">
        <v>10</v>
      </c>
      <c r="L604" s="104" t="n">
        <v>9</v>
      </c>
      <c r="M604" s="104" t="n">
        <v>9</v>
      </c>
      <c r="N604" s="104" t="n"/>
      <c r="O604" s="104">
        <f>SUM(J604:N604)</f>
        <v/>
      </c>
      <c r="P604" s="12">
        <f>O604/IF(H604="L",20,IF(H604="U",30,IF(H604="O",40,IF(H604="I",20,""))))</f>
        <v/>
      </c>
      <c r="Q604" s="132">
        <f>IF(AND(H604="L", P604&gt;=50%), "Pass",
IF(AND(H604="U", P604&gt;=60%), "Pass",
IF(AND(H604="O", P604&gt;=75%), "Pass", "Fail")))</f>
        <v/>
      </c>
      <c r="R604" s="104" t="n"/>
      <c r="S604" s="104" t="n">
        <v>16</v>
      </c>
      <c r="T604" s="104" t="n">
        <v>12</v>
      </c>
      <c r="U604" s="104">
        <f>SUM(S604:T604)</f>
        <v/>
      </c>
      <c r="V604" s="12">
        <f>U604/IF(H604="L",35,IF(H604="U",35,IF(H604="O",35,IF(H604="I",35,""))))</f>
        <v/>
      </c>
      <c r="W604" s="132">
        <f>IF(AND(H604="L", V604&gt;=50%), "Pass",
IF(AND(H604="U", V604&gt;=60%), "Pass",
IF(AND(H604="O", V604&gt;=75%), "Pass", "Fail")))</f>
        <v/>
      </c>
      <c r="X604" s="132">
        <f>IF(AND(Q604="Pass", W604="Pass"), "Pass", "Fail")</f>
        <v/>
      </c>
      <c r="Y604" s="15">
        <f>IF($X604="Pass",$H604,
IF(H604="L","I",
IF(H604="U","L",
IF(H604="O","U",
"I"))))</f>
        <v/>
      </c>
    </row>
    <row r="605">
      <c r="A605" s="147">
        <f>ROW()-2</f>
        <v/>
      </c>
      <c r="B605" s="127" t="inlineStr">
        <is>
          <t>PK0708</t>
        </is>
      </c>
      <c r="C605" s="128" t="inlineStr">
        <is>
          <t>MARIAPPAN K</t>
        </is>
      </c>
      <c r="D605" s="127" t="inlineStr">
        <is>
          <t>PRODUCTION</t>
        </is>
      </c>
      <c r="E605" s="129" t="inlineStr">
        <is>
          <t>TYRE CURING</t>
        </is>
      </c>
      <c r="F605" s="130" t="n">
        <v>42455</v>
      </c>
      <c r="G605" s="131">
        <f>NOW()-F605</f>
        <v/>
      </c>
      <c r="H605" s="104" t="inlineStr">
        <is>
          <t>O</t>
        </is>
      </c>
      <c r="I605" s="104" t="inlineStr">
        <is>
          <t>O</t>
        </is>
      </c>
      <c r="J605" s="104" t="n">
        <v>9</v>
      </c>
      <c r="K605" s="104" t="n">
        <v>9</v>
      </c>
      <c r="L605" s="104" t="n">
        <v>9</v>
      </c>
      <c r="M605" s="104" t="n">
        <v>8</v>
      </c>
      <c r="N605" s="104" t="n"/>
      <c r="O605" s="104">
        <f>SUM(J605:N605)</f>
        <v/>
      </c>
      <c r="P605" s="12">
        <f>O605/IF(H605="L",20,IF(H605="U",30,IF(H605="O",40,IF(H605="I",20,""))))</f>
        <v/>
      </c>
      <c r="Q605" s="132">
        <f>IF(AND(H605="L", P605&gt;=50%), "Pass",
IF(AND(H605="U", P605&gt;=60%), "Pass",
IF(AND(H605="O", P605&gt;=75%), "Pass", "Fail")))</f>
        <v/>
      </c>
      <c r="R605" s="104" t="n"/>
      <c r="S605" s="104" t="n">
        <v>12</v>
      </c>
      <c r="T605" s="104" t="n">
        <v>11</v>
      </c>
      <c r="U605" s="104">
        <f>SUM(S605:T605)</f>
        <v/>
      </c>
      <c r="V605" s="12">
        <f>U605/IF(H605="L",35,IF(H605="U",35,IF(H605="O",35,IF(H605="I",35,""))))</f>
        <v/>
      </c>
      <c r="W605" s="132">
        <f>IF(AND(H605="L", V605&gt;=50%), "Pass",
IF(AND(H605="U", V605&gt;=60%), "Pass",
IF(AND(H605="O", V605&gt;=75%), "Pass", "Fail")))</f>
        <v/>
      </c>
      <c r="X605" s="132">
        <f>IF(AND(Q605="Pass", W605="Pass"), "Pass", "Fail")</f>
        <v/>
      </c>
      <c r="Y605" s="15">
        <f>IF($X605="Pass",$H605,
IF(H605="L","I",
IF(H605="U","L",
IF(H605="O","U",
"I"))))</f>
        <v/>
      </c>
    </row>
    <row r="606">
      <c r="A606" s="147">
        <f>ROW()-2</f>
        <v/>
      </c>
      <c r="B606" s="127" t="inlineStr">
        <is>
          <t>AK0419</t>
        </is>
      </c>
      <c r="C606" s="128" t="inlineStr">
        <is>
          <t>PAL PANDI S</t>
        </is>
      </c>
      <c r="D606" s="127" t="inlineStr">
        <is>
          <t>PRODUCTION</t>
        </is>
      </c>
      <c r="E606" s="129" t="inlineStr">
        <is>
          <t>TYRE BUILDING-P2</t>
        </is>
      </c>
      <c r="F606" s="130" t="n">
        <v>42469</v>
      </c>
      <c r="G606" s="131">
        <f>NOW()-F606</f>
        <v/>
      </c>
      <c r="H606" s="104" t="inlineStr">
        <is>
          <t>O</t>
        </is>
      </c>
      <c r="I606" s="104" t="inlineStr">
        <is>
          <t>U</t>
        </is>
      </c>
      <c r="J606" s="104" t="n">
        <v>7</v>
      </c>
      <c r="K606" s="104" t="n">
        <v>6</v>
      </c>
      <c r="L606" s="104" t="n">
        <v>7</v>
      </c>
      <c r="M606" s="104" t="n">
        <v>8</v>
      </c>
      <c r="N606" s="104" t="n"/>
      <c r="O606" s="104">
        <f>SUM(J606:N606)</f>
        <v/>
      </c>
      <c r="P606" s="12">
        <f>O606/IF(H606="L",20,IF(H606="U",30,IF(H606="O",40,IF(H606="I",20,""))))</f>
        <v/>
      </c>
      <c r="Q606" s="132">
        <f>IF(AND(H606="L", P606&gt;=50%), "Pass",
IF(AND(H606="U", P606&gt;=60%), "Pass",
IF(AND(H606="O", P606&gt;=75%), "Pass", "Fail")))</f>
        <v/>
      </c>
      <c r="R606" s="104" t="n"/>
      <c r="S606" s="104" t="n">
        <v>10</v>
      </c>
      <c r="T606" s="104" t="n">
        <v>7</v>
      </c>
      <c r="U606" s="104">
        <f>SUM(S606:T606)</f>
        <v/>
      </c>
      <c r="V606" s="12">
        <f>U606/IF(H606="L",35,IF(H606="U",35,IF(H606="O",35,IF(H606="I",35,""))))</f>
        <v/>
      </c>
      <c r="W606" s="132">
        <f>IF(AND(H606="L", V606&gt;=50%), "Pass",
IF(AND(H606="U", V606&gt;=60%), "Pass",
IF(AND(H606="O", V606&gt;=75%), "Pass", "Fail")))</f>
        <v/>
      </c>
      <c r="X606" s="132">
        <f>IF(AND(Q606="Pass", W606="Pass"), "Pass", "Fail")</f>
        <v/>
      </c>
      <c r="Y606" s="15">
        <f>IF($X606="Pass",$H606,
IF(H606="L","I",
IF(H606="U","L",
IF(H606="O","U",
"I"))))</f>
        <v/>
      </c>
    </row>
    <row r="607">
      <c r="A607" s="147">
        <f>ROW()-2</f>
        <v/>
      </c>
      <c r="B607" s="127" t="inlineStr">
        <is>
          <t>SK2420</t>
        </is>
      </c>
      <c r="C607" s="128" t="inlineStr">
        <is>
          <t>RAVI SANKAR T</t>
        </is>
      </c>
      <c r="D607" s="127" t="inlineStr">
        <is>
          <t>PRODUCTION</t>
        </is>
      </c>
      <c r="E607" s="129" t="inlineStr">
        <is>
          <t>TYRE BUILDING-P2</t>
        </is>
      </c>
      <c r="F607" s="130" t="n">
        <v>42475</v>
      </c>
      <c r="G607" s="131">
        <f>NOW()-F607</f>
        <v/>
      </c>
      <c r="H607" s="104" t="inlineStr">
        <is>
          <t>O</t>
        </is>
      </c>
      <c r="I607" s="104" t="inlineStr">
        <is>
          <t>U</t>
        </is>
      </c>
      <c r="J607" s="104" t="n">
        <v>9</v>
      </c>
      <c r="K607" s="104" t="n">
        <v>10</v>
      </c>
      <c r="L607" s="104" t="n">
        <v>4</v>
      </c>
      <c r="M607" s="104" t="n">
        <v>8</v>
      </c>
      <c r="N607" s="104" t="n"/>
      <c r="O607" s="104">
        <f>SUM(J607:N607)</f>
        <v/>
      </c>
      <c r="P607" s="12">
        <f>O607/IF(H607="L",20,IF(H607="U",30,IF(H607="O",40,IF(H607="I",20,""))))</f>
        <v/>
      </c>
      <c r="Q607" s="132">
        <f>IF(AND(H607="L", P607&gt;=50%), "Pass",
IF(AND(H607="U", P607&gt;=60%), "Pass",
IF(AND(H607="O", P607&gt;=75%), "Pass", "Fail")))</f>
        <v/>
      </c>
      <c r="R607" s="104" t="n"/>
      <c r="S607" s="104" t="n">
        <v>12</v>
      </c>
      <c r="T607" s="104" t="n">
        <v>8</v>
      </c>
      <c r="U607" s="104">
        <f>SUM(S607:T607)</f>
        <v/>
      </c>
      <c r="V607" s="12">
        <f>U607/IF(H607="L",35,IF(H607="U",35,IF(H607="O",35,IF(H607="I",35,""))))</f>
        <v/>
      </c>
      <c r="W607" s="132">
        <f>IF(AND(H607="L", V607&gt;=50%), "Pass",
IF(AND(H607="U", V607&gt;=60%), "Pass",
IF(AND(H607="O", V607&gt;=75%), "Pass", "Fail")))</f>
        <v/>
      </c>
      <c r="X607" s="132">
        <f>IF(AND(Q607="Pass", W607="Pass"), "Pass", "Fail")</f>
        <v/>
      </c>
      <c r="Y607" s="15">
        <f>IF($X607="Pass",$H607,
IF(H607="L","I",
IF(H607="U","L",
IF(H607="O","U",
"I"))))</f>
        <v/>
      </c>
    </row>
    <row r="608">
      <c r="A608" s="147">
        <f>ROW()-2</f>
        <v/>
      </c>
      <c r="B608" s="127" t="inlineStr">
        <is>
          <t>SR0633</t>
        </is>
      </c>
      <c r="C608" s="128" t="inlineStr">
        <is>
          <t>CHELLADURAI E</t>
        </is>
      </c>
      <c r="D608" s="127" t="inlineStr">
        <is>
          <t>PRODUCTION</t>
        </is>
      </c>
      <c r="E608" s="129" t="inlineStr">
        <is>
          <t>TYRE BUILDING-P1</t>
        </is>
      </c>
      <c r="F608" s="130" t="n">
        <v>42475</v>
      </c>
      <c r="G608" s="131">
        <f>NOW()-F608</f>
        <v/>
      </c>
      <c r="H608" s="104" t="inlineStr">
        <is>
          <t>O</t>
        </is>
      </c>
      <c r="I608" s="104" t="inlineStr">
        <is>
          <t>U</t>
        </is>
      </c>
      <c r="J608" s="104" t="n">
        <v>3</v>
      </c>
      <c r="K608" s="104" t="n">
        <v>2</v>
      </c>
      <c r="L608" s="104" t="n">
        <v>5</v>
      </c>
      <c r="M608" s="104" t="n">
        <v>6</v>
      </c>
      <c r="N608" s="104" t="n"/>
      <c r="O608" s="104">
        <f>SUM(J608:N608)</f>
        <v/>
      </c>
      <c r="P608" s="12">
        <f>O608/IF(H608="L",20,IF(H608="U",30,IF(H608="O",40,IF(H608="I",20,""))))</f>
        <v/>
      </c>
      <c r="Q608" s="132">
        <f>IF(AND(H608="L", P608&gt;=50%), "Pass",
IF(AND(H608="U", P608&gt;=60%), "Pass",
IF(AND(H608="O", P608&gt;=75%), "Pass", "Fail")))</f>
        <v/>
      </c>
      <c r="R608" s="104" t="n"/>
      <c r="S608" s="104" t="n">
        <v>15</v>
      </c>
      <c r="T608" s="104" t="n">
        <v>12</v>
      </c>
      <c r="U608" s="104">
        <f>SUM(S608:T608)</f>
        <v/>
      </c>
      <c r="V608" s="12">
        <f>U608/IF(H608="L",35,IF(H608="U",35,IF(H608="O",35,IF(H608="I",35,""))))</f>
        <v/>
      </c>
      <c r="W608" s="132">
        <f>IF(AND(H608="L", V608&gt;=50%), "Pass",
IF(AND(H608="U", V608&gt;=60%), "Pass",
IF(AND(H608="O", V608&gt;=75%), "Pass", "Fail")))</f>
        <v/>
      </c>
      <c r="X608" s="132">
        <f>IF(AND(Q608="Pass", W608="Pass"), "Pass", "Fail")</f>
        <v/>
      </c>
      <c r="Y608" s="15">
        <f>IF($X608="Pass",$H608,
IF(H608="L","I",
IF(H608="U","L",
IF(H608="O","U",
"I"))))</f>
        <v/>
      </c>
    </row>
    <row r="609">
      <c r="A609" s="147">
        <f>ROW()-2</f>
        <v/>
      </c>
      <c r="B609" s="127" t="inlineStr">
        <is>
          <t>MG0914</t>
        </is>
      </c>
      <c r="C609" s="128" t="inlineStr">
        <is>
          <t>VELKUMAR D</t>
        </is>
      </c>
      <c r="D609" s="127" t="inlineStr">
        <is>
          <t>PRODUCTION</t>
        </is>
      </c>
      <c r="E609" s="129" t="inlineStr">
        <is>
          <t>TYRE BUILDING-P3</t>
        </is>
      </c>
      <c r="F609" s="130" t="n">
        <v>42479</v>
      </c>
      <c r="G609" s="131">
        <f>NOW()-F609</f>
        <v/>
      </c>
      <c r="H609" s="104" t="inlineStr">
        <is>
          <t>O</t>
        </is>
      </c>
      <c r="I609" s="104" t="inlineStr">
        <is>
          <t>O</t>
        </is>
      </c>
      <c r="J609" s="104" t="n">
        <v>10</v>
      </c>
      <c r="K609" s="104" t="n">
        <v>8</v>
      </c>
      <c r="L609" s="104" t="n">
        <v>3</v>
      </c>
      <c r="M609" s="104" t="n">
        <v>9</v>
      </c>
      <c r="N609" s="104" t="n"/>
      <c r="O609" s="104">
        <f>SUM(J609:N609)</f>
        <v/>
      </c>
      <c r="P609" s="12">
        <f>O609/IF(H609="L",20,IF(H609="U",30,IF(H609="O",40,IF(H609="I",20,""))))</f>
        <v/>
      </c>
      <c r="Q609" s="132">
        <f>IF(AND(H609="L", P609&gt;=50%), "Pass",
IF(AND(H609="U", P609&gt;=60%), "Pass",
IF(AND(H609="O", P609&gt;=75%), "Pass", "Fail")))</f>
        <v/>
      </c>
      <c r="R609" s="104" t="n"/>
      <c r="S609" s="104" t="n">
        <v>17</v>
      </c>
      <c r="T609" s="104" t="n">
        <v>14</v>
      </c>
      <c r="U609" s="104">
        <f>SUM(S609:T609)</f>
        <v/>
      </c>
      <c r="V609" s="12">
        <f>U609/IF(H609="L",35,IF(H609="U",35,IF(H609="O",35,IF(H609="I",35,""))))</f>
        <v/>
      </c>
      <c r="W609" s="132">
        <f>IF(AND(H609="L", V609&gt;=50%), "Pass",
IF(AND(H609="U", V609&gt;=60%), "Pass",
IF(AND(H609="O", V609&gt;=75%), "Pass", "Fail")))</f>
        <v/>
      </c>
      <c r="X609" s="132">
        <f>IF(AND(Q609="Pass", W609="Pass"), "Pass", "Fail")</f>
        <v/>
      </c>
      <c r="Y609" s="15">
        <f>IF($X609="Pass",$H609,
IF(H609="L","I",
IF(H609="U","L",
IF(H609="O","U",
"I"))))</f>
        <v/>
      </c>
    </row>
    <row r="610">
      <c r="A610" s="147">
        <f>ROW()-2</f>
        <v/>
      </c>
      <c r="B610" s="127" t="inlineStr">
        <is>
          <t>AK0652</t>
        </is>
      </c>
      <c r="C610" s="128" t="inlineStr">
        <is>
          <t>VEERA PANDI S</t>
        </is>
      </c>
      <c r="D610" s="127" t="inlineStr">
        <is>
          <t>PRODUCTION</t>
        </is>
      </c>
      <c r="E610" s="129" t="inlineStr">
        <is>
          <t>TYRE BUILDING-P3</t>
        </is>
      </c>
      <c r="F610" s="130" t="n">
        <v>42481</v>
      </c>
      <c r="G610" s="131">
        <f>NOW()-F610</f>
        <v/>
      </c>
      <c r="H610" s="104" t="inlineStr">
        <is>
          <t>O</t>
        </is>
      </c>
      <c r="I610" s="104" t="inlineStr">
        <is>
          <t>O</t>
        </is>
      </c>
      <c r="J610" s="104" t="n">
        <v>9</v>
      </c>
      <c r="K610" s="104" t="n">
        <v>8</v>
      </c>
      <c r="L610" s="104" t="n">
        <v>2</v>
      </c>
      <c r="M610" s="104" t="n">
        <v>9</v>
      </c>
      <c r="N610" s="104" t="n"/>
      <c r="O610" s="104">
        <f>SUM(J610:N610)</f>
        <v/>
      </c>
      <c r="P610" s="12">
        <f>O610/IF(H610="L",20,IF(H610="U",30,IF(H610="O",40,IF(H610="I",20,""))))</f>
        <v/>
      </c>
      <c r="Q610" s="132">
        <f>IF(AND(H610="L", P610&gt;=50%), "Pass",
IF(AND(H610="U", P610&gt;=60%), "Pass",
IF(AND(H610="O", P610&gt;=75%), "Pass", "Fail")))</f>
        <v/>
      </c>
      <c r="R610" s="104" t="n"/>
      <c r="S610" s="104" t="n">
        <v>19</v>
      </c>
      <c r="T610" s="104" t="n">
        <v>14</v>
      </c>
      <c r="U610" s="104">
        <f>SUM(S610:T610)</f>
        <v/>
      </c>
      <c r="V610" s="12">
        <f>U610/IF(H610="L",35,IF(H610="U",35,IF(H610="O",35,IF(H610="I",35,""))))</f>
        <v/>
      </c>
      <c r="W610" s="132">
        <f>IF(AND(H610="L", V610&gt;=50%), "Pass",
IF(AND(H610="U", V610&gt;=60%), "Pass",
IF(AND(H610="O", V610&gt;=75%), "Pass", "Fail")))</f>
        <v/>
      </c>
      <c r="X610" s="132">
        <f>IF(AND(Q610="Pass", W610="Pass"), "Pass", "Fail")</f>
        <v/>
      </c>
      <c r="Y610" s="15">
        <f>IF($X610="Pass",$H610,
IF(H610="L","I",
IF(H610="U","L",
IF(H610="O","U",
"I"))))</f>
        <v/>
      </c>
    </row>
    <row r="611">
      <c r="A611" s="147">
        <f>ROW()-2</f>
        <v/>
      </c>
      <c r="B611" s="127" t="inlineStr">
        <is>
          <t>MG0915</t>
        </is>
      </c>
      <c r="C611" s="128" t="inlineStr">
        <is>
          <t>SAPANI MUTHU S</t>
        </is>
      </c>
      <c r="D611" s="127" t="inlineStr">
        <is>
          <t>PRODUCTION</t>
        </is>
      </c>
      <c r="E611" s="129" t="inlineStr">
        <is>
          <t>TYRE CURING</t>
        </is>
      </c>
      <c r="F611" s="130" t="n">
        <v>42481</v>
      </c>
      <c r="G611" s="131">
        <f>NOW()-F611</f>
        <v/>
      </c>
      <c r="H611" s="104" t="inlineStr">
        <is>
          <t>O</t>
        </is>
      </c>
      <c r="I611" s="104" t="inlineStr">
        <is>
          <t>O</t>
        </is>
      </c>
      <c r="J611" s="104" t="n">
        <v>10</v>
      </c>
      <c r="K611" s="104" t="n">
        <v>8</v>
      </c>
      <c r="L611" s="104" t="n">
        <v>9</v>
      </c>
      <c r="M611" s="104" t="n">
        <v>7</v>
      </c>
      <c r="N611" s="104" t="n"/>
      <c r="O611" s="104">
        <f>SUM(J611:N611)</f>
        <v/>
      </c>
      <c r="P611" s="12">
        <f>O611/IF(H611="L",20,IF(H611="U",30,IF(H611="O",40,IF(H611="I",20,""))))</f>
        <v/>
      </c>
      <c r="Q611" s="132">
        <f>IF(AND(H611="L", P611&gt;=50%), "Pass",
IF(AND(H611="U", P611&gt;=60%), "Pass",
IF(AND(H611="O", P611&gt;=75%), "Pass", "Fail")))</f>
        <v/>
      </c>
      <c r="R611" s="104" t="n"/>
      <c r="S611" s="104" t="n">
        <v>16</v>
      </c>
      <c r="T611" s="104" t="n">
        <v>14</v>
      </c>
      <c r="U611" s="104">
        <f>SUM(S611:T611)</f>
        <v/>
      </c>
      <c r="V611" s="12">
        <f>U611/IF(H611="L",35,IF(H611="U",35,IF(H611="O",35,IF(H611="I",35,""))))</f>
        <v/>
      </c>
      <c r="W611" s="132">
        <f>IF(AND(H611="L", V611&gt;=50%), "Pass",
IF(AND(H611="U", V611&gt;=60%), "Pass",
IF(AND(H611="O", V611&gt;=75%), "Pass", "Fail")))</f>
        <v/>
      </c>
      <c r="X611" s="132">
        <f>IF(AND(Q611="Pass", W611="Pass"), "Pass", "Fail")</f>
        <v/>
      </c>
      <c r="Y611" s="15">
        <f>IF($X611="Pass",$H611,
IF(H611="L","I",
IF(H611="U","L",
IF(H611="O","U",
"I"))))</f>
        <v/>
      </c>
    </row>
    <row r="612">
      <c r="A612" s="147">
        <f>ROW()-2</f>
        <v/>
      </c>
      <c r="B612" s="127" t="inlineStr">
        <is>
          <t>KK0609</t>
        </is>
      </c>
      <c r="C612" s="128" t="inlineStr">
        <is>
          <t>SIVA SUBRAMANIAN A</t>
        </is>
      </c>
      <c r="D612" s="127" t="inlineStr">
        <is>
          <t>PRODUCTION</t>
        </is>
      </c>
      <c r="E612" s="129" t="inlineStr">
        <is>
          <t>TYRE BUILDING-P3</t>
        </is>
      </c>
      <c r="F612" s="130" t="n">
        <v>42482</v>
      </c>
      <c r="G612" s="131">
        <f>NOW()-F612</f>
        <v/>
      </c>
      <c r="H612" s="104" t="inlineStr">
        <is>
          <t>O</t>
        </is>
      </c>
      <c r="I612" s="104" t="inlineStr">
        <is>
          <t>O</t>
        </is>
      </c>
      <c r="J612" s="104" t="n">
        <v>10</v>
      </c>
      <c r="K612" s="104" t="n">
        <v>9</v>
      </c>
      <c r="L612" s="104" t="n">
        <v>8</v>
      </c>
      <c r="M612" s="104" t="n">
        <v>9</v>
      </c>
      <c r="N612" s="104" t="n"/>
      <c r="O612" s="104">
        <f>SUM(J612:N612)</f>
        <v/>
      </c>
      <c r="P612" s="12">
        <f>O612/IF(H612="L",20,IF(H612="U",30,IF(H612="O",40,IF(H612="I",20,""))))</f>
        <v/>
      </c>
      <c r="Q612" s="132">
        <f>IF(AND(H612="L", P612&gt;=50%), "Pass",
IF(AND(H612="U", P612&gt;=60%), "Pass",
IF(AND(H612="O", P612&gt;=75%), "Pass", "Fail")))</f>
        <v/>
      </c>
      <c r="R612" s="104" t="n"/>
      <c r="S612" s="104" t="n">
        <v>17</v>
      </c>
      <c r="T612" s="104" t="n">
        <v>13</v>
      </c>
      <c r="U612" s="104">
        <f>SUM(S612:T612)</f>
        <v/>
      </c>
      <c r="V612" s="12">
        <f>U612/IF(H612="L",35,IF(H612="U",35,IF(H612="O",35,IF(H612="I",35,""))))</f>
        <v/>
      </c>
      <c r="W612" s="132">
        <f>IF(AND(H612="L", V612&gt;=50%), "Pass",
IF(AND(H612="U", V612&gt;=60%), "Pass",
IF(AND(H612="O", V612&gt;=75%), "Pass", "Fail")))</f>
        <v/>
      </c>
      <c r="X612" s="132">
        <f>IF(AND(Q612="Pass", W612="Pass"), "Pass", "Fail")</f>
        <v/>
      </c>
      <c r="Y612" s="15">
        <f>IF($X612="Pass",$H612,
IF(H612="L","I",
IF(H612="U","L",
IF(H612="O","U",
"I"))))</f>
        <v/>
      </c>
    </row>
    <row r="613">
      <c r="A613" s="147">
        <f>ROW()-2</f>
        <v/>
      </c>
      <c r="B613" s="127" t="inlineStr">
        <is>
          <t>SR0635</t>
        </is>
      </c>
      <c r="C613" s="128" t="inlineStr">
        <is>
          <t>RAGAVENDRAN M</t>
        </is>
      </c>
      <c r="D613" s="127" t="inlineStr">
        <is>
          <t>PRODUCTION</t>
        </is>
      </c>
      <c r="E613" s="129" t="inlineStr">
        <is>
          <t>BAND BUILDING-P1</t>
        </is>
      </c>
      <c r="F613" s="130" t="n">
        <v>42487</v>
      </c>
      <c r="G613" s="131">
        <f>NOW()-F613</f>
        <v/>
      </c>
      <c r="H613" s="104" t="inlineStr">
        <is>
          <t>O</t>
        </is>
      </c>
      <c r="I613" s="104" t="inlineStr">
        <is>
          <t>O</t>
        </is>
      </c>
      <c r="J613" s="104" t="n">
        <v>10</v>
      </c>
      <c r="K613" s="104" t="n">
        <v>9</v>
      </c>
      <c r="L613" s="104" t="n">
        <v>7</v>
      </c>
      <c r="M613" s="104" t="n">
        <v>8</v>
      </c>
      <c r="N613" s="104" t="n"/>
      <c r="O613" s="104">
        <f>SUM(J613:N613)</f>
        <v/>
      </c>
      <c r="P613" s="12">
        <f>O613/IF(H613="L",20,IF(H613="U",30,IF(H613="O",40,IF(H613="I",20,""))))</f>
        <v/>
      </c>
      <c r="Q613" s="132">
        <f>IF(AND(H613="L", P613&gt;=50%), "Pass",
IF(AND(H613="U", P613&gt;=60%), "Pass",
IF(AND(H613="O", P613&gt;=75%), "Pass", "Fail")))</f>
        <v/>
      </c>
      <c r="R613" s="104" t="n"/>
      <c r="S613" s="104" t="n">
        <v>19</v>
      </c>
      <c r="T613" s="104" t="n">
        <v>15</v>
      </c>
      <c r="U613" s="104">
        <f>SUM(S613:T613)</f>
        <v/>
      </c>
      <c r="V613" s="12">
        <f>U613/IF(H613="L",35,IF(H613="U",35,IF(H613="O",35,IF(H613="I",35,""))))</f>
        <v/>
      </c>
      <c r="W613" s="132">
        <f>IF(AND(H613="L", V613&gt;=50%), "Pass",
IF(AND(H613="U", V613&gt;=60%), "Pass",
IF(AND(H613="O", V613&gt;=75%), "Pass", "Fail")))</f>
        <v/>
      </c>
      <c r="X613" s="132">
        <f>IF(AND(Q613="Pass", W613="Pass"), "Pass", "Fail")</f>
        <v/>
      </c>
      <c r="Y613" s="15">
        <f>IF($X613="Pass",$H613,
IF(H613="L","I",
IF(H613="U","L",
IF(H613="O","U",
"I"))))</f>
        <v/>
      </c>
    </row>
    <row r="614">
      <c r="A614" s="147">
        <f>ROW()-2</f>
        <v/>
      </c>
      <c r="B614" s="127" t="inlineStr">
        <is>
          <t>MG0924</t>
        </is>
      </c>
      <c r="C614" s="128" t="inlineStr">
        <is>
          <t>SHANMUGA SUNDARAM B</t>
        </is>
      </c>
      <c r="D614" s="127" t="inlineStr">
        <is>
          <t>PRODUCTION</t>
        </is>
      </c>
      <c r="E614" s="129" t="inlineStr">
        <is>
          <t>TYRE CURING</t>
        </is>
      </c>
      <c r="F614" s="130" t="n">
        <v>42488</v>
      </c>
      <c r="G614" s="131">
        <f>NOW()-F614</f>
        <v/>
      </c>
      <c r="H614" s="104" t="inlineStr">
        <is>
          <t>O</t>
        </is>
      </c>
      <c r="I614" s="104" t="inlineStr">
        <is>
          <t>O</t>
        </is>
      </c>
      <c r="J614" s="104" t="n">
        <v>10</v>
      </c>
      <c r="K614" s="104" t="n">
        <v>9</v>
      </c>
      <c r="L614" s="104" t="n">
        <v>8</v>
      </c>
      <c r="M614" s="104" t="n">
        <v>6</v>
      </c>
      <c r="N614" s="104" t="n"/>
      <c r="O614" s="104">
        <f>SUM(J614:N614)</f>
        <v/>
      </c>
      <c r="P614" s="12">
        <f>O614/IF(H614="L",20,IF(H614="U",30,IF(H614="O",40,IF(H614="I",20,""))))</f>
        <v/>
      </c>
      <c r="Q614" s="132">
        <f>IF(AND(H614="L", P614&gt;=50%), "Pass",
IF(AND(H614="U", P614&gt;=60%), "Pass",
IF(AND(H614="O", P614&gt;=75%), "Pass", "Fail")))</f>
        <v/>
      </c>
      <c r="R614" s="104" t="n"/>
      <c r="S614" s="104" t="n">
        <v>11</v>
      </c>
      <c r="T614" s="104" t="n">
        <v>10</v>
      </c>
      <c r="U614" s="104">
        <f>SUM(S614:T614)</f>
        <v/>
      </c>
      <c r="V614" s="12">
        <f>U614/IF(H614="L",35,IF(H614="U",35,IF(H614="O",35,IF(H614="I",35,""))))</f>
        <v/>
      </c>
      <c r="W614" s="132">
        <f>IF(AND(H614="L", V614&gt;=50%), "Pass",
IF(AND(H614="U", V614&gt;=60%), "Pass",
IF(AND(H614="O", V614&gt;=75%), "Pass", "Fail")))</f>
        <v/>
      </c>
      <c r="X614" s="132">
        <f>IF(AND(Q614="Pass", W614="Pass"), "Pass", "Fail")</f>
        <v/>
      </c>
      <c r="Y614" s="15">
        <f>IF($X614="Pass",$H614,
IF(H614="L","I",
IF(H614="U","L",
IF(H614="O","U",
"I"))))</f>
        <v/>
      </c>
    </row>
    <row r="615">
      <c r="A615" s="147">
        <f>ROW()-2</f>
        <v/>
      </c>
      <c r="B615" s="127" t="inlineStr">
        <is>
          <t>SR0636</t>
        </is>
      </c>
      <c r="C615" s="128" t="inlineStr">
        <is>
          <t>SANKARA LINGAM S</t>
        </is>
      </c>
      <c r="D615" s="127" t="inlineStr">
        <is>
          <t>PRODUCTION</t>
        </is>
      </c>
      <c r="E615" s="129" t="inlineStr">
        <is>
          <t>TYRE BUILDING-P3</t>
        </is>
      </c>
      <c r="F615" s="130" t="n">
        <v>42490</v>
      </c>
      <c r="G615" s="131">
        <f>NOW()-F615</f>
        <v/>
      </c>
      <c r="H615" s="104" t="inlineStr">
        <is>
          <t>O</t>
        </is>
      </c>
      <c r="I615" s="104" t="inlineStr">
        <is>
          <t>O</t>
        </is>
      </c>
      <c r="J615" s="104" t="n">
        <v>9</v>
      </c>
      <c r="K615" s="104" t="n">
        <v>10</v>
      </c>
      <c r="L615" s="104" t="n">
        <v>8</v>
      </c>
      <c r="M615" s="104" t="n">
        <v>5</v>
      </c>
      <c r="N615" s="104" t="n"/>
      <c r="O615" s="104">
        <f>SUM(J615:N615)</f>
        <v/>
      </c>
      <c r="P615" s="12">
        <f>O615/IF(H615="L",20,IF(H615="U",30,IF(H615="O",40,IF(H615="I",20,""))))</f>
        <v/>
      </c>
      <c r="Q615" s="132">
        <f>IF(AND(H615="L", P615&gt;=50%), "Pass",
IF(AND(H615="U", P615&gt;=60%), "Pass",
IF(AND(H615="O", P615&gt;=75%), "Pass", "Fail")))</f>
        <v/>
      </c>
      <c r="R615" s="104" t="n"/>
      <c r="S615" s="104" t="n">
        <v>18</v>
      </c>
      <c r="T615" s="104" t="n">
        <v>14</v>
      </c>
      <c r="U615" s="104">
        <f>SUM(S615:T615)</f>
        <v/>
      </c>
      <c r="V615" s="12">
        <f>U615/IF(H615="L",35,IF(H615="U",35,IF(H615="O",35,IF(H615="I",35,""))))</f>
        <v/>
      </c>
      <c r="W615" s="132">
        <f>IF(AND(H615="L", V615&gt;=50%), "Pass",
IF(AND(H615="U", V615&gt;=60%), "Pass",
IF(AND(H615="O", V615&gt;=75%), "Pass", "Fail")))</f>
        <v/>
      </c>
      <c r="X615" s="132">
        <f>IF(AND(Q615="Pass", W615="Pass"), "Pass", "Fail")</f>
        <v/>
      </c>
      <c r="Y615" s="15">
        <f>IF($X615="Pass",$H615,
IF(H615="L","I",
IF(H615="U","L",
IF(H615="O","U",
"I"))))</f>
        <v/>
      </c>
    </row>
    <row r="616">
      <c r="A616" s="147">
        <f>ROW()-2</f>
        <v/>
      </c>
      <c r="B616" s="127" t="inlineStr">
        <is>
          <t>KK0619</t>
        </is>
      </c>
      <c r="C616" s="128" t="inlineStr">
        <is>
          <t>SUBBU KUTTI G</t>
        </is>
      </c>
      <c r="D616" s="127" t="inlineStr">
        <is>
          <t>PRODUCTION</t>
        </is>
      </c>
      <c r="E616" s="129" t="inlineStr">
        <is>
          <t>TYRE BUILDING-P2</t>
        </is>
      </c>
      <c r="F616" s="130" t="n">
        <v>42492</v>
      </c>
      <c r="G616" s="131">
        <f>NOW()-F616</f>
        <v/>
      </c>
      <c r="H616" s="104" t="inlineStr">
        <is>
          <t>O</t>
        </is>
      </c>
      <c r="I616" s="104" t="inlineStr">
        <is>
          <t>O</t>
        </is>
      </c>
      <c r="J616" s="104" t="n">
        <v>9</v>
      </c>
      <c r="K616" s="104" t="n">
        <v>9</v>
      </c>
      <c r="L616" s="104" t="n">
        <v>6</v>
      </c>
      <c r="M616" s="104" t="n">
        <v>10</v>
      </c>
      <c r="N616" s="104" t="n"/>
      <c r="O616" s="104">
        <f>SUM(J616:N616)</f>
        <v/>
      </c>
      <c r="P616" s="12">
        <f>O616/IF(H616="L",20,IF(H616="U",30,IF(H616="O",40,IF(H616="I",20,""))))</f>
        <v/>
      </c>
      <c r="Q616" s="132">
        <f>IF(AND(H616="L", P616&gt;=50%), "Pass",
IF(AND(H616="U", P616&gt;=60%), "Pass",
IF(AND(H616="O", P616&gt;=75%), "Pass", "Fail")))</f>
        <v/>
      </c>
      <c r="R616" s="104" t="n"/>
      <c r="S616" s="104" t="n">
        <v>14</v>
      </c>
      <c r="T616" s="104" t="n">
        <v>10</v>
      </c>
      <c r="U616" s="104">
        <f>SUM(S616:T616)</f>
        <v/>
      </c>
      <c r="V616" s="12">
        <f>U616/IF(H616="L",35,IF(H616="U",35,IF(H616="O",35,IF(H616="I",35,""))))</f>
        <v/>
      </c>
      <c r="W616" s="132">
        <f>IF(AND(H616="L", V616&gt;=50%), "Pass",
IF(AND(H616="U", V616&gt;=60%), "Pass",
IF(AND(H616="O", V616&gt;=75%), "Pass", "Fail")))</f>
        <v/>
      </c>
      <c r="X616" s="132">
        <f>IF(AND(Q616="Pass", W616="Pass"), "Pass", "Fail")</f>
        <v/>
      </c>
      <c r="Y616" s="15">
        <f>IF($X616="Pass",$H616,
IF(H616="L","I",
IF(H616="U","L",
IF(H616="O","U",
"I"))))</f>
        <v/>
      </c>
    </row>
    <row r="617">
      <c r="A617" s="147">
        <f>ROW()-2</f>
        <v/>
      </c>
      <c r="B617" s="137" t="inlineStr">
        <is>
          <t>SR0516</t>
        </is>
      </c>
      <c r="C617" s="138" t="inlineStr">
        <is>
          <t>BAISEL S</t>
        </is>
      </c>
      <c r="D617" s="138" t="inlineStr">
        <is>
          <t>PRODUCTION</t>
        </is>
      </c>
      <c r="E617" s="142" t="inlineStr">
        <is>
          <t>TYRE BUILDING-P3</t>
        </is>
      </c>
      <c r="F617" s="130" t="n">
        <v>42492</v>
      </c>
      <c r="G617" s="143">
        <f>NOW()-F617</f>
        <v/>
      </c>
      <c r="H617" s="144" t="inlineStr">
        <is>
          <t>O</t>
        </is>
      </c>
      <c r="I617" s="144" t="inlineStr">
        <is>
          <t>O</t>
        </is>
      </c>
      <c r="J617" s="144" t="n">
        <v>10</v>
      </c>
      <c r="K617" s="144" t="n">
        <v>10</v>
      </c>
      <c r="L617" s="144" t="n">
        <v>8</v>
      </c>
      <c r="M617" s="144" t="n">
        <v>10</v>
      </c>
      <c r="N617" s="144" t="n"/>
      <c r="O617" s="104">
        <f>SUM(J617:N617)</f>
        <v/>
      </c>
      <c r="P617" s="12">
        <f>O617/IF(H617="L",20,IF(H617="U",30,IF(H617="O",40,IF(H617="I",20,""))))</f>
        <v/>
      </c>
      <c r="Q617" s="145">
        <f>IF(AND(H617="L", P617&gt;=50%), "Pass",
IF(AND(H617="U", P617&gt;=60%), "Pass",
IF(AND(H617="O", P617&gt;=75%), "Pass", "Fail")))</f>
        <v/>
      </c>
      <c r="R617" s="146" t="n"/>
      <c r="S617" s="104" t="n">
        <v>17</v>
      </c>
      <c r="T617" s="104" t="n">
        <v>14</v>
      </c>
      <c r="U617" s="104">
        <f>SUM(S617:T617)</f>
        <v/>
      </c>
      <c r="V617" s="12">
        <f>U617/IF(H617="L",35,IF(H617="U",35,IF(H617="O",35,IF(H617="I",35,""))))</f>
        <v/>
      </c>
      <c r="W617" s="145">
        <f>IF(AND(H617="L", V617&gt;=50%), "Pass",
IF(AND(H617="U", V617&gt;=60%), "Pass",
IF(AND(H617="O", V617&gt;=75%), "Pass", "Fail")))</f>
        <v/>
      </c>
      <c r="X617" s="145">
        <f>IF(AND(Q617="Pass", W617="Pass"), "Pass", "Fail")</f>
        <v/>
      </c>
      <c r="Y617" s="15">
        <f>IF($X617="Pass",$H617,
IF(H617="L","I",
IF(H617="U","L",
IF(H617="O","U",
"I"))))</f>
        <v/>
      </c>
    </row>
    <row r="618">
      <c r="A618" s="147">
        <f>ROW()-2</f>
        <v/>
      </c>
      <c r="B618" s="127" t="inlineStr">
        <is>
          <t>SR0517</t>
        </is>
      </c>
      <c r="C618" s="128" t="inlineStr">
        <is>
          <t>DEVENDRAN T</t>
        </is>
      </c>
      <c r="D618" s="127" t="inlineStr">
        <is>
          <t>PRODUCTION</t>
        </is>
      </c>
      <c r="E618" s="129" t="inlineStr">
        <is>
          <t>TYRE BUILDING-P1</t>
        </is>
      </c>
      <c r="F618" s="130" t="n">
        <v>42492</v>
      </c>
      <c r="G618" s="131">
        <f>NOW()-F618</f>
        <v/>
      </c>
      <c r="H618" s="104" t="inlineStr">
        <is>
          <t>O</t>
        </is>
      </c>
      <c r="I618" s="104" t="inlineStr">
        <is>
          <t>U</t>
        </is>
      </c>
      <c r="J618" s="104" t="n">
        <v>9</v>
      </c>
      <c r="K618" s="104" t="n">
        <v>10</v>
      </c>
      <c r="L618" s="104" t="n">
        <v>9</v>
      </c>
      <c r="M618" s="104" t="n">
        <v>8</v>
      </c>
      <c r="N618" s="104" t="n"/>
      <c r="O618" s="104">
        <f>SUM(J618:N618)</f>
        <v/>
      </c>
      <c r="P618" s="12">
        <f>O618/IF(H618="L",20,IF(H618="U",30,IF(H618="O",40,IF(H618="I",20,""))))</f>
        <v/>
      </c>
      <c r="Q618" s="132">
        <f>IF(AND(H618="L", P618&gt;=50%), "Pass",
IF(AND(H618="U", P618&gt;=60%), "Pass",
IF(AND(H618="O", P618&gt;=75%), "Pass", "Fail")))</f>
        <v/>
      </c>
      <c r="R618" s="104" t="n"/>
      <c r="S618" s="104" t="n">
        <v>15</v>
      </c>
      <c r="T618" s="104" t="n">
        <v>15</v>
      </c>
      <c r="U618" s="104">
        <f>SUM(S618:T618)</f>
        <v/>
      </c>
      <c r="V618" s="12">
        <f>U618/IF(H618="L",35,IF(H618="U",35,IF(H618="O",35,IF(H618="I",35,""))))</f>
        <v/>
      </c>
      <c r="W618" s="132">
        <f>IF(AND(H618="L", V618&gt;=50%), "Pass",
IF(AND(H618="U", V618&gt;=60%), "Pass",
IF(AND(H618="O", V618&gt;=75%), "Pass", "Fail")))</f>
        <v/>
      </c>
      <c r="X618" s="132">
        <f>IF(AND(Q618="Pass", W618="Pass"), "Pass", "Fail")</f>
        <v/>
      </c>
      <c r="Y618" s="15">
        <f>IF($X618="Pass",$H618,
IF(H618="L","I",
IF(H618="U","L",
IF(H618="O","U",
"I"))))</f>
        <v/>
      </c>
    </row>
    <row r="619">
      <c r="A619" s="147">
        <f>ROW()-2</f>
        <v/>
      </c>
      <c r="B619" s="127" t="inlineStr">
        <is>
          <t>MG0926</t>
        </is>
      </c>
      <c r="C619" s="128" t="inlineStr">
        <is>
          <t>ESAKKI MUTHU RAJA M</t>
        </is>
      </c>
      <c r="D619" s="127" t="inlineStr">
        <is>
          <t>PRODUCTION</t>
        </is>
      </c>
      <c r="E619" s="129" t="inlineStr">
        <is>
          <t>TYRE BUILDING-P2</t>
        </is>
      </c>
      <c r="F619" s="130" t="n">
        <v>42493</v>
      </c>
      <c r="G619" s="131">
        <f>NOW()-F619</f>
        <v/>
      </c>
      <c r="H619" s="104" t="inlineStr">
        <is>
          <t>O</t>
        </is>
      </c>
      <c r="I619" s="104" t="inlineStr">
        <is>
          <t>O</t>
        </is>
      </c>
      <c r="J619" s="104" t="n">
        <v>10</v>
      </c>
      <c r="K619" s="104" t="n">
        <v>10</v>
      </c>
      <c r="L619" s="104" t="n">
        <v>8</v>
      </c>
      <c r="M619" s="104" t="n">
        <v>8</v>
      </c>
      <c r="N619" s="104" t="n"/>
      <c r="O619" s="104">
        <f>SUM(J619:N619)</f>
        <v/>
      </c>
      <c r="P619" s="12">
        <f>O619/IF(H619="L",20,IF(H619="U",30,IF(H619="O",40,IF(H619="I",20,""))))</f>
        <v/>
      </c>
      <c r="Q619" s="132">
        <f>IF(AND(H619="L", P619&gt;=50%), "Pass",
IF(AND(H619="U", P619&gt;=60%), "Pass",
IF(AND(H619="O", P619&gt;=75%), "Pass", "Fail")))</f>
        <v/>
      </c>
      <c r="R619" s="104" t="n"/>
      <c r="S619" s="104" t="n">
        <v>11</v>
      </c>
      <c r="T619" s="104" t="n">
        <v>8</v>
      </c>
      <c r="U619" s="104">
        <f>SUM(S619:T619)</f>
        <v/>
      </c>
      <c r="V619" s="12">
        <f>U619/IF(H619="L",35,IF(H619="U",35,IF(H619="O",35,IF(H619="I",35,""))))</f>
        <v/>
      </c>
      <c r="W619" s="132">
        <f>IF(AND(H619="L", V619&gt;=50%), "Pass",
IF(AND(H619="U", V619&gt;=60%), "Pass",
IF(AND(H619="O", V619&gt;=75%), "Pass", "Fail")))</f>
        <v/>
      </c>
      <c r="X619" s="132">
        <f>IF(AND(Q619="Pass", W619="Pass"), "Pass", "Fail")</f>
        <v/>
      </c>
      <c r="Y619" s="15">
        <f>IF($X619="Pass",$H619,
IF(H619="L","I",
IF(H619="U","L",
IF(H619="O","U",
"I"))))</f>
        <v/>
      </c>
    </row>
    <row r="620">
      <c r="A620" s="147">
        <f>ROW()-2</f>
        <v/>
      </c>
      <c r="B620" s="127" t="inlineStr">
        <is>
          <t>MG0927</t>
        </is>
      </c>
      <c r="C620" s="128" t="inlineStr">
        <is>
          <t>MUPPIDATHI N</t>
        </is>
      </c>
      <c r="D620" s="127" t="inlineStr">
        <is>
          <t>PRODUCTION</t>
        </is>
      </c>
      <c r="E620" s="129" t="inlineStr">
        <is>
          <t>BIAS CUTTING-2</t>
        </is>
      </c>
      <c r="F620" s="130" t="n">
        <v>42493</v>
      </c>
      <c r="G620" s="131">
        <f>NOW()-F620</f>
        <v/>
      </c>
      <c r="H620" s="104" t="inlineStr">
        <is>
          <t>O</t>
        </is>
      </c>
      <c r="I620" s="104" t="inlineStr">
        <is>
          <t>U</t>
        </is>
      </c>
      <c r="J620" s="104" t="n">
        <v>10</v>
      </c>
      <c r="K620" s="104" t="n">
        <v>9</v>
      </c>
      <c r="L620" s="104" t="n">
        <v>9</v>
      </c>
      <c r="M620" s="104" t="n">
        <v>9</v>
      </c>
      <c r="N620" s="104" t="n"/>
      <c r="O620" s="104">
        <f>SUM(J620:N620)</f>
        <v/>
      </c>
      <c r="P620" s="12">
        <f>O620/IF(H620="L",20,IF(H620="U",30,IF(H620="O",40,IF(H620="I",20,""))))</f>
        <v/>
      </c>
      <c r="Q620" s="132">
        <f>IF(AND(H620="L", P620&gt;=50%), "Pass",
IF(AND(H620="U", P620&gt;=60%), "Pass",
IF(AND(H620="O", P620&gt;=75%), "Pass", "Fail")))</f>
        <v/>
      </c>
      <c r="R620" s="104" t="n"/>
      <c r="S620" s="104" t="n">
        <v>16</v>
      </c>
      <c r="T620" s="104" t="n">
        <v>13</v>
      </c>
      <c r="U620" s="104">
        <f>SUM(S620:T620)</f>
        <v/>
      </c>
      <c r="V620" s="12">
        <f>U620/IF(H620="L",35,IF(H620="U",35,IF(H620="O",35,IF(H620="I",35,""))))</f>
        <v/>
      </c>
      <c r="W620" s="132">
        <f>IF(AND(H620="L", V620&gt;=50%), "Pass",
IF(AND(H620="U", V620&gt;=60%), "Pass",
IF(AND(H620="O", V620&gt;=75%), "Pass", "Fail")))</f>
        <v/>
      </c>
      <c r="X620" s="132">
        <f>IF(AND(Q620="Pass", W620="Pass"), "Pass", "Fail")</f>
        <v/>
      </c>
      <c r="Y620" s="15">
        <f>IF($X620="Pass",$H620,
IF(H620="L","I",
IF(H620="U","L",
IF(H620="O","U",
"I"))))</f>
        <v/>
      </c>
    </row>
    <row r="621">
      <c r="A621" s="147">
        <f>ROW()-2</f>
        <v/>
      </c>
      <c r="B621" s="127" t="inlineStr">
        <is>
          <t>SR0519</t>
        </is>
      </c>
      <c r="C621" s="128" t="inlineStr">
        <is>
          <t>SIVA KUMAR T</t>
        </is>
      </c>
      <c r="D621" s="127" t="inlineStr">
        <is>
          <t>PRODUCTION</t>
        </is>
      </c>
      <c r="E621" s="129" t="inlineStr">
        <is>
          <t>RADIAL MARANGONI</t>
        </is>
      </c>
      <c r="F621" s="130" t="n">
        <v>42494</v>
      </c>
      <c r="G621" s="131">
        <f>NOW()-F621</f>
        <v/>
      </c>
      <c r="H621" s="104" t="inlineStr">
        <is>
          <t>O</t>
        </is>
      </c>
      <c r="I621" s="104" t="inlineStr">
        <is>
          <t>U</t>
        </is>
      </c>
      <c r="J621" s="104" t="n">
        <v>9</v>
      </c>
      <c r="K621" s="104" t="n">
        <v>8</v>
      </c>
      <c r="L621" s="104" t="n">
        <v>4</v>
      </c>
      <c r="M621" s="104" t="n">
        <v>9</v>
      </c>
      <c r="N621" s="104" t="n"/>
      <c r="O621" s="104">
        <f>SUM(J621:N621)</f>
        <v/>
      </c>
      <c r="P621" s="12">
        <f>O621/IF(H621="L",20,IF(H621="U",30,IF(H621="O",40,IF(H621="I",20,""))))</f>
        <v/>
      </c>
      <c r="Q621" s="132">
        <f>IF(AND(H621="L", P621&gt;=50%), "Pass",
IF(AND(H621="U", P621&gt;=60%), "Pass",
IF(AND(H621="O", P621&gt;=75%), "Pass", "Fail")))</f>
        <v/>
      </c>
      <c r="R621" s="104" t="n"/>
      <c r="S621" s="104" t="n">
        <v>11</v>
      </c>
      <c r="T621" s="104" t="n">
        <v>8</v>
      </c>
      <c r="U621" s="104">
        <f>SUM(S621:T621)</f>
        <v/>
      </c>
      <c r="V621" s="12">
        <f>U621/IF(H621="L",35,IF(H621="U",35,IF(H621="O",35,IF(H621="I",35,""))))</f>
        <v/>
      </c>
      <c r="W621" s="132">
        <f>IF(AND(H621="L", V621&gt;=50%), "Pass",
IF(AND(H621="U", V621&gt;=60%), "Pass",
IF(AND(H621="O", V621&gt;=75%), "Pass", "Fail")))</f>
        <v/>
      </c>
      <c r="X621" s="132">
        <f>IF(AND(Q621="Pass", W621="Pass"), "Pass", "Fail")</f>
        <v/>
      </c>
      <c r="Y621" s="15">
        <f>IF($X621="Pass",$H621,
IF(H621="L","I",
IF(H621="U","L",
IF(H621="O","U",
"I"))))</f>
        <v/>
      </c>
    </row>
    <row r="622">
      <c r="A622" s="147">
        <f>ROW()-2</f>
        <v/>
      </c>
      <c r="B622" s="127" t="inlineStr">
        <is>
          <t>SR0639</t>
        </is>
      </c>
      <c r="C622" s="128" t="inlineStr">
        <is>
          <t>SANTHANAM P</t>
        </is>
      </c>
      <c r="D622" s="127" t="inlineStr">
        <is>
          <t>PRODUCTION</t>
        </is>
      </c>
      <c r="E622" s="129" t="inlineStr">
        <is>
          <t>BAND BUILDING-P1</t>
        </is>
      </c>
      <c r="F622" s="130" t="n">
        <v>42494</v>
      </c>
      <c r="G622" s="131">
        <f>NOW()-F622</f>
        <v/>
      </c>
      <c r="H622" s="104" t="inlineStr">
        <is>
          <t>O</t>
        </is>
      </c>
      <c r="I622" s="104" t="inlineStr">
        <is>
          <t>U</t>
        </is>
      </c>
      <c r="J622" s="104" t="n">
        <v>6</v>
      </c>
      <c r="K622" s="104" t="n">
        <v>9</v>
      </c>
      <c r="L622" s="104" t="n">
        <v>10</v>
      </c>
      <c r="M622" s="104" t="n">
        <v>8</v>
      </c>
      <c r="N622" s="104" t="n"/>
      <c r="O622" s="104">
        <f>SUM(J622:N622)</f>
        <v/>
      </c>
      <c r="P622" s="12">
        <f>O622/IF(H622="L",20,IF(H622="U",30,IF(H622="O",40,IF(H622="I",20,""))))</f>
        <v/>
      </c>
      <c r="Q622" s="132">
        <f>IF(AND(H622="L", P622&gt;=50%), "Pass",
IF(AND(H622="U", P622&gt;=60%), "Pass",
IF(AND(H622="O", P622&gt;=75%), "Pass", "Fail")))</f>
        <v/>
      </c>
      <c r="R622" s="104" t="n"/>
      <c r="S622" s="104" t="n">
        <v>14</v>
      </c>
      <c r="T622" s="104" t="n">
        <v>6</v>
      </c>
      <c r="U622" s="104">
        <f>SUM(S622:T622)</f>
        <v/>
      </c>
      <c r="V622" s="12">
        <f>U622/IF(H622="L",35,IF(H622="U",35,IF(H622="O",35,IF(H622="I",35,""))))</f>
        <v/>
      </c>
      <c r="W622" s="132">
        <f>IF(AND(H622="L", V622&gt;=50%), "Pass",
IF(AND(H622="U", V622&gt;=60%), "Pass",
IF(AND(H622="O", V622&gt;=75%), "Pass", "Fail")))</f>
        <v/>
      </c>
      <c r="X622" s="132">
        <f>IF(AND(Q622="Pass", W622="Pass"), "Pass", "Fail")</f>
        <v/>
      </c>
      <c r="Y622" s="15">
        <f>IF($X622="Pass",$H622,
IF(H622="L","I",
IF(H622="U","L",
IF(H622="O","U",
"I"))))</f>
        <v/>
      </c>
    </row>
    <row r="623">
      <c r="A623" s="147">
        <f>ROW()-2</f>
        <v/>
      </c>
      <c r="B623" s="127" t="inlineStr">
        <is>
          <t>SR0640</t>
        </is>
      </c>
      <c r="C623" s="128" t="inlineStr">
        <is>
          <t>MURUGAN S</t>
        </is>
      </c>
      <c r="D623" s="127" t="inlineStr">
        <is>
          <t>PRODUCTION</t>
        </is>
      </c>
      <c r="E623" s="129" t="inlineStr">
        <is>
          <t>TYRE BUILDING-P3</t>
        </is>
      </c>
      <c r="F623" s="130" t="n">
        <v>42496</v>
      </c>
      <c r="G623" s="131">
        <f>NOW()-F623</f>
        <v/>
      </c>
      <c r="H623" s="104" t="inlineStr">
        <is>
          <t>O</t>
        </is>
      </c>
      <c r="I623" s="104" t="inlineStr">
        <is>
          <t>U</t>
        </is>
      </c>
      <c r="J623" s="104" t="n">
        <v>10</v>
      </c>
      <c r="K623" s="104" t="n">
        <v>10</v>
      </c>
      <c r="L623" s="104" t="n">
        <v>9</v>
      </c>
      <c r="M623" s="104" t="n">
        <v>9</v>
      </c>
      <c r="N623" s="104" t="n"/>
      <c r="O623" s="104">
        <f>SUM(J623:N623)</f>
        <v/>
      </c>
      <c r="P623" s="12">
        <f>O623/IF(H623="L",20,IF(H623="U",30,IF(H623="O",40,IF(H623="I",20,""))))</f>
        <v/>
      </c>
      <c r="Q623" s="132">
        <f>IF(AND(H623="L", P623&gt;=50%), "Pass",
IF(AND(H623="U", P623&gt;=60%), "Pass",
IF(AND(H623="O", P623&gt;=75%), "Pass", "Fail")))</f>
        <v/>
      </c>
      <c r="R623" s="104" t="n"/>
      <c r="S623" s="104" t="n">
        <v>19</v>
      </c>
      <c r="T623" s="104" t="n">
        <v>15</v>
      </c>
      <c r="U623" s="104">
        <f>SUM(S623:T623)</f>
        <v/>
      </c>
      <c r="V623" s="12">
        <f>U623/IF(H623="L",35,IF(H623="U",35,IF(H623="O",35,IF(H623="I",35,""))))</f>
        <v/>
      </c>
      <c r="W623" s="132">
        <f>IF(AND(H623="L", V623&gt;=50%), "Pass",
IF(AND(H623="U", V623&gt;=60%), "Pass",
IF(AND(H623="O", V623&gt;=75%), "Pass", "Fail")))</f>
        <v/>
      </c>
      <c r="X623" s="132">
        <f>IF(AND(Q623="Pass", W623="Pass"), "Pass", "Fail")</f>
        <v/>
      </c>
      <c r="Y623" s="15">
        <f>IF($X623="Pass",$H623,
IF(H623="L","I",
IF(H623="U","L",
IF(H623="O","U",
"I"))))</f>
        <v/>
      </c>
    </row>
    <row r="624">
      <c r="A624" s="147">
        <f>ROW()-2</f>
        <v/>
      </c>
      <c r="B624" s="127" t="inlineStr">
        <is>
          <t>PK0548</t>
        </is>
      </c>
      <c r="C624" s="128" t="inlineStr">
        <is>
          <t>SURESH KUMAR M</t>
        </is>
      </c>
      <c r="D624" s="127" t="inlineStr">
        <is>
          <t>PRODUCTION</t>
        </is>
      </c>
      <c r="E624" s="129" t="inlineStr">
        <is>
          <t>YANTHAI</t>
        </is>
      </c>
      <c r="F624" s="130" t="n">
        <v>42503</v>
      </c>
      <c r="G624" s="131">
        <f>NOW()-F624</f>
        <v/>
      </c>
      <c r="H624" s="104" t="inlineStr">
        <is>
          <t>O</t>
        </is>
      </c>
      <c r="I624" s="104" t="inlineStr">
        <is>
          <t>O</t>
        </is>
      </c>
      <c r="J624" s="104" t="n">
        <v>9</v>
      </c>
      <c r="K624" s="104" t="n">
        <v>9</v>
      </c>
      <c r="L624" s="104" t="n">
        <v>10</v>
      </c>
      <c r="M624" s="104" t="n">
        <v>7</v>
      </c>
      <c r="N624" s="104" t="n"/>
      <c r="O624" s="104">
        <f>SUM(J624:N624)</f>
        <v/>
      </c>
      <c r="P624" s="12">
        <f>O624/IF(H624="L",20,IF(H624="U",30,IF(H624="O",40,IF(H624="I",20,""))))</f>
        <v/>
      </c>
      <c r="Q624" s="132">
        <f>IF(AND(H624="L", P624&gt;=50%), "Pass",
IF(AND(H624="U", P624&gt;=60%), "Pass",
IF(AND(H624="O", P624&gt;=75%), "Pass", "Fail")))</f>
        <v/>
      </c>
      <c r="R624" s="104" t="n"/>
      <c r="S624" s="104" t="n">
        <v>20</v>
      </c>
      <c r="T624" s="104" t="n">
        <v>15</v>
      </c>
      <c r="U624" s="104">
        <f>SUM(S624:T624)</f>
        <v/>
      </c>
      <c r="V624" s="12">
        <f>U624/IF(H624="L",35,IF(H624="U",35,IF(H624="O",35,IF(H624="I",35,""))))</f>
        <v/>
      </c>
      <c r="W624" s="132">
        <f>IF(AND(H624="L", V624&gt;=50%), "Pass",
IF(AND(H624="U", V624&gt;=60%), "Pass",
IF(AND(H624="O", V624&gt;=75%), "Pass", "Fail")))</f>
        <v/>
      </c>
      <c r="X624" s="132">
        <f>IF(AND(Q624="Pass", W624="Pass"), "Pass", "Fail")</f>
        <v/>
      </c>
      <c r="Y624" s="15">
        <f>IF($X624="Pass",$H624,
IF(H624="L","I",
IF(H624="U","L",
IF(H624="O","U",
"I"))))</f>
        <v/>
      </c>
    </row>
    <row r="625">
      <c r="A625" s="147">
        <f>ROW()-2</f>
        <v/>
      </c>
      <c r="B625" s="127" t="inlineStr">
        <is>
          <t>PK0549</t>
        </is>
      </c>
      <c r="C625" s="128" t="inlineStr">
        <is>
          <t>SUDALAI MUTHU J</t>
        </is>
      </c>
      <c r="D625" s="127" t="inlineStr">
        <is>
          <t>PRODUCTION</t>
        </is>
      </c>
      <c r="E625" s="129" t="inlineStr">
        <is>
          <t>YANTHAI</t>
        </is>
      </c>
      <c r="F625" s="130" t="n">
        <v>42503</v>
      </c>
      <c r="G625" s="131">
        <f>NOW()-F625</f>
        <v/>
      </c>
      <c r="H625" s="104" t="inlineStr">
        <is>
          <t>O</t>
        </is>
      </c>
      <c r="I625" s="104" t="inlineStr">
        <is>
          <t>O</t>
        </is>
      </c>
      <c r="J625" s="104" t="n">
        <v>10</v>
      </c>
      <c r="K625" s="104" t="n">
        <v>9</v>
      </c>
      <c r="L625" s="104" t="n">
        <v>7</v>
      </c>
      <c r="M625" s="104" t="n">
        <v>6</v>
      </c>
      <c r="N625" s="104" t="n"/>
      <c r="O625" s="104">
        <f>SUM(J625:N625)</f>
        <v/>
      </c>
      <c r="P625" s="12">
        <f>O625/IF(H625="L",20,IF(H625="U",30,IF(H625="O",40,IF(H625="I",20,""))))</f>
        <v/>
      </c>
      <c r="Q625" s="132">
        <f>IF(AND(H625="L", P625&gt;=50%), "Pass",
IF(AND(H625="U", P625&gt;=60%), "Pass",
IF(AND(H625="O", P625&gt;=75%), "Pass", "Fail")))</f>
        <v/>
      </c>
      <c r="R625" s="104" t="n"/>
      <c r="S625" s="43" t="n">
        <v>19</v>
      </c>
      <c r="T625" s="43" t="n">
        <v>14</v>
      </c>
      <c r="U625" s="104">
        <f>SUM(S625:T625)</f>
        <v/>
      </c>
      <c r="V625" s="12">
        <f>U625/IF(H625="L",35,IF(H625="U",35,IF(H625="O",35,IF(H625="I",35,""))))</f>
        <v/>
      </c>
      <c r="W625" s="132">
        <f>IF(AND(H625="L", V625&gt;=50%), "Pass",
IF(AND(H625="U", V625&gt;=60%), "Pass",
IF(AND(H625="O", V625&gt;=75%), "Pass", "Fail")))</f>
        <v/>
      </c>
      <c r="X625" s="132">
        <f>IF(AND(Q625="Pass", W625="Pass"), "Pass", "Fail")</f>
        <v/>
      </c>
      <c r="Y625" s="15">
        <f>IF($X625="Pass",$H625,
IF(H625="L","I",
IF(H625="U","L",
IF(H625="O","U",
"I"))))</f>
        <v/>
      </c>
    </row>
    <row r="626">
      <c r="A626" s="147">
        <f>ROW()-2</f>
        <v/>
      </c>
      <c r="B626" s="127" t="inlineStr">
        <is>
          <t>MG0931</t>
        </is>
      </c>
      <c r="C626" s="128" t="inlineStr">
        <is>
          <t>PAULRAJ KUMAR S</t>
        </is>
      </c>
      <c r="D626" s="127" t="inlineStr">
        <is>
          <t>PRODUCTION</t>
        </is>
      </c>
      <c r="E626" s="129" t="inlineStr">
        <is>
          <t>TYRE BUILDING-P2</t>
        </is>
      </c>
      <c r="F626" s="130" t="n">
        <v>42508</v>
      </c>
      <c r="G626" s="131">
        <f>NOW()-F626</f>
        <v/>
      </c>
      <c r="H626" s="104" t="inlineStr">
        <is>
          <t>O</t>
        </is>
      </c>
      <c r="I626" s="104" t="inlineStr">
        <is>
          <t>U</t>
        </is>
      </c>
      <c r="J626" s="104" t="n">
        <v>10</v>
      </c>
      <c r="K626" s="104" t="n">
        <v>8</v>
      </c>
      <c r="L626" s="104" t="n">
        <v>8</v>
      </c>
      <c r="M626" s="104" t="n">
        <v>9</v>
      </c>
      <c r="N626" s="104" t="n"/>
      <c r="O626" s="104">
        <f>SUM(J626:N626)</f>
        <v/>
      </c>
      <c r="P626" s="12">
        <f>O626/IF(H626="L",20,IF(H626="U",30,IF(H626="O",40,IF(H626="I",20,""))))</f>
        <v/>
      </c>
      <c r="Q626" s="132">
        <f>IF(AND(H626="L", P626&gt;=50%), "Pass",
IF(AND(H626="U", P626&gt;=60%), "Pass",
IF(AND(H626="O", P626&gt;=75%), "Pass", "Fail")))</f>
        <v/>
      </c>
      <c r="R626" s="104" t="n"/>
      <c r="S626" s="104" t="n">
        <v>13</v>
      </c>
      <c r="T626" s="104" t="n">
        <v>8</v>
      </c>
      <c r="U626" s="104">
        <f>SUM(S626:T626)</f>
        <v/>
      </c>
      <c r="V626" s="12">
        <f>U626/IF(H626="L",35,IF(H626="U",35,IF(H626="O",35,IF(H626="I",35,""))))</f>
        <v/>
      </c>
      <c r="W626" s="132">
        <f>IF(AND(H626="L", V626&gt;=50%), "Pass",
IF(AND(H626="U", V626&gt;=60%), "Pass",
IF(AND(H626="O", V626&gt;=75%), "Pass", "Fail")))</f>
        <v/>
      </c>
      <c r="X626" s="132">
        <f>IF(AND(Q626="Pass", W626="Pass"), "Pass", "Fail")</f>
        <v/>
      </c>
      <c r="Y626" s="15">
        <f>IF($X626="Pass",$H626,
IF(H626="L","I",
IF(H626="U","L",
IF(H626="O","U",
"I"))))</f>
        <v/>
      </c>
    </row>
    <row r="627">
      <c r="A627" s="147">
        <f>ROW()-2</f>
        <v/>
      </c>
      <c r="B627" s="127" t="inlineStr">
        <is>
          <t>SK2139</t>
        </is>
      </c>
      <c r="C627" s="128" t="inlineStr">
        <is>
          <t>JEYARAM A MUTHUKRISHNAN M</t>
        </is>
      </c>
      <c r="D627" s="127" t="inlineStr">
        <is>
          <t>PRODUCTION</t>
        </is>
      </c>
      <c r="E627" s="129" t="inlineStr">
        <is>
          <t>TYRE BUILDING-P1</t>
        </is>
      </c>
      <c r="F627" s="130" t="n">
        <v>42508</v>
      </c>
      <c r="G627" s="131">
        <f>NOW()-F627</f>
        <v/>
      </c>
      <c r="H627" s="104" t="inlineStr">
        <is>
          <t>O</t>
        </is>
      </c>
      <c r="I627" s="104" t="inlineStr">
        <is>
          <t>U</t>
        </is>
      </c>
      <c r="J627" s="104" t="n">
        <v>10</v>
      </c>
      <c r="K627" s="104" t="n">
        <v>10</v>
      </c>
      <c r="L627" s="104" t="n">
        <v>7</v>
      </c>
      <c r="M627" s="104" t="n">
        <v>7</v>
      </c>
      <c r="N627" s="104" t="n"/>
      <c r="O627" s="104">
        <f>SUM(J627:N627)</f>
        <v/>
      </c>
      <c r="P627" s="12">
        <f>O627/IF(H627="L",20,IF(H627="U",30,IF(H627="O",40,IF(H627="I",20,""))))</f>
        <v/>
      </c>
      <c r="Q627" s="132">
        <f>IF(AND(H627="L", P627&gt;=50%), "Pass",
IF(AND(H627="U", P627&gt;=60%), "Pass",
IF(AND(H627="O", P627&gt;=75%), "Pass", "Fail")))</f>
        <v/>
      </c>
      <c r="R627" s="104" t="n"/>
      <c r="S627" s="104" t="n">
        <v>15</v>
      </c>
      <c r="T627" s="104" t="n">
        <v>15</v>
      </c>
      <c r="U627" s="104">
        <f>SUM(S627:T627)</f>
        <v/>
      </c>
      <c r="V627" s="12">
        <f>U627/IF(H627="L",35,IF(H627="U",35,IF(H627="O",35,IF(H627="I",35,""))))</f>
        <v/>
      </c>
      <c r="W627" s="132">
        <f>IF(AND(H627="L", V627&gt;=50%), "Pass",
IF(AND(H627="U", V627&gt;=60%), "Pass",
IF(AND(H627="O", V627&gt;=75%), "Pass", "Fail")))</f>
        <v/>
      </c>
      <c r="X627" s="132">
        <f>IF(AND(Q627="Pass", W627="Pass"), "Pass", "Fail")</f>
        <v/>
      </c>
      <c r="Y627" s="15">
        <f>IF($X627="Pass",$H627,
IF(H627="L","I",
IF(H627="U","L",
IF(H627="O","U",
"I"))))</f>
        <v/>
      </c>
    </row>
    <row r="628">
      <c r="A628" s="147">
        <f>ROW()-2</f>
        <v/>
      </c>
      <c r="B628" s="127" t="inlineStr">
        <is>
          <t>PK0709</t>
        </is>
      </c>
      <c r="C628" s="128" t="inlineStr">
        <is>
          <t>RAJA A</t>
        </is>
      </c>
      <c r="D628" s="127" t="inlineStr">
        <is>
          <t>PRODUCTION</t>
        </is>
      </c>
      <c r="E628" s="129" t="inlineStr">
        <is>
          <t>BIAS MARANGONI&amp;BESTRY</t>
        </is>
      </c>
      <c r="F628" s="130" t="n">
        <v>42510</v>
      </c>
      <c r="G628" s="131">
        <f>NOW()-F628</f>
        <v/>
      </c>
      <c r="H628" s="104" t="inlineStr">
        <is>
          <t>O</t>
        </is>
      </c>
      <c r="I628" s="104" t="inlineStr">
        <is>
          <t>U</t>
        </is>
      </c>
      <c r="J628" s="104" t="n">
        <v>9</v>
      </c>
      <c r="K628" s="104" t="n">
        <v>9</v>
      </c>
      <c r="L628" s="104" t="n">
        <v>8</v>
      </c>
      <c r="M628" s="104" t="n">
        <v>6</v>
      </c>
      <c r="N628" s="104" t="n"/>
      <c r="O628" s="104">
        <f>SUM(J628:N628)</f>
        <v/>
      </c>
      <c r="P628" s="12">
        <f>O628/IF(H628="L",20,IF(H628="U",30,IF(H628="O",40,IF(H628="I",20,""))))</f>
        <v/>
      </c>
      <c r="Q628" s="132">
        <f>IF(AND(H628="L", P628&gt;=50%), "Pass",
IF(AND(H628="U", P628&gt;=60%), "Pass",
IF(AND(H628="O", P628&gt;=75%), "Pass", "Fail")))</f>
        <v/>
      </c>
      <c r="R628" s="104" t="n"/>
      <c r="S628" s="104" t="n">
        <v>16</v>
      </c>
      <c r="T628" s="104" t="n">
        <v>12</v>
      </c>
      <c r="U628" s="104">
        <f>SUM(S628:T628)</f>
        <v/>
      </c>
      <c r="V628" s="12">
        <f>U628/IF(H628="L",35,IF(H628="U",35,IF(H628="O",35,IF(H628="I",35,""))))</f>
        <v/>
      </c>
      <c r="W628" s="132">
        <f>IF(AND(H628="L", V628&gt;=50%), "Pass",
IF(AND(H628="U", V628&gt;=60%), "Pass",
IF(AND(H628="O", V628&gt;=75%), "Pass", "Fail")))</f>
        <v/>
      </c>
      <c r="X628" s="132">
        <f>IF(AND(Q628="Pass", W628="Pass"), "Pass", "Fail")</f>
        <v/>
      </c>
      <c r="Y628" s="15">
        <f>IF($X628="Pass",$H628,
IF(H628="L","I",
IF(H628="U","L",
IF(H628="O","U",
"I"))))</f>
        <v/>
      </c>
    </row>
    <row r="629">
      <c r="A629" s="147">
        <f>ROW()-2</f>
        <v/>
      </c>
      <c r="B629" s="127" t="inlineStr">
        <is>
          <t>SK2142</t>
        </is>
      </c>
      <c r="C629" s="128" t="inlineStr">
        <is>
          <t>MUPPIDATHI C</t>
        </is>
      </c>
      <c r="D629" s="127" t="inlineStr">
        <is>
          <t>PRODUCTION</t>
        </is>
      </c>
      <c r="E629" s="129" t="inlineStr">
        <is>
          <t>BEAD WINDING</t>
        </is>
      </c>
      <c r="F629" s="130" t="n">
        <v>42510</v>
      </c>
      <c r="G629" s="131">
        <f>NOW()-F629</f>
        <v/>
      </c>
      <c r="H629" s="104" t="inlineStr">
        <is>
          <t>O</t>
        </is>
      </c>
      <c r="I629" s="104" t="inlineStr">
        <is>
          <t>U</t>
        </is>
      </c>
      <c r="J629" s="104" t="n">
        <v>7</v>
      </c>
      <c r="K629" s="104" t="n">
        <v>7</v>
      </c>
      <c r="L629" s="104" t="n">
        <v>7</v>
      </c>
      <c r="M629" s="104" t="n">
        <v>9</v>
      </c>
      <c r="N629" s="104" t="n"/>
      <c r="O629" s="104">
        <f>SUM(J629:N629)</f>
        <v/>
      </c>
      <c r="P629" s="12">
        <f>O629/IF(H629="L",20,IF(H629="U",30,IF(H629="O",40,IF(H629="I",20,""))))</f>
        <v/>
      </c>
      <c r="Q629" s="132">
        <f>IF(AND(H629="L", P629&gt;=50%), "Pass",
IF(AND(H629="U", P629&gt;=60%), "Pass",
IF(AND(H629="O", P629&gt;=75%), "Pass", "Fail")))</f>
        <v/>
      </c>
      <c r="R629" s="104" t="n"/>
      <c r="S629" s="104" t="n">
        <v>16</v>
      </c>
      <c r="T629" s="104" t="n">
        <v>12</v>
      </c>
      <c r="U629" s="104">
        <f>SUM(S629:T629)</f>
        <v/>
      </c>
      <c r="V629" s="12">
        <f>U629/IF(H629="L",35,IF(H629="U",35,IF(H629="O",35,IF(H629="I",35,""))))</f>
        <v/>
      </c>
      <c r="W629" s="132">
        <f>IF(AND(H629="L", V629&gt;=50%), "Pass",
IF(AND(H629="U", V629&gt;=60%), "Pass",
IF(AND(H629="O", V629&gt;=75%), "Pass", "Fail")))</f>
        <v/>
      </c>
      <c r="X629" s="132">
        <f>IF(AND(Q629="Pass", W629="Pass"), "Pass", "Fail")</f>
        <v/>
      </c>
      <c r="Y629" s="15">
        <f>IF($X629="Pass",$H629,
IF(H629="L","I",
IF(H629="U","L",
IF(H629="O","U",
"I"))))</f>
        <v/>
      </c>
    </row>
    <row r="630">
      <c r="A630" s="147">
        <f>ROW()-2</f>
        <v/>
      </c>
      <c r="B630" s="127" t="inlineStr">
        <is>
          <t>SK2149</t>
        </is>
      </c>
      <c r="C630" s="128" t="inlineStr">
        <is>
          <t>SATHISH KUMAR C</t>
        </is>
      </c>
      <c r="D630" s="127" t="inlineStr">
        <is>
          <t>PRODUCTION</t>
        </is>
      </c>
      <c r="E630" s="129" t="inlineStr">
        <is>
          <t>TYRE BUILDING-P2</t>
        </is>
      </c>
      <c r="F630" s="130" t="n">
        <v>42512</v>
      </c>
      <c r="G630" s="131">
        <f>NOW()-F630</f>
        <v/>
      </c>
      <c r="H630" s="104" t="inlineStr">
        <is>
          <t>O</t>
        </is>
      </c>
      <c r="I630" s="104" t="inlineStr">
        <is>
          <t>U</t>
        </is>
      </c>
      <c r="J630" s="104" t="n">
        <v>8</v>
      </c>
      <c r="K630" s="104" t="n">
        <v>8</v>
      </c>
      <c r="L630" s="104" t="n">
        <v>7</v>
      </c>
      <c r="M630" s="104" t="n">
        <v>9</v>
      </c>
      <c r="N630" s="104" t="n"/>
      <c r="O630" s="104">
        <f>SUM(J630:N630)</f>
        <v/>
      </c>
      <c r="P630" s="12">
        <f>O630/IF(H630="L",20,IF(H630="U",30,IF(H630="O",40,IF(H630="I",20,""))))</f>
        <v/>
      </c>
      <c r="Q630" s="132">
        <f>IF(AND(H630="L", P630&gt;=50%), "Pass",
IF(AND(H630="U", P630&gt;=60%), "Pass",
IF(AND(H630="O", P630&gt;=75%), "Pass", "Fail")))</f>
        <v/>
      </c>
      <c r="R630" s="104" t="n"/>
      <c r="S630" s="104" t="n">
        <v>9</v>
      </c>
      <c r="T630" s="104" t="n">
        <v>7</v>
      </c>
      <c r="U630" s="104">
        <f>SUM(S630:T630)</f>
        <v/>
      </c>
      <c r="V630" s="12">
        <f>U630/IF(H630="L",35,IF(H630="U",35,IF(H630="O",35,IF(H630="I",35,""))))</f>
        <v/>
      </c>
      <c r="W630" s="132">
        <f>IF(AND(H630="L", V630&gt;=50%), "Pass",
IF(AND(H630="U", V630&gt;=60%), "Pass",
IF(AND(H630="O", V630&gt;=75%), "Pass", "Fail")))</f>
        <v/>
      </c>
      <c r="X630" s="132">
        <f>IF(AND(Q630="Pass", W630="Pass"), "Pass", "Fail")</f>
        <v/>
      </c>
      <c r="Y630" s="15">
        <f>IF($X630="Pass",$H630,
IF(H630="L","I",
IF(H630="U","L",
IF(H630="O","U",
"I"))))</f>
        <v/>
      </c>
    </row>
    <row r="631">
      <c r="A631" s="147">
        <f>ROW()-2</f>
        <v/>
      </c>
      <c r="B631" s="127" t="inlineStr">
        <is>
          <t>PK0710</t>
        </is>
      </c>
      <c r="C631" s="128" t="inlineStr">
        <is>
          <t>NARAYANA MOORTHY E</t>
        </is>
      </c>
      <c r="D631" s="127" t="inlineStr">
        <is>
          <t>PRODUCTION</t>
        </is>
      </c>
      <c r="E631" s="129" t="inlineStr">
        <is>
          <t>TYRE CURING</t>
        </is>
      </c>
      <c r="F631" s="130" t="n">
        <v>42513</v>
      </c>
      <c r="G631" s="131">
        <f>NOW()-F631</f>
        <v/>
      </c>
      <c r="H631" s="104" t="inlineStr">
        <is>
          <t>O</t>
        </is>
      </c>
      <c r="I631" s="104" t="inlineStr">
        <is>
          <t>U</t>
        </is>
      </c>
      <c r="J631" s="104" t="n">
        <v>10</v>
      </c>
      <c r="K631" s="104" t="n">
        <v>8</v>
      </c>
      <c r="L631" s="104" t="n">
        <v>9</v>
      </c>
      <c r="M631" s="104" t="n">
        <v>7</v>
      </c>
      <c r="N631" s="104" t="n"/>
      <c r="O631" s="104">
        <f>SUM(J631:N631)</f>
        <v/>
      </c>
      <c r="P631" s="12">
        <f>O631/IF(H631="L",20,IF(H631="U",30,IF(H631="O",40,IF(H631="I",20,""))))</f>
        <v/>
      </c>
      <c r="Q631" s="132">
        <f>IF(AND(H631="L", P631&gt;=50%), "Pass",
IF(AND(H631="U", P631&gt;=60%), "Pass",
IF(AND(H631="O", P631&gt;=75%), "Pass", "Fail")))</f>
        <v/>
      </c>
      <c r="R631" s="104" t="n"/>
      <c r="S631" s="104" t="n">
        <v>13</v>
      </c>
      <c r="T631" s="104" t="n">
        <v>10</v>
      </c>
      <c r="U631" s="104">
        <f>SUM(S631:T631)</f>
        <v/>
      </c>
      <c r="V631" s="12">
        <f>U631/IF(H631="L",35,IF(H631="U",35,IF(H631="O",35,IF(H631="I",35,""))))</f>
        <v/>
      </c>
      <c r="W631" s="132">
        <f>IF(AND(H631="L", V631&gt;=50%), "Pass",
IF(AND(H631="U", V631&gt;=60%), "Pass",
IF(AND(H631="O", V631&gt;=75%), "Pass", "Fail")))</f>
        <v/>
      </c>
      <c r="X631" s="132">
        <f>IF(AND(Q631="Pass", W631="Pass"), "Pass", "Fail")</f>
        <v/>
      </c>
      <c r="Y631" s="15">
        <f>IF($X631="Pass",$H631,
IF(H631="L","I",
IF(H631="U","L",
IF(H631="O","U",
"I"))))</f>
        <v/>
      </c>
    </row>
    <row r="632">
      <c r="A632" s="147">
        <f>ROW()-2</f>
        <v/>
      </c>
      <c r="B632" s="127" t="inlineStr">
        <is>
          <t>SK2152</t>
        </is>
      </c>
      <c r="C632" s="128" t="inlineStr">
        <is>
          <t>HEMARAJ M</t>
        </is>
      </c>
      <c r="D632" s="127" t="inlineStr">
        <is>
          <t>PRODUCTION</t>
        </is>
      </c>
      <c r="E632" s="129" t="inlineStr">
        <is>
          <t>BIAS CUTTING-5</t>
        </is>
      </c>
      <c r="F632" s="130" t="n">
        <v>42513</v>
      </c>
      <c r="G632" s="131">
        <f>NOW()-F632</f>
        <v/>
      </c>
      <c r="H632" s="104" t="inlineStr">
        <is>
          <t>O</t>
        </is>
      </c>
      <c r="I632" s="104" t="inlineStr">
        <is>
          <t>U</t>
        </is>
      </c>
      <c r="J632" s="104" t="n">
        <v>5</v>
      </c>
      <c r="K632" s="104" t="n">
        <v>6</v>
      </c>
      <c r="L632" s="104" t="n">
        <v>4</v>
      </c>
      <c r="M632" s="104" t="n">
        <v>7</v>
      </c>
      <c r="N632" s="104" t="n"/>
      <c r="O632" s="104">
        <f>SUM(J632:N632)</f>
        <v/>
      </c>
      <c r="P632" s="12">
        <f>O632/IF(H632="L",20,IF(H632="U",30,IF(H632="O",40,IF(H632="I",20,""))))</f>
        <v/>
      </c>
      <c r="Q632" s="132">
        <f>IF(AND(H632="L", P632&gt;=50%), "Pass",
IF(AND(H632="U", P632&gt;=60%), "Pass",
IF(AND(H632="O", P632&gt;=75%), "Pass", "Fail")))</f>
        <v/>
      </c>
      <c r="R632" s="104" t="n"/>
      <c r="S632" s="104" t="n">
        <v>17</v>
      </c>
      <c r="T632" s="104" t="n">
        <v>14</v>
      </c>
      <c r="U632" s="104">
        <f>SUM(S632:T632)</f>
        <v/>
      </c>
      <c r="V632" s="12">
        <f>U632/IF(H632="L",35,IF(H632="U",35,IF(H632="O",35,IF(H632="I",35,""))))</f>
        <v/>
      </c>
      <c r="W632" s="132">
        <f>IF(AND(H632="L", V632&gt;=50%), "Pass",
IF(AND(H632="U", V632&gt;=60%), "Pass",
IF(AND(H632="O", V632&gt;=75%), "Pass", "Fail")))</f>
        <v/>
      </c>
      <c r="X632" s="132">
        <f>IF(AND(Q632="Pass", W632="Pass"), "Pass", "Fail")</f>
        <v/>
      </c>
      <c r="Y632" s="15">
        <f>IF($X632="Pass",$H632,
IF(H632="L","I",
IF(H632="U","L",
IF(H632="O","U",
"I"))))</f>
        <v/>
      </c>
    </row>
    <row r="633">
      <c r="A633" s="147">
        <f>ROW()-2</f>
        <v/>
      </c>
      <c r="B633" s="127" t="inlineStr">
        <is>
          <t>MG0934</t>
        </is>
      </c>
      <c r="C633" s="128" t="inlineStr">
        <is>
          <t>STEPHEN GNANARAJ S</t>
        </is>
      </c>
      <c r="D633" s="127" t="inlineStr">
        <is>
          <t>PRODUCTION</t>
        </is>
      </c>
      <c r="E633" s="129" t="inlineStr">
        <is>
          <t>TYRE BUILDING-P1</t>
        </is>
      </c>
      <c r="F633" s="130" t="n">
        <v>42515</v>
      </c>
      <c r="G633" s="131">
        <f>NOW()-F633</f>
        <v/>
      </c>
      <c r="H633" s="104" t="inlineStr">
        <is>
          <t>O</t>
        </is>
      </c>
      <c r="I633" s="104" t="inlineStr">
        <is>
          <t>U</t>
        </is>
      </c>
      <c r="J633" s="104" t="n">
        <v>10</v>
      </c>
      <c r="K633" s="104" t="n">
        <v>10</v>
      </c>
      <c r="L633" s="104" t="n">
        <v>7</v>
      </c>
      <c r="M633" s="104" t="n">
        <v>9</v>
      </c>
      <c r="N633" s="104" t="n"/>
      <c r="O633" s="104">
        <f>SUM(J633:N633)</f>
        <v/>
      </c>
      <c r="P633" s="12">
        <f>O633/IF(H633="L",20,IF(H633="U",30,IF(H633="O",40,IF(H633="I",20,""))))</f>
        <v/>
      </c>
      <c r="Q633" s="132">
        <f>IF(AND(H633="L", P633&gt;=50%), "Pass",
IF(AND(H633="U", P633&gt;=60%), "Pass",
IF(AND(H633="O", P633&gt;=75%), "Pass", "Fail")))</f>
        <v/>
      </c>
      <c r="R633" s="104" t="n"/>
      <c r="S633" s="104" t="n">
        <v>13</v>
      </c>
      <c r="T633" s="104" t="n">
        <v>12</v>
      </c>
      <c r="U633" s="104">
        <f>SUM(S633:T633)</f>
        <v/>
      </c>
      <c r="V633" s="12">
        <f>U633/IF(H633="L",35,IF(H633="U",35,IF(H633="O",35,IF(H633="I",35,""))))</f>
        <v/>
      </c>
      <c r="W633" s="132">
        <f>IF(AND(H633="L", V633&gt;=50%), "Pass",
IF(AND(H633="U", V633&gt;=60%), "Pass",
IF(AND(H633="O", V633&gt;=75%), "Pass", "Fail")))</f>
        <v/>
      </c>
      <c r="X633" s="132">
        <f>IF(AND(Q633="Pass", W633="Pass"), "Pass", "Fail")</f>
        <v/>
      </c>
      <c r="Y633" s="15">
        <f>IF($X633="Pass",$H633,
IF(H633="L","I",
IF(H633="U","L",
IF(H633="O","U",
"I"))))</f>
        <v/>
      </c>
    </row>
    <row r="634">
      <c r="A634" s="147">
        <f>ROW()-2</f>
        <v/>
      </c>
      <c r="B634" s="127" t="inlineStr">
        <is>
          <t>AK0437</t>
        </is>
      </c>
      <c r="C634" s="128" t="inlineStr">
        <is>
          <t>PRADEEP K</t>
        </is>
      </c>
      <c r="D634" s="127" t="inlineStr">
        <is>
          <t>PRODUCTION</t>
        </is>
      </c>
      <c r="E634" s="129" t="inlineStr">
        <is>
          <t>TYRE CURING</t>
        </is>
      </c>
      <c r="F634" s="130" t="n">
        <v>42517</v>
      </c>
      <c r="G634" s="131">
        <f>NOW()-F634</f>
        <v/>
      </c>
      <c r="H634" s="104" t="inlineStr">
        <is>
          <t>O</t>
        </is>
      </c>
      <c r="I634" s="104" t="inlineStr">
        <is>
          <t>O</t>
        </is>
      </c>
      <c r="J634" s="104" t="n">
        <v>9</v>
      </c>
      <c r="K634" s="104" t="n">
        <v>10</v>
      </c>
      <c r="L634" s="104" t="n">
        <v>8</v>
      </c>
      <c r="M634" s="104" t="n">
        <v>7</v>
      </c>
      <c r="N634" s="104" t="n"/>
      <c r="O634" s="104">
        <f>SUM(J634:N634)</f>
        <v/>
      </c>
      <c r="P634" s="12">
        <f>O634/IF(H634="L",20,IF(H634="U",30,IF(H634="O",40,IF(H634="I",20,""))))</f>
        <v/>
      </c>
      <c r="Q634" s="132">
        <f>IF(AND(H634="L", P634&gt;=50%), "Pass",
IF(AND(H634="U", P634&gt;=60%), "Pass",
IF(AND(H634="O", P634&gt;=75%), "Pass", "Fail")))</f>
        <v/>
      </c>
      <c r="R634" s="104" t="n"/>
      <c r="S634" s="104" t="n">
        <v>13</v>
      </c>
      <c r="T634" s="104" t="n">
        <v>9</v>
      </c>
      <c r="U634" s="104">
        <f>SUM(S634:T634)</f>
        <v/>
      </c>
      <c r="V634" s="12">
        <f>U634/IF(H634="L",35,IF(H634="U",35,IF(H634="O",35,IF(H634="I",35,""))))</f>
        <v/>
      </c>
      <c r="W634" s="132">
        <f>IF(AND(H634="L", V634&gt;=50%), "Pass",
IF(AND(H634="U", V634&gt;=60%), "Pass",
IF(AND(H634="O", V634&gt;=75%), "Pass", "Fail")))</f>
        <v/>
      </c>
      <c r="X634" s="132">
        <f>IF(AND(Q634="Pass", W634="Pass"), "Pass", "Fail")</f>
        <v/>
      </c>
      <c r="Y634" s="15">
        <f>IF($X634="Pass",$H634,
IF(H634="L","I",
IF(H634="U","L",
IF(H634="O","U",
"I"))))</f>
        <v/>
      </c>
    </row>
    <row r="635">
      <c r="A635" s="147">
        <f>ROW()-2</f>
        <v/>
      </c>
      <c r="B635" s="127" t="inlineStr">
        <is>
          <t>MG0939</t>
        </is>
      </c>
      <c r="C635" s="128" t="inlineStr">
        <is>
          <t>RAMALINGAM S</t>
        </is>
      </c>
      <c r="D635" s="127" t="inlineStr">
        <is>
          <t>PRODUCTION</t>
        </is>
      </c>
      <c r="E635" s="129" t="inlineStr">
        <is>
          <t>TYRE CURING</t>
        </is>
      </c>
      <c r="F635" s="130" t="n">
        <v>42517</v>
      </c>
      <c r="G635" s="131">
        <f>NOW()-F635</f>
        <v/>
      </c>
      <c r="H635" s="104" t="inlineStr">
        <is>
          <t>O</t>
        </is>
      </c>
      <c r="I635" s="104" t="inlineStr">
        <is>
          <t>U</t>
        </is>
      </c>
      <c r="J635" s="104" t="n">
        <v>8</v>
      </c>
      <c r="K635" s="104" t="n">
        <v>9</v>
      </c>
      <c r="L635" s="104" t="n">
        <v>9</v>
      </c>
      <c r="M635" s="104" t="n">
        <v>9</v>
      </c>
      <c r="N635" s="104" t="n"/>
      <c r="O635" s="104">
        <f>SUM(J635:N635)</f>
        <v/>
      </c>
      <c r="P635" s="12">
        <f>O635/IF(H635="L",20,IF(H635="U",30,IF(H635="O",40,IF(H635="I",20,""))))</f>
        <v/>
      </c>
      <c r="Q635" s="132">
        <f>IF(AND(H635="L", P635&gt;=50%), "Pass",
IF(AND(H635="U", P635&gt;=60%), "Pass",
IF(AND(H635="O", P635&gt;=75%), "Pass", "Fail")))</f>
        <v/>
      </c>
      <c r="R635" s="104" t="n"/>
      <c r="S635" s="104" t="n">
        <v>14</v>
      </c>
      <c r="T635" s="104" t="n">
        <v>6</v>
      </c>
      <c r="U635" s="104">
        <f>SUM(S635:T635)</f>
        <v/>
      </c>
      <c r="V635" s="12">
        <f>U635/IF(H635="L",35,IF(H635="U",35,IF(H635="O",35,IF(H635="I",35,""))))</f>
        <v/>
      </c>
      <c r="W635" s="132">
        <f>IF(AND(H635="L", V635&gt;=50%), "Pass",
IF(AND(H635="U", V635&gt;=60%), "Pass",
IF(AND(H635="O", V635&gt;=75%), "Pass", "Fail")))</f>
        <v/>
      </c>
      <c r="X635" s="132">
        <f>IF(AND(Q635="Pass", W635="Pass"), "Pass", "Fail")</f>
        <v/>
      </c>
      <c r="Y635" s="15">
        <f>IF($X635="Pass",$H635,
IF(H635="L","I",
IF(H635="U","L",
IF(H635="O","U",
"I"))))</f>
        <v/>
      </c>
      <c r="Z635" s="82" t="n"/>
    </row>
    <row r="636">
      <c r="A636" s="147">
        <f>ROW()-2</f>
        <v/>
      </c>
      <c r="B636" s="127" t="inlineStr">
        <is>
          <t>MG0940</t>
        </is>
      </c>
      <c r="C636" s="128" t="inlineStr">
        <is>
          <t>MURUGAN M</t>
        </is>
      </c>
      <c r="D636" s="127" t="inlineStr">
        <is>
          <t>PRODUCTION</t>
        </is>
      </c>
      <c r="E636" s="129" t="inlineStr">
        <is>
          <t>TYRE CURING</t>
        </is>
      </c>
      <c r="F636" s="130" t="n">
        <v>42518</v>
      </c>
      <c r="G636" s="131">
        <f>NOW()-F636</f>
        <v/>
      </c>
      <c r="H636" s="104" t="inlineStr">
        <is>
          <t>O</t>
        </is>
      </c>
      <c r="I636" s="104" t="inlineStr">
        <is>
          <t>O</t>
        </is>
      </c>
      <c r="J636" s="104" t="n">
        <v>9</v>
      </c>
      <c r="K636" s="104" t="n">
        <v>9</v>
      </c>
      <c r="L636" s="104" t="n">
        <v>8</v>
      </c>
      <c r="M636" s="104" t="n">
        <v>8</v>
      </c>
      <c r="N636" s="104" t="n"/>
      <c r="O636" s="104">
        <f>SUM(J636:N636)</f>
        <v/>
      </c>
      <c r="P636" s="12">
        <f>O636/IF(H636="L",20,IF(H636="U",30,IF(H636="O",40,IF(H636="I",20,""))))</f>
        <v/>
      </c>
      <c r="Q636" s="132">
        <f>IF(AND(H636="L", P636&gt;=50%), "Pass",
IF(AND(H636="U", P636&gt;=60%), "Pass",
IF(AND(H636="O", P636&gt;=75%), "Pass", "Fail")))</f>
        <v/>
      </c>
      <c r="R636" s="104" t="n"/>
      <c r="S636" s="104" t="n">
        <v>11</v>
      </c>
      <c r="T636" s="104" t="n">
        <v>9</v>
      </c>
      <c r="U636" s="104">
        <f>SUM(S636:T636)</f>
        <v/>
      </c>
      <c r="V636" s="12">
        <f>U636/IF(H636="L",35,IF(H636="U",35,IF(H636="O",35,IF(H636="I",35,""))))</f>
        <v/>
      </c>
      <c r="W636" s="132">
        <f>IF(AND(H636="L", V636&gt;=50%), "Pass",
IF(AND(H636="U", V636&gt;=60%), "Pass",
IF(AND(H636="O", V636&gt;=75%), "Pass", "Fail")))</f>
        <v/>
      </c>
      <c r="X636" s="132">
        <f>IF(AND(Q636="Pass", W636="Pass"), "Pass", "Fail")</f>
        <v/>
      </c>
      <c r="Y636" s="15">
        <f>IF($X636="Pass",$H636,
IF(H636="L","I",
IF(H636="U","L",
IF(H636="O","U",
"I"))))</f>
        <v/>
      </c>
    </row>
    <row r="637">
      <c r="A637" s="147">
        <f>ROW()-2</f>
        <v/>
      </c>
      <c r="B637" s="127" t="inlineStr">
        <is>
          <t>PK0566</t>
        </is>
      </c>
      <c r="C637" s="128" t="inlineStr">
        <is>
          <t>MUPPIDATHY P</t>
        </is>
      </c>
      <c r="D637" s="127" t="inlineStr">
        <is>
          <t>PRODUCTION</t>
        </is>
      </c>
      <c r="E637" s="129" t="inlineStr">
        <is>
          <t>BAND BUILDING-P3</t>
        </is>
      </c>
      <c r="F637" s="130" t="n">
        <v>42521</v>
      </c>
      <c r="G637" s="131">
        <f>NOW()-F637</f>
        <v/>
      </c>
      <c r="H637" s="104" t="inlineStr">
        <is>
          <t>O</t>
        </is>
      </c>
      <c r="I637" s="104" t="inlineStr">
        <is>
          <t>U</t>
        </is>
      </c>
      <c r="J637" s="104" t="n">
        <v>10</v>
      </c>
      <c r="K637" s="104" t="n">
        <v>7</v>
      </c>
      <c r="L637" s="104" t="n">
        <v>8</v>
      </c>
      <c r="M637" s="104" t="n">
        <v>9</v>
      </c>
      <c r="N637" s="104" t="n"/>
      <c r="O637" s="104">
        <f>SUM(J637:N637)</f>
        <v/>
      </c>
      <c r="P637" s="12">
        <f>O637/IF(H637="L",20,IF(H637="U",30,IF(H637="O",40,IF(H637="I",20,""))))</f>
        <v/>
      </c>
      <c r="Q637" s="132">
        <f>IF(AND(H637="L", P637&gt;=50%), "Pass",
IF(AND(H637="U", P637&gt;=60%), "Pass",
IF(AND(H637="O", P637&gt;=75%), "Pass", "Fail")))</f>
        <v/>
      </c>
      <c r="R637" s="104" t="n"/>
      <c r="S637" s="104" t="n">
        <v>12</v>
      </c>
      <c r="T637" s="104" t="n">
        <v>9</v>
      </c>
      <c r="U637" s="104">
        <f>SUM(S637:T637)</f>
        <v/>
      </c>
      <c r="V637" s="12">
        <f>U637/IF(H637="L",35,IF(H637="U",35,IF(H637="O",35,IF(H637="I",35,""))))</f>
        <v/>
      </c>
      <c r="W637" s="132">
        <f>IF(AND(H637="L", V637&gt;=50%), "Pass",
IF(AND(H637="U", V637&gt;=60%), "Pass",
IF(AND(H637="O", V637&gt;=75%), "Pass", "Fail")))</f>
        <v/>
      </c>
      <c r="X637" s="132">
        <f>IF(AND(Q637="Pass", W637="Pass"), "Pass", "Fail")</f>
        <v/>
      </c>
      <c r="Y637" s="15">
        <f>IF($X637="Pass",$H637,
IF(H637="L","I",
IF(H637="U","L",
IF(H637="O","U",
"I"))))</f>
        <v/>
      </c>
    </row>
    <row r="638">
      <c r="A638" s="147">
        <f>ROW()-2</f>
        <v/>
      </c>
      <c r="B638" s="127" t="inlineStr">
        <is>
          <t>PK0568</t>
        </is>
      </c>
      <c r="C638" s="128" t="inlineStr">
        <is>
          <t>SURESH KUMAR N</t>
        </is>
      </c>
      <c r="D638" s="127" t="inlineStr">
        <is>
          <t>PRODUCTION</t>
        </is>
      </c>
      <c r="E638" s="129" t="inlineStr">
        <is>
          <t>TYRE BUILDING-P2</t>
        </is>
      </c>
      <c r="F638" s="130" t="n">
        <v>42522</v>
      </c>
      <c r="G638" s="131">
        <f>NOW()-F638</f>
        <v/>
      </c>
      <c r="H638" s="104" t="inlineStr">
        <is>
          <t>O</t>
        </is>
      </c>
      <c r="I638" s="104" t="inlineStr">
        <is>
          <t>U</t>
        </is>
      </c>
      <c r="J638" s="104" t="n">
        <v>7</v>
      </c>
      <c r="K638" s="104" t="n">
        <v>8</v>
      </c>
      <c r="L638" s="104" t="n">
        <v>7</v>
      </c>
      <c r="M638" s="104" t="n">
        <v>8</v>
      </c>
      <c r="N638" s="104" t="n"/>
      <c r="O638" s="104">
        <f>SUM(J638:N638)</f>
        <v/>
      </c>
      <c r="P638" s="12">
        <f>O638/IF(H638="L",20,IF(H638="U",30,IF(H638="O",40,IF(H638="I",20,""))))</f>
        <v/>
      </c>
      <c r="Q638" s="132">
        <f>IF(AND(H638="L", P638&gt;=50%), "Pass",
IF(AND(H638="U", P638&gt;=60%), "Pass",
IF(AND(H638="O", P638&gt;=75%), "Pass", "Fail")))</f>
        <v/>
      </c>
      <c r="R638" s="104" t="n"/>
      <c r="S638" s="104" t="n">
        <v>14</v>
      </c>
      <c r="T638" s="104" t="n">
        <v>11</v>
      </c>
      <c r="U638" s="104">
        <f>SUM(S638:T638)</f>
        <v/>
      </c>
      <c r="V638" s="12">
        <f>U638/IF(H638="L",35,IF(H638="U",35,IF(H638="O",35,IF(H638="I",35,""))))</f>
        <v/>
      </c>
      <c r="W638" s="132">
        <f>IF(AND(H638="L", V638&gt;=50%), "Pass",
IF(AND(H638="U", V638&gt;=60%), "Pass",
IF(AND(H638="O", V638&gt;=75%), "Pass", "Fail")))</f>
        <v/>
      </c>
      <c r="X638" s="132">
        <f>IF(AND(Q638="Pass", W638="Pass"), "Pass", "Fail")</f>
        <v/>
      </c>
      <c r="Y638" s="15">
        <f>IF($X638="Pass",$H638,
IF(H638="L","I",
IF(H638="U","L",
IF(H638="O","U",
"I"))))</f>
        <v/>
      </c>
    </row>
    <row r="639">
      <c r="A639" s="147">
        <f>ROW()-2</f>
        <v/>
      </c>
      <c r="B639" s="127" t="inlineStr">
        <is>
          <t>SR0538</t>
        </is>
      </c>
      <c r="C639" s="128" t="inlineStr">
        <is>
          <t>MAHENDRAN D</t>
        </is>
      </c>
      <c r="D639" s="127" t="inlineStr">
        <is>
          <t>PRODUCTION</t>
        </is>
      </c>
      <c r="E639" s="129" t="inlineStr">
        <is>
          <t>TYRE BUILDING-P1</t>
        </is>
      </c>
      <c r="F639" s="130" t="n">
        <v>42522</v>
      </c>
      <c r="G639" s="131">
        <f>NOW()-F639</f>
        <v/>
      </c>
      <c r="H639" s="104" t="inlineStr">
        <is>
          <t>O</t>
        </is>
      </c>
      <c r="I639" s="104" t="inlineStr">
        <is>
          <t>U</t>
        </is>
      </c>
      <c r="J639" s="104" t="n">
        <v>10</v>
      </c>
      <c r="K639" s="104" t="n">
        <v>7</v>
      </c>
      <c r="L639" s="104" t="n">
        <v>7</v>
      </c>
      <c r="M639" s="104" t="n">
        <v>5</v>
      </c>
      <c r="N639" s="104" t="n"/>
      <c r="O639" s="104">
        <f>SUM(J639:N639)</f>
        <v/>
      </c>
      <c r="P639" s="12">
        <f>O639/IF(H639="L",20,IF(H639="U",30,IF(H639="O",40,IF(H639="I",20,""))))</f>
        <v/>
      </c>
      <c r="Q639" s="132">
        <f>IF(AND(H639="L", P639&gt;=50%), "Pass",
IF(AND(H639="U", P639&gt;=60%), "Pass",
IF(AND(H639="O", P639&gt;=75%), "Pass", "Fail")))</f>
        <v/>
      </c>
      <c r="R639" s="104" t="n"/>
      <c r="S639" s="104" t="n">
        <v>14</v>
      </c>
      <c r="T639" s="104" t="n">
        <v>15</v>
      </c>
      <c r="U639" s="104">
        <f>SUM(S639:T639)</f>
        <v/>
      </c>
      <c r="V639" s="12">
        <f>U639/IF(H639="L",35,IF(H639="U",35,IF(H639="O",35,IF(H639="I",35,""))))</f>
        <v/>
      </c>
      <c r="W639" s="132">
        <f>IF(AND(H639="L", V639&gt;=50%), "Pass",
IF(AND(H639="U", V639&gt;=60%), "Pass",
IF(AND(H639="O", V639&gt;=75%), "Pass", "Fail")))</f>
        <v/>
      </c>
      <c r="X639" s="132">
        <f>IF(AND(Q639="Pass", W639="Pass"), "Pass", "Fail")</f>
        <v/>
      </c>
      <c r="Y639" s="15">
        <f>IF($X639="Pass",$H639,
IF(H639="L","I",
IF(H639="U","L",
IF(H639="O","U",
"I"))))</f>
        <v/>
      </c>
    </row>
    <row r="640">
      <c r="A640" s="147">
        <f>ROW()-2</f>
        <v/>
      </c>
      <c r="B640" s="127" t="inlineStr">
        <is>
          <t>KK0644</t>
        </is>
      </c>
      <c r="C640" s="128" t="inlineStr">
        <is>
          <t>BIJOY HAJANG</t>
        </is>
      </c>
      <c r="D640" s="127" t="inlineStr">
        <is>
          <t>PRODUCTION</t>
        </is>
      </c>
      <c r="E640" s="129" t="inlineStr">
        <is>
          <t>3 ROLL-P2</t>
        </is>
      </c>
      <c r="F640" s="130" t="n">
        <v>42524</v>
      </c>
      <c r="G640" s="131">
        <f>NOW()-F640</f>
        <v/>
      </c>
      <c r="H640" s="104" t="inlineStr">
        <is>
          <t>O</t>
        </is>
      </c>
      <c r="I640" s="104" t="inlineStr">
        <is>
          <t>U</t>
        </is>
      </c>
      <c r="J640" s="104" t="n">
        <v>3</v>
      </c>
      <c r="K640" s="104" t="n">
        <v>6</v>
      </c>
      <c r="L640" s="104" t="n">
        <v>4</v>
      </c>
      <c r="M640" s="104" t="n">
        <v>3</v>
      </c>
      <c r="N640" s="104" t="n"/>
      <c r="O640" s="104">
        <f>SUM(J640:N640)</f>
        <v/>
      </c>
      <c r="P640" s="12">
        <f>O640/IF(H640="L",20,IF(H640="U",30,IF(H640="O",40,IF(H640="I",20,""))))</f>
        <v/>
      </c>
      <c r="Q640" s="132">
        <f>IF(AND(H640="L", P640&gt;=50%), "Pass",
IF(AND(H640="U", P640&gt;=60%), "Pass",
IF(AND(H640="O", P640&gt;=75%), "Pass", "Fail")))</f>
        <v/>
      </c>
      <c r="R640" s="104" t="n"/>
      <c r="S640" s="104" t="n">
        <v>13</v>
      </c>
      <c r="T640" s="104" t="n">
        <v>10</v>
      </c>
      <c r="U640" s="104">
        <f>SUM(S640:T640)</f>
        <v/>
      </c>
      <c r="V640" s="12">
        <f>U640/IF(H640="L",35,IF(H640="U",35,IF(H640="O",35,IF(H640="I",35,""))))</f>
        <v/>
      </c>
      <c r="W640" s="132">
        <f>IF(AND(H640="L", V640&gt;=50%), "Pass",
IF(AND(H640="U", V640&gt;=60%), "Pass",
IF(AND(H640="O", V640&gt;=75%), "Pass", "Fail")))</f>
        <v/>
      </c>
      <c r="X640" s="132">
        <f>IF(AND(Q640="Pass", W640="Pass"), "Pass", "Fail")</f>
        <v/>
      </c>
      <c r="Y640" s="15">
        <f>IF($X640="Pass",$H640,
IF(H640="L","I",
IF(H640="U","L",
IF(H640="O","U",
"I"))))</f>
        <v/>
      </c>
    </row>
    <row r="641">
      <c r="A641" s="147">
        <f>ROW()-2</f>
        <v/>
      </c>
      <c r="B641" s="127" t="inlineStr">
        <is>
          <t>AK0654</t>
        </is>
      </c>
      <c r="C641" s="128" t="inlineStr">
        <is>
          <t>MANOHAR M</t>
        </is>
      </c>
      <c r="D641" s="127" t="inlineStr">
        <is>
          <t>PRODUCTION</t>
        </is>
      </c>
      <c r="E641" s="129" t="inlineStr">
        <is>
          <t>SOLID TYRE</t>
        </is>
      </c>
      <c r="F641" s="130" t="n">
        <v>42530</v>
      </c>
      <c r="G641" s="131">
        <f>NOW()-F641</f>
        <v/>
      </c>
      <c r="H641" s="104" t="inlineStr">
        <is>
          <t>O</t>
        </is>
      </c>
      <c r="I641" s="104" t="inlineStr">
        <is>
          <t>O</t>
        </is>
      </c>
      <c r="J641" s="104" t="n">
        <v>8</v>
      </c>
      <c r="K641" s="104" t="n">
        <v>9</v>
      </c>
      <c r="L641" s="104" t="n">
        <v>9</v>
      </c>
      <c r="M641" s="104" t="n">
        <v>8</v>
      </c>
      <c r="N641" s="104" t="n"/>
      <c r="O641" s="104">
        <f>SUM(J641:N641)</f>
        <v/>
      </c>
      <c r="P641" s="12">
        <f>O641/IF(H641="L",20,IF(H641="U",30,IF(H641="O",40,IF(H641="I",20,""))))</f>
        <v/>
      </c>
      <c r="Q641" s="132">
        <f>IF(AND(H641="L", P641&gt;=50%), "Pass",
IF(AND(H641="U", P641&gt;=60%), "Pass",
IF(AND(H641="O", P641&gt;=75%), "Pass", "Fail")))</f>
        <v/>
      </c>
      <c r="R641" s="104" t="n"/>
      <c r="S641" s="104" t="n">
        <v>18</v>
      </c>
      <c r="T641" s="104" t="n">
        <v>13</v>
      </c>
      <c r="U641" s="104">
        <f>SUM(S641:T641)</f>
        <v/>
      </c>
      <c r="V641" s="12">
        <f>U641/IF(H641="L",35,IF(H641="U",35,IF(H641="O",35,IF(H641="I",35,""))))</f>
        <v/>
      </c>
      <c r="W641" s="132">
        <f>IF(AND(H641="L", V641&gt;=50%), "Pass",
IF(AND(H641="U", V641&gt;=60%), "Pass",
IF(AND(H641="O", V641&gt;=75%), "Pass", "Fail")))</f>
        <v/>
      </c>
      <c r="X641" s="132">
        <f>IF(AND(Q641="Pass", W641="Pass"), "Pass", "Fail")</f>
        <v/>
      </c>
      <c r="Y641" s="15">
        <f>IF($X641="Pass",$H641,
IF(H641="L","I",
IF(H641="U","L",
IF(H641="O","U",
"I"))))</f>
        <v/>
      </c>
    </row>
    <row r="642">
      <c r="A642" s="147">
        <f>ROW()-2</f>
        <v/>
      </c>
      <c r="B642" s="127" t="inlineStr">
        <is>
          <t>KK0653</t>
        </is>
      </c>
      <c r="C642" s="128" t="inlineStr">
        <is>
          <t>PAUL DURAI A</t>
        </is>
      </c>
      <c r="D642" s="127" t="inlineStr">
        <is>
          <t>PRODUCTION</t>
        </is>
      </c>
      <c r="E642" s="129" t="inlineStr">
        <is>
          <t>TYRE BUILDING-P3</t>
        </is>
      </c>
      <c r="F642" s="130" t="n">
        <v>42531</v>
      </c>
      <c r="G642" s="131">
        <f>NOW()-F642</f>
        <v/>
      </c>
      <c r="H642" s="104" t="inlineStr">
        <is>
          <t>O</t>
        </is>
      </c>
      <c r="I642" s="104" t="inlineStr">
        <is>
          <t>O</t>
        </is>
      </c>
      <c r="J642" s="104" t="n">
        <v>10</v>
      </c>
      <c r="K642" s="104" t="n">
        <v>9</v>
      </c>
      <c r="L642" s="104" t="n">
        <v>7</v>
      </c>
      <c r="M642" s="104" t="n">
        <v>9</v>
      </c>
      <c r="N642" s="104" t="n"/>
      <c r="O642" s="104">
        <f>SUM(J642:N642)</f>
        <v/>
      </c>
      <c r="P642" s="12">
        <f>O642/IF(H642="L",20,IF(H642="U",30,IF(H642="O",40,IF(H642="I",20,""))))</f>
        <v/>
      </c>
      <c r="Q642" s="132">
        <f>IF(AND(H642="L", P642&gt;=50%), "Pass",
IF(AND(H642="U", P642&gt;=60%), "Pass",
IF(AND(H642="O", P642&gt;=75%), "Pass", "Fail")))</f>
        <v/>
      </c>
      <c r="R642" s="104" t="n"/>
      <c r="S642" s="104" t="n">
        <v>18</v>
      </c>
      <c r="T642" s="104" t="n">
        <v>14</v>
      </c>
      <c r="U642" s="104">
        <f>SUM(S642:T642)</f>
        <v/>
      </c>
      <c r="V642" s="12">
        <f>U642/IF(H642="L",35,IF(H642="U",35,IF(H642="O",35,IF(H642="I",35,""))))</f>
        <v/>
      </c>
      <c r="W642" s="132">
        <f>IF(AND(H642="L", V642&gt;=50%), "Pass",
IF(AND(H642="U", V642&gt;=60%), "Pass",
IF(AND(H642="O", V642&gt;=75%), "Pass", "Fail")))</f>
        <v/>
      </c>
      <c r="X642" s="132">
        <f>IF(AND(Q642="Pass", W642="Pass"), "Pass", "Fail")</f>
        <v/>
      </c>
      <c r="Y642" s="15">
        <f>IF($X642="Pass",$H642,
IF(H642="L","I",
IF(H642="U","L",
IF(H642="O","U",
"I"))))</f>
        <v/>
      </c>
    </row>
    <row r="643">
      <c r="A643" s="147">
        <f>ROW()-2</f>
        <v/>
      </c>
      <c r="B643" s="127" t="inlineStr">
        <is>
          <t>SR0544</t>
        </is>
      </c>
      <c r="C643" s="128" t="inlineStr">
        <is>
          <t>RAJA G</t>
        </is>
      </c>
      <c r="D643" s="127" t="inlineStr">
        <is>
          <t>PRODUCTION</t>
        </is>
      </c>
      <c r="E643" s="129" t="inlineStr">
        <is>
          <t>TYRE BUILDING-P3</t>
        </is>
      </c>
      <c r="F643" s="130" t="n">
        <v>42532</v>
      </c>
      <c r="G643" s="131">
        <f>NOW()-F643</f>
        <v/>
      </c>
      <c r="H643" s="104" t="inlineStr">
        <is>
          <t>O</t>
        </is>
      </c>
      <c r="I643" s="104" t="inlineStr">
        <is>
          <t>O</t>
        </is>
      </c>
      <c r="J643" s="104" t="n">
        <v>9</v>
      </c>
      <c r="K643" s="104" t="n">
        <v>9</v>
      </c>
      <c r="L643" s="104" t="n">
        <v>6</v>
      </c>
      <c r="M643" s="104" t="n">
        <v>9</v>
      </c>
      <c r="N643" s="104" t="n"/>
      <c r="O643" s="104">
        <f>SUM(J643:N643)</f>
        <v/>
      </c>
      <c r="P643" s="12">
        <f>O643/IF(H643="L",20,IF(H643="U",30,IF(H643="O",40,IF(H643="I",20,""))))</f>
        <v/>
      </c>
      <c r="Q643" s="132">
        <f>IF(AND(H643="L", P643&gt;=50%), "Pass",
 IF(AND(H643="U", P643&gt;=60%), "Pass",
 IF(AND(H643="O", P643&gt;=75%), "Pass", "Fail")))</f>
        <v/>
      </c>
      <c r="R643" s="104" t="n"/>
      <c r="S643" s="104" t="n">
        <v>19</v>
      </c>
      <c r="T643" s="104" t="n">
        <v>14</v>
      </c>
      <c r="U643" s="104">
        <f>SUM(S643:T643)</f>
        <v/>
      </c>
      <c r="V643" s="12">
        <f>U643/IF(H643="L",35,IF(H643="U",35,IF(H643="O",35,IF(H643="I",35,""))))</f>
        <v/>
      </c>
      <c r="W643" s="132">
        <f>IF(AND(H643="L", V643&gt;=50%), "Pass",
 IF(AND(H643="U", V643&gt;=60%), "Pass",
 IF(AND(H643="O", V643&gt;=75%), "Pass", "Fail")))</f>
        <v/>
      </c>
      <c r="X643" s="132">
        <f>IF(AND(Q643="Pass", W643="Pass"), "Pass", "Fail")</f>
        <v/>
      </c>
      <c r="Y643" s="15">
        <f>IF($X643="Pass",$H643,
IF(H643="L","I",
IF(H643="U","L",
IF(H643="O","U",
"I"))))</f>
        <v/>
      </c>
    </row>
    <row r="644">
      <c r="A644" s="147">
        <f>ROW()-2</f>
        <v/>
      </c>
      <c r="B644" s="127" t="inlineStr">
        <is>
          <t>SR0546</t>
        </is>
      </c>
      <c r="C644" s="128" t="inlineStr">
        <is>
          <t>MUTHUKUMAR M</t>
        </is>
      </c>
      <c r="D644" s="127" t="inlineStr">
        <is>
          <t>PRODUCTION</t>
        </is>
      </c>
      <c r="E644" s="129" t="inlineStr">
        <is>
          <t>TYRE BUILDING-P3</t>
        </is>
      </c>
      <c r="F644" s="130" t="n">
        <v>42535</v>
      </c>
      <c r="G644" s="131">
        <f>NOW()-F644</f>
        <v/>
      </c>
      <c r="H644" s="104" t="inlineStr">
        <is>
          <t>O</t>
        </is>
      </c>
      <c r="I644" s="104" t="inlineStr">
        <is>
          <t>O</t>
        </is>
      </c>
      <c r="J644" s="104" t="n">
        <v>10</v>
      </c>
      <c r="K644" s="104" t="n">
        <v>10</v>
      </c>
      <c r="L644" s="104" t="n">
        <v>6</v>
      </c>
      <c r="M644" s="104" t="n">
        <v>6</v>
      </c>
      <c r="N644" s="104" t="n"/>
      <c r="O644" s="104">
        <f>SUM(J644:N644)</f>
        <v/>
      </c>
      <c r="P644" s="12">
        <f>O644/IF(H644="L",20,IF(H644="U",30,IF(H644="O",40,IF(H644="I",20,""))))</f>
        <v/>
      </c>
      <c r="Q644" s="132">
        <f>IF(AND(H644="L", P644&gt;=50%), "Pass",
IF(AND(H644="U", P644&gt;=60%), "Pass",
IF(AND(H644="O", P644&gt;=75%), "Pass", "Fail")))</f>
        <v/>
      </c>
      <c r="R644" s="104" t="n"/>
      <c r="S644" s="104" t="n">
        <v>19</v>
      </c>
      <c r="T644" s="104" t="n">
        <v>15</v>
      </c>
      <c r="U644" s="104">
        <f>SUM(S644:T644)</f>
        <v/>
      </c>
      <c r="V644" s="12">
        <f>U644/IF(H644="L",35,IF(H644="U",35,IF(H644="O",35,IF(H644="I",35,""))))</f>
        <v/>
      </c>
      <c r="W644" s="132">
        <f>IF(AND(H644="L", V644&gt;=50%), "Pass",
IF(AND(H644="U", V644&gt;=60%), "Pass",
IF(AND(H644="O", V644&gt;=75%), "Pass", "Fail")))</f>
        <v/>
      </c>
      <c r="X644" s="132">
        <f>IF(AND(Q644="Pass", W644="Pass"), "Pass", "Fail")</f>
        <v/>
      </c>
      <c r="Y644" s="15">
        <f>IF($X644="Pass",$H644,
IF(H644="L","I",
IF(H644="U","L",
IF(H644="O","U",
"I"))))</f>
        <v/>
      </c>
    </row>
    <row r="645">
      <c r="A645" s="147">
        <f>ROW()-2</f>
        <v/>
      </c>
      <c r="B645" s="127" t="inlineStr">
        <is>
          <t>AK0444</t>
        </is>
      </c>
      <c r="C645" s="128" t="inlineStr">
        <is>
          <t>MAHARAJAN A</t>
        </is>
      </c>
      <c r="D645" s="127" t="inlineStr">
        <is>
          <t>PRODUCTION</t>
        </is>
      </c>
      <c r="E645" s="129" t="inlineStr">
        <is>
          <t>TYRE CURING</t>
        </is>
      </c>
      <c r="F645" s="130" t="n">
        <v>42537</v>
      </c>
      <c r="G645" s="131">
        <f>NOW()-F645</f>
        <v/>
      </c>
      <c r="H645" s="104" t="inlineStr">
        <is>
          <t>O</t>
        </is>
      </c>
      <c r="I645" s="104" t="inlineStr">
        <is>
          <t>O</t>
        </is>
      </c>
      <c r="J645" s="104" t="n">
        <v>9</v>
      </c>
      <c r="K645" s="104" t="n">
        <v>9</v>
      </c>
      <c r="L645" s="104" t="n">
        <v>8</v>
      </c>
      <c r="M645" s="104" t="n">
        <v>10</v>
      </c>
      <c r="N645" s="104" t="n"/>
      <c r="O645" s="104">
        <f>SUM(J645:N645)</f>
        <v/>
      </c>
      <c r="P645" s="12">
        <f>O645/IF(H645="L",20,IF(H645="U",30,IF(H645="O",40,IF(H645="I",20,""))))</f>
        <v/>
      </c>
      <c r="Q645" s="132">
        <f>IF(AND(H645="L", P645&gt;=50%), "Pass",
IF(AND(H645="U", P645&gt;=60%), "Pass",
IF(AND(H645="O", P645&gt;=75%), "Pass", "Fail")))</f>
        <v/>
      </c>
      <c r="R645" s="104" t="n"/>
      <c r="S645" s="104" t="n">
        <v>17</v>
      </c>
      <c r="T645" s="104" t="n">
        <v>11</v>
      </c>
      <c r="U645" s="104">
        <f>SUM(S645:T645)</f>
        <v/>
      </c>
      <c r="V645" s="12">
        <f>U645/IF(H645="L",35,IF(H645="U",35,IF(H645="O",35,IF(H645="I",35,""))))</f>
        <v/>
      </c>
      <c r="W645" s="132">
        <f>IF(AND(H645="L", V645&gt;=50%), "Pass",
IF(AND(H645="U", V645&gt;=60%), "Pass",
IF(AND(H645="O", V645&gt;=75%), "Pass", "Fail")))</f>
        <v/>
      </c>
      <c r="X645" s="132">
        <f>IF(AND(Q645="Pass", W645="Pass"), "Pass", "Fail")</f>
        <v/>
      </c>
      <c r="Y645" s="15">
        <f>IF($X645="Pass",$H645,
IF(H645="L","I",
IF(H645="U","L",
IF(H645="O","U",
"I"))))</f>
        <v/>
      </c>
    </row>
    <row r="646">
      <c r="A646" s="147">
        <f>ROW()-2</f>
        <v/>
      </c>
      <c r="B646" s="127" t="inlineStr">
        <is>
          <t>AK0445</t>
        </is>
      </c>
      <c r="C646" s="128" t="inlineStr">
        <is>
          <t>VEMBU THURAI V</t>
        </is>
      </c>
      <c r="D646" s="127" t="inlineStr">
        <is>
          <t>PRODUCTION</t>
        </is>
      </c>
      <c r="E646" s="129" t="inlineStr">
        <is>
          <t>TYRE CURING</t>
        </is>
      </c>
      <c r="F646" s="130" t="n">
        <v>42537</v>
      </c>
      <c r="G646" s="131">
        <f>NOW()-F646</f>
        <v/>
      </c>
      <c r="H646" s="104" t="inlineStr">
        <is>
          <t>O</t>
        </is>
      </c>
      <c r="I646" s="104" t="inlineStr">
        <is>
          <t>O</t>
        </is>
      </c>
      <c r="J646" s="104" t="n">
        <v>10</v>
      </c>
      <c r="K646" s="104" t="n">
        <v>8</v>
      </c>
      <c r="L646" s="104" t="n">
        <v>8</v>
      </c>
      <c r="M646" s="104" t="n">
        <v>8</v>
      </c>
      <c r="N646" s="104" t="n"/>
      <c r="O646" s="104">
        <f>SUM(J646:N646)</f>
        <v/>
      </c>
      <c r="P646" s="12">
        <f>O646/IF(H646="L",20,IF(H646="U",30,IF(H646="O",40,IF(H646="I",20,""))))</f>
        <v/>
      </c>
      <c r="Q646" s="132">
        <f>IF(AND(H646="L", P646&gt;=50%), "Pass",
IF(AND(H646="U", P646&gt;=60%), "Pass",
IF(AND(H646="O", P646&gt;=75%), "Pass", "Fail")))</f>
        <v/>
      </c>
      <c r="R646" s="104" t="n"/>
      <c r="S646" s="104" t="n">
        <v>12</v>
      </c>
      <c r="T646" s="104" t="n">
        <v>12</v>
      </c>
      <c r="U646" s="104">
        <f>SUM(S646:T646)</f>
        <v/>
      </c>
      <c r="V646" s="12">
        <f>U646/IF(H646="L",35,IF(H646="U",35,IF(H646="O",35,IF(H646="I",35,""))))</f>
        <v/>
      </c>
      <c r="W646" s="132">
        <f>IF(AND(H646="L", V646&gt;=50%), "Pass",
IF(AND(H646="U", V646&gt;=60%), "Pass",
IF(AND(H646="O", V646&gt;=75%), "Pass", "Fail")))</f>
        <v/>
      </c>
      <c r="X646" s="132">
        <f>IF(AND(Q646="Pass", W646="Pass"), "Pass", "Fail")</f>
        <v/>
      </c>
      <c r="Y646" s="15">
        <f>IF($X646="Pass",$H646,
IF(H646="L","I",
IF(H646="U","L",
IF(H646="O","U",
"I"))))</f>
        <v/>
      </c>
      <c r="Z646" s="82" t="n"/>
    </row>
    <row r="647">
      <c r="A647" s="147">
        <f>ROW()-2</f>
        <v/>
      </c>
      <c r="B647" s="127" t="inlineStr">
        <is>
          <t>SK2173</t>
        </is>
      </c>
      <c r="C647" s="128" t="inlineStr">
        <is>
          <t>CHOTOAN RAM</t>
        </is>
      </c>
      <c r="D647" s="127" t="inlineStr">
        <is>
          <t>PRODUCTION</t>
        </is>
      </c>
      <c r="E647" s="129" t="inlineStr">
        <is>
          <t>TYRE CURING</t>
        </is>
      </c>
      <c r="F647" s="130" t="n">
        <v>42537</v>
      </c>
      <c r="G647" s="131">
        <f>NOW()-F647</f>
        <v/>
      </c>
      <c r="H647" s="104" t="inlineStr">
        <is>
          <t>O</t>
        </is>
      </c>
      <c r="I647" s="104" t="inlineStr">
        <is>
          <t>U</t>
        </is>
      </c>
      <c r="J647" s="104" t="n">
        <v>9</v>
      </c>
      <c r="K647" s="104" t="n">
        <v>8</v>
      </c>
      <c r="L647" s="104" t="n">
        <v>7</v>
      </c>
      <c r="M647" s="104" t="n">
        <v>5</v>
      </c>
      <c r="N647" s="104" t="n"/>
      <c r="O647" s="104">
        <f>SUM(J647:N647)</f>
        <v/>
      </c>
      <c r="P647" s="12">
        <f>O647/IF(H647="L",20,IF(H647="U",30,IF(H647="O",40,IF(H647="I",20,""))))</f>
        <v/>
      </c>
      <c r="Q647" s="132">
        <f>IF(AND(H647="L", P647&gt;=50%), "Pass",
IF(AND(H647="U", P647&gt;=60%), "Pass",
IF(AND(H647="O", P647&gt;=75%), "Pass", "Fail")))</f>
        <v/>
      </c>
      <c r="R647" s="104" t="n"/>
      <c r="S647" s="104" t="n">
        <v>10</v>
      </c>
      <c r="T647" s="104" t="n">
        <v>9</v>
      </c>
      <c r="U647" s="104">
        <f>SUM(S647:T647)</f>
        <v/>
      </c>
      <c r="V647" s="12">
        <f>U647/IF(H647="L",35,IF(H647="U",35,IF(H647="O",35,IF(H647="I",35,""))))</f>
        <v/>
      </c>
      <c r="W647" s="132">
        <f>IF(AND(H647="L", V647&gt;=50%), "Pass",
IF(AND(H647="U", V647&gt;=60%), "Pass",
IF(AND(H647="O", V647&gt;=75%), "Pass", "Fail")))</f>
        <v/>
      </c>
      <c r="X647" s="132">
        <f>IF(AND(Q647="Pass", W647="Pass"), "Pass", "Fail")</f>
        <v/>
      </c>
      <c r="Y647" s="15">
        <f>IF($X647="Pass",$H647,
IF(H647="L","I",
IF(H647="U","L",
IF(H647="O","U",
"I"))))</f>
        <v/>
      </c>
    </row>
    <row r="648">
      <c r="A648" s="147">
        <f>ROW()-2</f>
        <v/>
      </c>
      <c r="B648" s="127" t="inlineStr">
        <is>
          <t>SK2429</t>
        </is>
      </c>
      <c r="C648" s="128" t="inlineStr">
        <is>
          <t>VENKATESA PERUMAL A</t>
        </is>
      </c>
      <c r="D648" s="127" t="inlineStr">
        <is>
          <t>PRODUCTION</t>
        </is>
      </c>
      <c r="E648" s="129" t="inlineStr">
        <is>
          <t>TYRE CURING</t>
        </is>
      </c>
      <c r="F648" s="130" t="n">
        <v>42537</v>
      </c>
      <c r="G648" s="131">
        <f>NOW()-F648</f>
        <v/>
      </c>
      <c r="H648" s="104" t="inlineStr">
        <is>
          <t>O</t>
        </is>
      </c>
      <c r="I648" s="104" t="inlineStr">
        <is>
          <t>U</t>
        </is>
      </c>
      <c r="J648" s="104" t="n">
        <v>9</v>
      </c>
      <c r="K648" s="104" t="n">
        <v>6</v>
      </c>
      <c r="L648" s="104" t="n">
        <v>6</v>
      </c>
      <c r="M648" s="104" t="n">
        <v>3</v>
      </c>
      <c r="N648" s="104" t="n"/>
      <c r="O648" s="104">
        <f>SUM(J648:N648)</f>
        <v/>
      </c>
      <c r="P648" s="12">
        <f>O648/IF(H648="L",20,IF(H648="U",30,IF(H648="O",40,IF(H648="I",20,""))))</f>
        <v/>
      </c>
      <c r="Q648" s="132">
        <f>IF(AND(H648="L", P648&gt;=50%), "Pass",
IF(AND(H648="U", P648&gt;=60%), "Pass",
IF(AND(H648="O", P648&gt;=75%), "Pass", "Fail")))</f>
        <v/>
      </c>
      <c r="R648" s="104" t="n"/>
      <c r="S648" s="104" t="n">
        <v>14</v>
      </c>
      <c r="T648" s="104" t="n">
        <v>9</v>
      </c>
      <c r="U648" s="104">
        <f>SUM(S648:T648)</f>
        <v/>
      </c>
      <c r="V648" s="12">
        <f>U648/IF(H648="L",35,IF(H648="U",35,IF(H648="O",35,IF(H648="I",35,""))))</f>
        <v/>
      </c>
      <c r="W648" s="132">
        <f>IF(AND(H648="L", V648&gt;=50%), "Pass",
IF(AND(H648="U", V648&gt;=60%), "Pass",
IF(AND(H648="O", V648&gt;=75%), "Pass", "Fail")))</f>
        <v/>
      </c>
      <c r="X648" s="132">
        <f>IF(AND(Q648="Pass", W648="Pass"), "Pass", "Fail")</f>
        <v/>
      </c>
      <c r="Y648" s="15">
        <f>IF($X648="Pass",$H648,
IF(H648="L","I",
IF(H648="U","L",
IF(H648="O","U",
"I"))))</f>
        <v/>
      </c>
    </row>
    <row r="649">
      <c r="A649" s="147">
        <f>ROW()-2</f>
        <v/>
      </c>
      <c r="B649" s="127" t="inlineStr">
        <is>
          <t>KK0664</t>
        </is>
      </c>
      <c r="C649" s="128" t="inlineStr">
        <is>
          <t>ESAKKIPANDIRAJ M</t>
        </is>
      </c>
      <c r="D649" s="127" t="inlineStr">
        <is>
          <t>PRODUCTION</t>
        </is>
      </c>
      <c r="E649" s="129" t="inlineStr">
        <is>
          <t>BIAS CUTTING-5</t>
        </is>
      </c>
      <c r="F649" s="130" t="n">
        <v>42542</v>
      </c>
      <c r="G649" s="131">
        <f>NOW()-F649</f>
        <v/>
      </c>
      <c r="H649" s="104" t="inlineStr">
        <is>
          <t>O</t>
        </is>
      </c>
      <c r="I649" s="104" t="inlineStr">
        <is>
          <t>U</t>
        </is>
      </c>
      <c r="J649" s="104" t="n">
        <v>9</v>
      </c>
      <c r="K649" s="104" t="n">
        <v>8</v>
      </c>
      <c r="L649" s="104" t="n">
        <v>4</v>
      </c>
      <c r="M649" s="104" t="n">
        <v>6</v>
      </c>
      <c r="N649" s="104" t="n"/>
      <c r="O649" s="104">
        <f>SUM(J649:N649)</f>
        <v/>
      </c>
      <c r="P649" s="12">
        <f>O649/IF(H649="L",20,IF(H649="U",30,IF(H649="O",40,IF(H649="I",20,""))))</f>
        <v/>
      </c>
      <c r="Q649" s="132">
        <f>IF(AND(H649="L", P649&gt;=50%), "Pass",
IF(AND(H649="U", P649&gt;=60%), "Pass",
IF(AND(H649="O", P649&gt;=75%), "Pass", "Fail")))</f>
        <v/>
      </c>
      <c r="R649" s="104" t="n"/>
      <c r="S649" s="104" t="n">
        <v>17</v>
      </c>
      <c r="T649" s="104" t="n">
        <v>14</v>
      </c>
      <c r="U649" s="104">
        <f>SUM(S649:T649)</f>
        <v/>
      </c>
      <c r="V649" s="12">
        <f>U649/IF(H649="L",35,IF(H649="U",35,IF(H649="O",35,IF(H649="I",35,""))))</f>
        <v/>
      </c>
      <c r="W649" s="132">
        <f>IF(AND(H649="L", V649&gt;=50%), "Pass",
IF(AND(H649="U", V649&gt;=60%), "Pass",
IF(AND(H649="O", V649&gt;=75%), "Pass", "Fail")))</f>
        <v/>
      </c>
      <c r="X649" s="132">
        <f>IF(AND(Q649="Pass", W649="Pass"), "Pass", "Fail")</f>
        <v/>
      </c>
      <c r="Y649" s="15">
        <f>IF($X649="Pass",$H649,
IF(H649="L","I",
IF(H649="U","L",
IF(H649="O","U",
"I"))))</f>
        <v/>
      </c>
    </row>
    <row r="650">
      <c r="A650" s="147">
        <f>ROW()-2</f>
        <v/>
      </c>
      <c r="B650" s="127" t="inlineStr">
        <is>
          <t>SR0642</t>
        </is>
      </c>
      <c r="C650" s="128" t="inlineStr">
        <is>
          <t>ESAKKI MUTHU S</t>
        </is>
      </c>
      <c r="D650" s="127" t="inlineStr">
        <is>
          <t>PRODUCTION</t>
        </is>
      </c>
      <c r="E650" s="129" t="inlineStr">
        <is>
          <t>BAND BUILDING-P2</t>
        </is>
      </c>
      <c r="F650" s="130" t="n">
        <v>42543</v>
      </c>
      <c r="G650" s="131">
        <f>NOW()-F650</f>
        <v/>
      </c>
      <c r="H650" s="104" t="inlineStr">
        <is>
          <t>O</t>
        </is>
      </c>
      <c r="I650" s="104" t="inlineStr">
        <is>
          <t>U</t>
        </is>
      </c>
      <c r="J650" s="104" t="n">
        <v>10</v>
      </c>
      <c r="K650" s="104" t="n">
        <v>7</v>
      </c>
      <c r="L650" s="104" t="n">
        <v>9</v>
      </c>
      <c r="M650" s="104" t="n">
        <v>6</v>
      </c>
      <c r="N650" s="104" t="n"/>
      <c r="O650" s="104">
        <f>SUM(J650:N650)</f>
        <v/>
      </c>
      <c r="P650" s="12">
        <f>O650/IF(H650="L",20,IF(H650="U",30,IF(H650="O",40,IF(H650="I",20,""))))</f>
        <v/>
      </c>
      <c r="Q650" s="132">
        <f>IF(AND(H650="L", P650&gt;=50%), "Pass",
IF(AND(H650="U", P650&gt;=60%), "Pass",
IF(AND(H650="O", P650&gt;=75%), "Pass", "Fail")))</f>
        <v/>
      </c>
      <c r="R650" s="104" t="n"/>
      <c r="S650" s="104" t="n">
        <v>13</v>
      </c>
      <c r="T650" s="104" t="n">
        <v>9</v>
      </c>
      <c r="U650" s="104">
        <f>SUM(S650:T650)</f>
        <v/>
      </c>
      <c r="V650" s="12">
        <f>U650/IF(H650="L",35,IF(H650="U",35,IF(H650="O",35,IF(H650="I",35,""))))</f>
        <v/>
      </c>
      <c r="W650" s="132">
        <f>IF(AND(H650="L", V650&gt;=50%), "Pass",
IF(AND(H650="U", V650&gt;=60%), "Pass",
IF(AND(H650="O", V650&gt;=75%), "Pass", "Fail")))</f>
        <v/>
      </c>
      <c r="X650" s="132">
        <f>IF(AND(Q650="Pass", W650="Pass"), "Pass", "Fail")</f>
        <v/>
      </c>
      <c r="Y650" s="15">
        <f>IF($X650="Pass",$H650,
IF(H650="L","I",
IF(H650="U","L",
IF(H650="O","U",
"I"))))</f>
        <v/>
      </c>
    </row>
    <row r="651">
      <c r="A651" s="147">
        <f>ROW()-2</f>
        <v/>
      </c>
      <c r="B651" s="127" t="inlineStr">
        <is>
          <t>AK0453</t>
        </is>
      </c>
      <c r="C651" s="128" t="inlineStr">
        <is>
          <t>KATHIRVEL P</t>
        </is>
      </c>
      <c r="D651" s="127" t="inlineStr">
        <is>
          <t>PRODUCTION</t>
        </is>
      </c>
      <c r="E651" s="129" t="inlineStr">
        <is>
          <t>BIAS CUTTING-2</t>
        </is>
      </c>
      <c r="F651" s="130" t="n">
        <v>42545</v>
      </c>
      <c r="G651" s="131">
        <f>NOW()-F651</f>
        <v/>
      </c>
      <c r="H651" s="104" t="inlineStr">
        <is>
          <t>O</t>
        </is>
      </c>
      <c r="I651" s="104" t="inlineStr">
        <is>
          <t>O</t>
        </is>
      </c>
      <c r="J651" s="104" t="n">
        <v>10</v>
      </c>
      <c r="K651" s="104" t="n">
        <v>9</v>
      </c>
      <c r="L651" s="104" t="n">
        <v>8</v>
      </c>
      <c r="M651" s="104" t="n">
        <v>9</v>
      </c>
      <c r="N651" s="104" t="n"/>
      <c r="O651" s="104">
        <f>SUM(J651:N651)</f>
        <v/>
      </c>
      <c r="P651" s="12">
        <f>O651/IF(H651="L",20,IF(H651="U",30,IF(H651="O",40,IF(H651="I",20,""))))</f>
        <v/>
      </c>
      <c r="Q651" s="132">
        <f>IF(AND(H651="L", P651&gt;=50%), "Pass",
IF(AND(H651="U", P651&gt;=60%), "Pass",
IF(AND(H651="O", P651&gt;=75%), "Pass", "Fail")))</f>
        <v/>
      </c>
      <c r="R651" s="104" t="n"/>
      <c r="S651" s="104" t="n">
        <v>15</v>
      </c>
      <c r="T651" s="104" t="n">
        <v>13</v>
      </c>
      <c r="U651" s="104">
        <f>SUM(S651:T651)</f>
        <v/>
      </c>
      <c r="V651" s="12">
        <f>U651/IF(H651="L",35,IF(H651="U",35,IF(H651="O",35,IF(H651="I",35,""))))</f>
        <v/>
      </c>
      <c r="W651" s="132">
        <f>IF(AND(H651="L", V651&gt;=50%), "Pass",
IF(AND(H651="U", V651&gt;=60%), "Pass",
IF(AND(H651="O", V651&gt;=75%), "Pass", "Fail")))</f>
        <v/>
      </c>
      <c r="X651" s="132">
        <f>IF(AND(Q651="Pass", W651="Pass"), "Pass", "Fail")</f>
        <v/>
      </c>
      <c r="Y651" s="15">
        <f>IF($X651="Pass",$H651,
IF(H651="L","I",
IF(H651="U","L",
IF(H651="O","U",
"I"))))</f>
        <v/>
      </c>
    </row>
    <row r="652">
      <c r="A652" s="147">
        <f>ROW()-2</f>
        <v/>
      </c>
      <c r="B652" s="127" t="inlineStr">
        <is>
          <t>SK2185</t>
        </is>
      </c>
      <c r="C652" s="128" t="inlineStr">
        <is>
          <t>SANUJ KUMAR</t>
        </is>
      </c>
      <c r="D652" s="127" t="inlineStr">
        <is>
          <t>PRODUCTION</t>
        </is>
      </c>
      <c r="E652" s="129" t="inlineStr">
        <is>
          <t>BIAS CUTTING-4</t>
        </is>
      </c>
      <c r="F652" s="130" t="n">
        <v>42545</v>
      </c>
      <c r="G652" s="131">
        <f>NOW()-F652</f>
        <v/>
      </c>
      <c r="H652" s="104" t="inlineStr">
        <is>
          <t>O</t>
        </is>
      </c>
      <c r="I652" s="104" t="inlineStr">
        <is>
          <t>O</t>
        </is>
      </c>
      <c r="J652" s="104" t="n">
        <v>9</v>
      </c>
      <c r="K652" s="104" t="n">
        <v>8</v>
      </c>
      <c r="L652" s="104" t="n">
        <v>8</v>
      </c>
      <c r="M652" s="104" t="n">
        <v>8</v>
      </c>
      <c r="N652" s="104" t="n"/>
      <c r="O652" s="104">
        <f>SUM(J652:N652)</f>
        <v/>
      </c>
      <c r="P652" s="12">
        <f>O652/IF(H652="L",20,IF(H652="U",30,IF(H652="O",40,IF(H652="I",20,""))))</f>
        <v/>
      </c>
      <c r="Q652" s="132">
        <f>IF(AND(H652="L", P652&gt;=50%), "Pass",
IF(AND(H652="U", P652&gt;=60%), "Pass",
IF(AND(H652="O", P652&gt;=75%), "Pass", "Fail")))</f>
        <v/>
      </c>
      <c r="R652" s="104" t="n"/>
      <c r="S652" s="104" t="n">
        <v>20</v>
      </c>
      <c r="T652" s="104" t="n">
        <v>15</v>
      </c>
      <c r="U652" s="104">
        <f>SUM(S652:T652)</f>
        <v/>
      </c>
      <c r="V652" s="12">
        <f>U652/IF(H652="L",35,IF(H652="U",35,IF(H652="O",35,IF(H652="I",35,""))))</f>
        <v/>
      </c>
      <c r="W652" s="132">
        <f>IF(AND(H652="L", V652&gt;=50%), "Pass",
IF(AND(H652="U", V652&gt;=60%), "Pass",
IF(AND(H652="O", V652&gt;=75%), "Pass", "Fail")))</f>
        <v/>
      </c>
      <c r="X652" s="132">
        <f>IF(AND(Q652="Pass", W652="Pass"), "Pass", "Fail")</f>
        <v/>
      </c>
      <c r="Y652" s="15">
        <f>IF($X652="Pass",$H652,
IF(H652="L","I",
IF(H652="U","L",
IF(H652="O","U",
"I"))))</f>
        <v/>
      </c>
    </row>
    <row r="653">
      <c r="A653" s="147">
        <f>ROW()-2</f>
        <v/>
      </c>
      <c r="B653" s="127" t="inlineStr">
        <is>
          <t>PK0588</t>
        </is>
      </c>
      <c r="C653" s="128" t="inlineStr">
        <is>
          <t>GOMATHI SANKAR K</t>
        </is>
      </c>
      <c r="D653" s="127" t="inlineStr">
        <is>
          <t>PRODUCTION</t>
        </is>
      </c>
      <c r="E653" s="129" t="inlineStr">
        <is>
          <t>TYRE BUILDING-P3</t>
        </is>
      </c>
      <c r="F653" s="130" t="n">
        <v>42549</v>
      </c>
      <c r="G653" s="131">
        <f>NOW()-F653</f>
        <v/>
      </c>
      <c r="H653" s="104" t="inlineStr">
        <is>
          <t>O</t>
        </is>
      </c>
      <c r="I653" s="104" t="inlineStr">
        <is>
          <t>O</t>
        </is>
      </c>
      <c r="J653" s="104" t="n">
        <v>10</v>
      </c>
      <c r="K653" s="104" t="n">
        <v>9</v>
      </c>
      <c r="L653" s="104" t="n">
        <v>6</v>
      </c>
      <c r="M653" s="104" t="n">
        <v>9</v>
      </c>
      <c r="N653" s="104" t="n"/>
      <c r="O653" s="104">
        <f>SUM(J653:N653)</f>
        <v/>
      </c>
      <c r="P653" s="12">
        <f>O653/IF(H653="L",20,IF(H653="U",30,IF(H653="O",40,IF(H653="I",20,""))))</f>
        <v/>
      </c>
      <c r="Q653" s="132">
        <f>IF(AND(H653="L", P653&gt;=50%), "Pass",
IF(AND(H653="U", P653&gt;=60%), "Pass",
IF(AND(H653="O", P653&gt;=75%), "Pass", "Fail")))</f>
        <v/>
      </c>
      <c r="R653" s="104" t="n"/>
      <c r="S653" s="104" t="n">
        <v>18</v>
      </c>
      <c r="T653" s="104" t="n">
        <v>15</v>
      </c>
      <c r="U653" s="104">
        <f>SUM(S653:T653)</f>
        <v/>
      </c>
      <c r="V653" s="12">
        <f>U653/IF(H653="L",35,IF(H653="U",35,IF(H653="O",35,IF(H653="I",35,""))))</f>
        <v/>
      </c>
      <c r="W653" s="132">
        <f>IF(AND(H653="L", V653&gt;=50%), "Pass",
IF(AND(H653="U", V653&gt;=60%), "Pass",
IF(AND(H653="O", V653&gt;=75%), "Pass", "Fail")))</f>
        <v/>
      </c>
      <c r="X653" s="132">
        <f>IF(AND(Q653="Pass", W653="Pass"), "Pass", "Fail")</f>
        <v/>
      </c>
      <c r="Y653" s="15">
        <f>IF($X653="Pass",$H653,
IF(H653="L","I",
IF(H653="U","L",
IF(H653="O","U",
"I"))))</f>
        <v/>
      </c>
    </row>
    <row r="654">
      <c r="A654" s="147">
        <f>ROW()-2</f>
        <v/>
      </c>
      <c r="B654" s="127" t="inlineStr">
        <is>
          <t>SK2434</t>
        </is>
      </c>
      <c r="C654" s="128" t="inlineStr">
        <is>
          <t>ESAKKI DURAI M</t>
        </is>
      </c>
      <c r="D654" s="127" t="inlineStr">
        <is>
          <t>PRODUCTION</t>
        </is>
      </c>
      <c r="E654" s="129" t="inlineStr">
        <is>
          <t>YANTHAI</t>
        </is>
      </c>
      <c r="F654" s="130" t="n">
        <v>42549</v>
      </c>
      <c r="G654" s="131">
        <f>NOW()-F654</f>
        <v/>
      </c>
      <c r="H654" s="104" t="inlineStr">
        <is>
          <t>O</t>
        </is>
      </c>
      <c r="I654" s="104" t="inlineStr">
        <is>
          <t>U</t>
        </is>
      </c>
      <c r="J654" s="104" t="n">
        <v>10</v>
      </c>
      <c r="K654" s="104" t="n">
        <v>8</v>
      </c>
      <c r="L654" s="104" t="n">
        <v>10</v>
      </c>
      <c r="M654" s="104" t="n">
        <v>9</v>
      </c>
      <c r="N654" s="104" t="n"/>
      <c r="O654" s="104">
        <f>SUM(J654:N654)</f>
        <v/>
      </c>
      <c r="P654" s="12">
        <f>O654/IF(H654="L",20,IF(H654="U",30,IF(H654="O",40,IF(H654="I",20,""))))</f>
        <v/>
      </c>
      <c r="Q654" s="132">
        <f>IF(AND(H654="L", P654&gt;=50%), "Pass",
IF(AND(H654="U", P654&gt;=60%), "Pass",
IF(AND(H654="O", P654&gt;=75%), "Pass", "Fail")))</f>
        <v/>
      </c>
      <c r="R654" s="104" t="n"/>
      <c r="S654" s="104" t="n">
        <v>19</v>
      </c>
      <c r="T654" s="104" t="n">
        <v>15</v>
      </c>
      <c r="U654" s="104">
        <f>SUM(S654:T654)</f>
        <v/>
      </c>
      <c r="V654" s="12">
        <f>U654/IF(H654="L",35,IF(H654="U",35,IF(H654="O",35,IF(H654="I",35,""))))</f>
        <v/>
      </c>
      <c r="W654" s="132">
        <f>IF(AND(H654="L", V654&gt;=50%), "Pass",
IF(AND(H654="U", V654&gt;=60%), "Pass",
IF(AND(H654="O", V654&gt;=75%), "Pass", "Fail")))</f>
        <v/>
      </c>
      <c r="X654" s="132">
        <f>IF(AND(Q654="Pass", W654="Pass"), "Pass", "Fail")</f>
        <v/>
      </c>
      <c r="Y654" s="15">
        <f>IF($X654="Pass",$H654,
IF(H654="L","I",
IF(H654="U","L",
IF(H654="O","U",
"I"))))</f>
        <v/>
      </c>
    </row>
    <row r="655">
      <c r="A655" s="147">
        <f>ROW()-2</f>
        <v/>
      </c>
      <c r="B655" s="127" t="inlineStr">
        <is>
          <t>SK2435</t>
        </is>
      </c>
      <c r="C655" s="128" t="inlineStr">
        <is>
          <t>SURESH RAMAN S</t>
        </is>
      </c>
      <c r="D655" s="127" t="inlineStr">
        <is>
          <t>PRODUCTION</t>
        </is>
      </c>
      <c r="E655" s="129" t="inlineStr">
        <is>
          <t>TYRE CURING</t>
        </is>
      </c>
      <c r="F655" s="130" t="n">
        <v>42549</v>
      </c>
      <c r="G655" s="131">
        <f>NOW()-F655</f>
        <v/>
      </c>
      <c r="H655" s="104" t="inlineStr">
        <is>
          <t>O</t>
        </is>
      </c>
      <c r="I655" s="104" t="inlineStr">
        <is>
          <t>O</t>
        </is>
      </c>
      <c r="J655" s="104" t="n">
        <v>8</v>
      </c>
      <c r="K655" s="104" t="n">
        <v>8</v>
      </c>
      <c r="L655" s="104" t="n">
        <v>9</v>
      </c>
      <c r="M655" s="104" t="n">
        <v>5</v>
      </c>
      <c r="N655" s="104" t="n"/>
      <c r="O655" s="104">
        <f>SUM(J655:N655)</f>
        <v/>
      </c>
      <c r="P655" s="12">
        <f>O655/IF(H655="L",20,IF(H655="U",30,IF(H655="O",40,IF(H655="I",20,""))))</f>
        <v/>
      </c>
      <c r="Q655" s="132">
        <f>IF(AND(H655="L", P655&gt;=50%), "Pass",
IF(AND(H655="U", P655&gt;=60%), "Pass",
IF(AND(H655="O", P655&gt;=75%), "Pass", "Fail")))</f>
        <v/>
      </c>
      <c r="R655" s="104" t="n"/>
      <c r="S655" s="104" t="n">
        <v>16</v>
      </c>
      <c r="T655" s="104" t="n">
        <v>11</v>
      </c>
      <c r="U655" s="104">
        <f>SUM(S655:T655)</f>
        <v/>
      </c>
      <c r="V655" s="12">
        <f>U655/IF(H655="L",35,IF(H655="U",35,IF(H655="O",35,IF(H655="I",35,""))))</f>
        <v/>
      </c>
      <c r="W655" s="132">
        <f>IF(AND(H655="L", V655&gt;=50%), "Pass",
IF(AND(H655="U", V655&gt;=60%), "Pass",
IF(AND(H655="O", V655&gt;=75%), "Pass", "Fail")))</f>
        <v/>
      </c>
      <c r="X655" s="132">
        <f>IF(AND(Q655="Pass", W655="Pass"), "Pass", "Fail")</f>
        <v/>
      </c>
      <c r="Y655" s="15">
        <f>IF($X655="Pass",$H655,
IF(H655="L","I",
IF(H655="U","L",
IF(H655="O","U",
"I"))))</f>
        <v/>
      </c>
    </row>
    <row r="656">
      <c r="A656" s="147">
        <f>ROW()-2</f>
        <v/>
      </c>
      <c r="B656" s="127" t="inlineStr">
        <is>
          <t>KK0672</t>
        </is>
      </c>
      <c r="C656" s="128" t="inlineStr">
        <is>
          <t>NAGARAJAN A GOPI</t>
        </is>
      </c>
      <c r="D656" s="127" t="inlineStr">
        <is>
          <t>PRODUCTION</t>
        </is>
      </c>
      <c r="E656" s="129" t="inlineStr">
        <is>
          <t>SOLID TYRE</t>
        </is>
      </c>
      <c r="F656" s="130" t="n">
        <v>42557</v>
      </c>
      <c r="G656" s="131">
        <f>NOW()-F656</f>
        <v/>
      </c>
      <c r="H656" s="104" t="inlineStr">
        <is>
          <t>O</t>
        </is>
      </c>
      <c r="I656" s="104" t="inlineStr">
        <is>
          <t>O</t>
        </is>
      </c>
      <c r="J656" s="104" t="n">
        <v>8</v>
      </c>
      <c r="K656" s="104" t="n">
        <v>8</v>
      </c>
      <c r="L656" s="104" t="n">
        <v>6</v>
      </c>
      <c r="M656" s="104" t="n">
        <v>10</v>
      </c>
      <c r="N656" s="104" t="n"/>
      <c r="O656" s="104">
        <f>SUM(J656:N656)</f>
        <v/>
      </c>
      <c r="P656" s="12">
        <f>O656/IF(H656="L",20,IF(H656="U",30,IF(H656="O",40,IF(H656="I",20,""))))</f>
        <v/>
      </c>
      <c r="Q656" s="132">
        <f>IF(AND(H656="L", P656&gt;=50%), "Pass",
IF(AND(H656="U", P656&gt;=60%), "Pass",
IF(AND(H656="O", P656&gt;=75%), "Pass", "Fail")))</f>
        <v/>
      </c>
      <c r="R656" s="104" t="n"/>
      <c r="S656" s="104" t="n">
        <v>17</v>
      </c>
      <c r="T656" s="104" t="n">
        <v>13</v>
      </c>
      <c r="U656" s="104">
        <f>SUM(S656:T656)</f>
        <v/>
      </c>
      <c r="V656" s="12">
        <f>U656/IF(H656="L",35,IF(H656="U",35,IF(H656="O",35,IF(H656="I",35,""))))</f>
        <v/>
      </c>
      <c r="W656" s="132">
        <f>IF(AND(H656="L", V656&gt;=50%), "Pass",
IF(AND(H656="U", V656&gt;=60%), "Pass",
IF(AND(H656="O", V656&gt;=75%), "Pass", "Fail")))</f>
        <v/>
      </c>
      <c r="X656" s="132">
        <f>IF(AND(Q656="Pass", W656="Pass"), "Pass", "Fail")</f>
        <v/>
      </c>
      <c r="Y656" s="15">
        <f>IF($X656="Pass",$H656,
IF(H656="L","I",
IF(H656="U","L",
IF(H656="O","U",
"I"))))</f>
        <v/>
      </c>
    </row>
    <row r="657">
      <c r="A657" s="147">
        <f>ROW()-2</f>
        <v/>
      </c>
      <c r="B657" s="127" t="inlineStr">
        <is>
          <t>PK0621</t>
        </is>
      </c>
      <c r="C657" s="128" t="inlineStr">
        <is>
          <t>VELLAPANDI B</t>
        </is>
      </c>
      <c r="D657" s="127" t="inlineStr">
        <is>
          <t>PRODUCTION</t>
        </is>
      </c>
      <c r="E657" s="129" t="inlineStr">
        <is>
          <t>BAND BUILDING-P3</t>
        </is>
      </c>
      <c r="F657" s="130" t="n">
        <v>42683</v>
      </c>
      <c r="G657" s="131">
        <f>NOW()-F657</f>
        <v/>
      </c>
      <c r="H657" s="104" t="inlineStr">
        <is>
          <t>O</t>
        </is>
      </c>
      <c r="I657" s="104" t="inlineStr">
        <is>
          <t>U</t>
        </is>
      </c>
      <c r="J657" s="104" t="n">
        <v>5</v>
      </c>
      <c r="K657" s="104" t="n">
        <v>6</v>
      </c>
      <c r="L657" s="104" t="n">
        <v>8</v>
      </c>
      <c r="M657" s="104" t="n">
        <v>8</v>
      </c>
      <c r="N657" s="104" t="n"/>
      <c r="O657" s="104">
        <f>SUM(J657:N657)</f>
        <v/>
      </c>
      <c r="P657" s="12">
        <f>O657/IF(H657="L",20,IF(H657="U",30,IF(H657="O",40,IF(H657="I",20,""))))</f>
        <v/>
      </c>
      <c r="Q657" s="132">
        <f>IF(AND(H657="L", P657&gt;=50%), "Pass",
IF(AND(H657="U", P657&gt;=60%), "Pass",
IF(AND(H657="O", P657&gt;=75%), "Pass", "Fail")))</f>
        <v/>
      </c>
      <c r="R657" s="104" t="n"/>
      <c r="S657" s="104" t="n">
        <v>16</v>
      </c>
      <c r="T657" s="104" t="n">
        <v>13</v>
      </c>
      <c r="U657" s="104">
        <f>SUM(S657:T657)</f>
        <v/>
      </c>
      <c r="V657" s="12">
        <f>U657/IF(H657="L",35,IF(H657="U",35,IF(H657="O",35,IF(H657="I",35,""))))</f>
        <v/>
      </c>
      <c r="W657" s="132">
        <f>IF(AND(H657="L", V657&gt;=50%), "Pass",
IF(AND(H657="U", V657&gt;=60%), "Pass",
IF(AND(H657="O", V657&gt;=75%), "Pass", "Fail")))</f>
        <v/>
      </c>
      <c r="X657" s="132">
        <f>IF(AND(Q657="Pass", W657="Pass"), "Pass", "Fail")</f>
        <v/>
      </c>
      <c r="Y657" s="15">
        <f>IF($X657="Pass",$H657,
IF(H657="L","I",
IF(H657="U","L",
IF(H657="O","U",
"I"))))</f>
        <v/>
      </c>
    </row>
    <row r="658">
      <c r="A658" s="147">
        <f>ROW()-2</f>
        <v/>
      </c>
      <c r="B658" s="133" t="inlineStr">
        <is>
          <t>SR0562</t>
        </is>
      </c>
      <c r="C658" s="148" t="inlineStr">
        <is>
          <t>NALGANESAN S</t>
        </is>
      </c>
      <c r="D658" s="127" t="inlineStr">
        <is>
          <t>PRODUCTION</t>
        </is>
      </c>
      <c r="E658" s="135" t="inlineStr">
        <is>
          <t>MIXING</t>
        </is>
      </c>
      <c r="F658" s="136" t="n">
        <v>42683</v>
      </c>
      <c r="G658" s="131">
        <f>NOW()-F658</f>
        <v/>
      </c>
      <c r="H658" s="104" t="inlineStr">
        <is>
          <t>O</t>
        </is>
      </c>
      <c r="I658" s="104" t="inlineStr">
        <is>
          <t>O</t>
        </is>
      </c>
      <c r="J658" s="104" t="inlineStr">
        <is>
          <t>NIL</t>
        </is>
      </c>
      <c r="K658" s="104" t="n"/>
      <c r="L658" s="104" t="n"/>
      <c r="M658" s="104" t="n"/>
      <c r="N658" s="104" t="n"/>
      <c r="O658" s="104" t="n"/>
      <c r="P658" s="12">
        <f>O658/IF(H658="L",20,IF(H658="U",30,IF(H658="O",40,IF(H658="I",20,""))))</f>
        <v/>
      </c>
      <c r="Q658" s="132">
        <f>IF(AND(H658="L", P658&gt;=50%), "Pass",
IF(AND(H658="U", P658&gt;=60%), "Pass",
IF(AND(H658="O", P658&gt;=75%), "Pass", "Fail")))</f>
        <v/>
      </c>
      <c r="R658" s="104" t="n"/>
      <c r="S658" s="104" t="n">
        <v>14</v>
      </c>
      <c r="T658" s="104" t="n">
        <v>12</v>
      </c>
      <c r="U658" s="104">
        <f>SUM(S658:T658)</f>
        <v/>
      </c>
      <c r="V658" s="12">
        <f>U658/IF(H658="L",35,IF(H658="U",35,IF(H658="O",35,IF(H658="I",35,""))))</f>
        <v/>
      </c>
      <c r="W658" s="132">
        <f>IF(AND(H658="L", V658&gt;=50%), "Pass",
IF(AND(H658="U", V658&gt;=60%), "Pass",
IF(AND(H658="O", V658&gt;=75%), "Pass", "Fail")))</f>
        <v/>
      </c>
      <c r="X658" s="132">
        <f>IF(AND(Q658="Pass", W658="Pass"), "Pass", "Fail")</f>
        <v/>
      </c>
      <c r="Y658" s="15">
        <f>IF($X658="Pass",$H658,
IF(H658="L","I",
IF(H658="U","L",
IF(H658="O","U",
"I"))))</f>
        <v/>
      </c>
    </row>
    <row r="659">
      <c r="A659" s="147">
        <f>ROW()-2</f>
        <v/>
      </c>
      <c r="B659" s="127" t="inlineStr">
        <is>
          <t>SK2219</t>
        </is>
      </c>
      <c r="C659" s="128" t="inlineStr">
        <is>
          <t>MUTHU SELVAM G</t>
        </is>
      </c>
      <c r="D659" s="127" t="inlineStr">
        <is>
          <t>PRODUCTION</t>
        </is>
      </c>
      <c r="E659" s="129" t="inlineStr">
        <is>
          <t>TYRE BUILDING-P3</t>
        </is>
      </c>
      <c r="F659" s="130" t="n">
        <v>42684</v>
      </c>
      <c r="G659" s="131">
        <f>NOW()-F659</f>
        <v/>
      </c>
      <c r="H659" s="104" t="inlineStr">
        <is>
          <t>O</t>
        </is>
      </c>
      <c r="I659" s="104" t="inlineStr">
        <is>
          <t>U</t>
        </is>
      </c>
      <c r="J659" s="104" t="n">
        <v>10</v>
      </c>
      <c r="K659" s="104" t="n">
        <v>9</v>
      </c>
      <c r="L659" s="104" t="n">
        <v>6</v>
      </c>
      <c r="M659" s="104" t="n">
        <v>9</v>
      </c>
      <c r="N659" s="104" t="n"/>
      <c r="O659" s="104">
        <f>SUM(J659:N659)</f>
        <v/>
      </c>
      <c r="P659" s="12">
        <f>O659/IF(H659="L",20,IF(H659="U",30,IF(H659="O",40,IF(H659="I",20,""))))</f>
        <v/>
      </c>
      <c r="Q659" s="132">
        <f>IF(AND(H659="L", P659&gt;=50%), "Pass",
IF(AND(H659="U", P659&gt;=60%), "Pass",
IF(AND(H659="O", P659&gt;=75%), "Pass", "Fail")))</f>
        <v/>
      </c>
      <c r="R659" s="104" t="n"/>
      <c r="S659" s="104" t="n">
        <v>18</v>
      </c>
      <c r="T659" s="104" t="n">
        <v>15</v>
      </c>
      <c r="U659" s="104">
        <f>SUM(S659:T659)</f>
        <v/>
      </c>
      <c r="V659" s="12">
        <f>U659/IF(H659="L",35,IF(H659="U",35,IF(H659="O",35,IF(H659="I",35,""))))</f>
        <v/>
      </c>
      <c r="W659" s="132">
        <f>IF(AND(H659="L", V659&gt;=50%), "Pass",
IF(AND(H659="U", V659&gt;=60%), "Pass",
IF(AND(H659="O", V659&gt;=75%), "Pass", "Fail")))</f>
        <v/>
      </c>
      <c r="X659" s="132">
        <f>IF(AND(Q659="Pass", W659="Pass"), "Pass", "Fail")</f>
        <v/>
      </c>
      <c r="Y659" s="15">
        <f>IF($X659="Pass",$H659,
IF(H659="L","I",
IF(H659="U","L",
IF(H659="O","U",
"I"))))</f>
        <v/>
      </c>
    </row>
    <row r="660">
      <c r="A660" s="147">
        <f>ROW()-2</f>
        <v/>
      </c>
      <c r="B660" s="127" t="inlineStr">
        <is>
          <t>SR0564</t>
        </is>
      </c>
      <c r="C660" s="128" t="inlineStr">
        <is>
          <t>PERUMAL SAMY N</t>
        </is>
      </c>
      <c r="D660" s="127" t="inlineStr">
        <is>
          <t>PRODUCTION</t>
        </is>
      </c>
      <c r="E660" s="129" t="inlineStr">
        <is>
          <t>TYRE CURING</t>
        </is>
      </c>
      <c r="F660" s="130" t="n">
        <v>42684</v>
      </c>
      <c r="G660" s="131">
        <f>NOW()-F660</f>
        <v/>
      </c>
      <c r="H660" s="104" t="inlineStr">
        <is>
          <t>O</t>
        </is>
      </c>
      <c r="I660" s="104" t="inlineStr">
        <is>
          <t>O</t>
        </is>
      </c>
      <c r="J660" s="104" t="n">
        <v>9</v>
      </c>
      <c r="K660" s="104" t="n">
        <v>9</v>
      </c>
      <c r="L660" s="104" t="n">
        <v>8</v>
      </c>
      <c r="M660" s="104" t="n">
        <v>7</v>
      </c>
      <c r="N660" s="104" t="n"/>
      <c r="O660" s="104">
        <f>SUM(J660:N660)</f>
        <v/>
      </c>
      <c r="P660" s="12">
        <f>O660/IF(H660="L",20,IF(H660="U",30,IF(H660="O",40,IF(H660="I",20,""))))</f>
        <v/>
      </c>
      <c r="Q660" s="132">
        <f>IF(AND(H660="L", P660&gt;=50%), "Pass",
IF(AND(H660="U", P660&gt;=60%), "Pass",
IF(AND(H660="O", P660&gt;=75%), "Pass", "Fail")))</f>
        <v/>
      </c>
      <c r="R660" s="104" t="n"/>
      <c r="S660" s="104" t="n">
        <v>16</v>
      </c>
      <c r="T660" s="104" t="n">
        <v>12</v>
      </c>
      <c r="U660" s="104">
        <f>SUM(S660:T660)</f>
        <v/>
      </c>
      <c r="V660" s="12">
        <f>U660/IF(H660="L",35,IF(H660="U",35,IF(H660="O",35,IF(H660="I",35,""))))</f>
        <v/>
      </c>
      <c r="W660" s="132">
        <f>IF(AND(H660="L", V660&gt;=50%), "Pass",
IF(AND(H660="U", V660&gt;=60%), "Pass",
IF(AND(H660="O", V660&gt;=75%), "Pass", "Fail")))</f>
        <v/>
      </c>
      <c r="X660" s="132">
        <f>IF(AND(Q660="Pass", W660="Pass"), "Pass", "Fail")</f>
        <v/>
      </c>
      <c r="Y660" s="15">
        <f>IF($X660="Pass",$H660,
IF(H660="L","I",
IF(H660="U","L",
IF(H660="O","U",
"I"))))</f>
        <v/>
      </c>
    </row>
    <row r="661">
      <c r="A661" s="147">
        <f>ROW()-2</f>
        <v/>
      </c>
      <c r="B661" s="127" t="inlineStr">
        <is>
          <t>KK0695</t>
        </is>
      </c>
      <c r="C661" s="128" t="inlineStr">
        <is>
          <t>SAKTHIVEL S</t>
        </is>
      </c>
      <c r="D661" s="127" t="inlineStr">
        <is>
          <t>PRODUCTION</t>
        </is>
      </c>
      <c r="E661" s="129" t="inlineStr">
        <is>
          <t>BAND BUILDING-P3</t>
        </is>
      </c>
      <c r="F661" s="130" t="n">
        <v>42686</v>
      </c>
      <c r="G661" s="131">
        <f>NOW()-F661</f>
        <v/>
      </c>
      <c r="H661" s="104" t="inlineStr">
        <is>
          <t>O</t>
        </is>
      </c>
      <c r="I661" s="104" t="inlineStr">
        <is>
          <t>U</t>
        </is>
      </c>
      <c r="J661" s="104" t="n">
        <v>10</v>
      </c>
      <c r="K661" s="104" t="n">
        <v>9</v>
      </c>
      <c r="L661" s="104" t="n">
        <v>9</v>
      </c>
      <c r="M661" s="104" t="n">
        <v>8</v>
      </c>
      <c r="N661" s="104" t="n"/>
      <c r="O661" s="104">
        <f>SUM(J661:N661)</f>
        <v/>
      </c>
      <c r="P661" s="12">
        <f>O661/IF(H661="L",20,IF(H661="U",30,IF(H661="O",40,IF(H661="I",20,""))))</f>
        <v/>
      </c>
      <c r="Q661" s="132">
        <f>IF(AND(H661="L", P661&gt;=50%), "Pass",
IF(AND(H661="U", P661&gt;=60%), "Pass",
IF(AND(H661="O", P661&gt;=75%), "Pass", "Fail")))</f>
        <v/>
      </c>
      <c r="R661" s="104" t="n"/>
      <c r="S661" s="104" t="n">
        <v>18</v>
      </c>
      <c r="T661" s="104" t="n">
        <v>14</v>
      </c>
      <c r="U661" s="104">
        <f>SUM(S661:T661)</f>
        <v/>
      </c>
      <c r="V661" s="12">
        <f>U661/IF(H661="L",35,IF(H661="U",35,IF(H661="O",35,IF(H661="I",35,""))))</f>
        <v/>
      </c>
      <c r="W661" s="132">
        <f>IF(AND(H661="L", V661&gt;=50%), "Pass",
IF(AND(H661="U", V661&gt;=60%), "Pass",
IF(AND(H661="O", V661&gt;=75%), "Pass", "Fail")))</f>
        <v/>
      </c>
      <c r="X661" s="132">
        <f>IF(AND(Q661="Pass", W661="Pass"), "Pass", "Fail")</f>
        <v/>
      </c>
      <c r="Y661" s="15">
        <f>IF($X661="Pass",$H661,
IF(H661="L","I",
IF(H661="U","L",
IF(H661="O","U",
"I"))))</f>
        <v/>
      </c>
    </row>
    <row r="662">
      <c r="A662" s="147">
        <f>ROW()-2</f>
        <v/>
      </c>
      <c r="B662" s="127" t="inlineStr">
        <is>
          <t>SR0566</t>
        </is>
      </c>
      <c r="C662" s="128" t="inlineStr">
        <is>
          <t>MARIAPPAN V</t>
        </is>
      </c>
      <c r="D662" s="127" t="inlineStr">
        <is>
          <t>PRODUCTION</t>
        </is>
      </c>
      <c r="E662" s="129" t="inlineStr">
        <is>
          <t>SOLID TYRE</t>
        </is>
      </c>
      <c r="F662" s="130" t="n">
        <v>42686</v>
      </c>
      <c r="G662" s="131">
        <f>NOW()-F662</f>
        <v/>
      </c>
      <c r="H662" s="104" t="inlineStr">
        <is>
          <t>O</t>
        </is>
      </c>
      <c r="I662" s="104" t="inlineStr">
        <is>
          <t>O</t>
        </is>
      </c>
      <c r="J662" s="104" t="n">
        <v>7</v>
      </c>
      <c r="K662" s="104" t="n">
        <v>7</v>
      </c>
      <c r="L662" s="104" t="n">
        <v>9</v>
      </c>
      <c r="M662" s="104" t="n">
        <v>8</v>
      </c>
      <c r="N662" s="104" t="n"/>
      <c r="O662" s="104">
        <f>SUM(J662:N662)</f>
        <v/>
      </c>
      <c r="P662" s="12">
        <f>O662/IF(H662="L",20,IF(H662="U",30,IF(H662="O",40,IF(H662="I",20,""))))</f>
        <v/>
      </c>
      <c r="Q662" s="132">
        <f>IF(AND(H662="L", P662&gt;=50%), "Pass",
IF(AND(H662="U", P662&gt;=60%), "Pass",
IF(AND(H662="O", P662&gt;=75%), "Pass", "Fail")))</f>
        <v/>
      </c>
      <c r="R662" s="104" t="n"/>
      <c r="S662" s="104" t="n">
        <v>17</v>
      </c>
      <c r="T662" s="104" t="n">
        <v>13</v>
      </c>
      <c r="U662" s="104">
        <f>SUM(S662:T662)</f>
        <v/>
      </c>
      <c r="V662" s="12">
        <f>U662/IF(H662="L",35,IF(H662="U",35,IF(H662="O",35,IF(H662="I",35,""))))</f>
        <v/>
      </c>
      <c r="W662" s="132">
        <f>IF(AND(H662="L", V662&gt;=50%), "Pass",
IF(AND(H662="U", V662&gt;=60%), "Pass",
IF(AND(H662="O", V662&gt;=75%), "Pass", "Fail")))</f>
        <v/>
      </c>
      <c r="X662" s="132">
        <f>IF(AND(Q662="Pass", W662="Pass"), "Pass", "Fail")</f>
        <v/>
      </c>
      <c r="Y662" s="15">
        <f>IF($X662="Pass",$H662,
IF(H662="L","I",
IF(H662="U","L",
IF(H662="O","U",
"I"))))</f>
        <v/>
      </c>
    </row>
    <row r="663">
      <c r="A663" s="147">
        <f>ROW()-2</f>
        <v/>
      </c>
      <c r="B663" s="127" t="inlineStr">
        <is>
          <t>MG0979</t>
        </is>
      </c>
      <c r="C663" s="128" t="inlineStr">
        <is>
          <t>SANKARA NARAYANAN M</t>
        </is>
      </c>
      <c r="D663" s="127" t="inlineStr">
        <is>
          <t>PRODUCTION</t>
        </is>
      </c>
      <c r="E663" s="129" t="inlineStr">
        <is>
          <t>TYRE BUILDING-P3</t>
        </is>
      </c>
      <c r="F663" s="130" t="n">
        <v>42691</v>
      </c>
      <c r="G663" s="131">
        <f>NOW()-F663</f>
        <v/>
      </c>
      <c r="H663" s="104" t="inlineStr">
        <is>
          <t>O</t>
        </is>
      </c>
      <c r="I663" s="104" t="inlineStr">
        <is>
          <t>O</t>
        </is>
      </c>
      <c r="J663" s="104" t="n">
        <v>10</v>
      </c>
      <c r="K663" s="104" t="n">
        <v>10</v>
      </c>
      <c r="L663" s="104" t="n">
        <v>8</v>
      </c>
      <c r="M663" s="104" t="n">
        <v>8</v>
      </c>
      <c r="N663" s="104" t="n"/>
      <c r="O663" s="104">
        <f>SUM(J663:N663)</f>
        <v/>
      </c>
      <c r="P663" s="12">
        <f>O663/IF(H663="L",20,IF(H663="U",30,IF(H663="O",40,IF(H663="I",20,""))))</f>
        <v/>
      </c>
      <c r="Q663" s="132">
        <f>IF(AND(H663="L", P663&gt;=50%), "Pass",
IF(AND(H663="U", P663&gt;=60%), "Pass",
IF(AND(H663="O", P663&gt;=75%), "Pass", "Fail")))</f>
        <v/>
      </c>
      <c r="R663" s="104" t="n"/>
      <c r="S663" s="104" t="n">
        <v>19</v>
      </c>
      <c r="T663" s="104" t="n">
        <v>15</v>
      </c>
      <c r="U663" s="104">
        <f>SUM(S663:T663)</f>
        <v/>
      </c>
      <c r="V663" s="12">
        <f>U663/IF(H663="L",35,IF(H663="U",35,IF(H663="O",35,IF(H663="I",35,""))))</f>
        <v/>
      </c>
      <c r="W663" s="132">
        <f>IF(AND(H663="L", V663&gt;=50%), "Pass",
IF(AND(H663="U", V663&gt;=60%), "Pass",
IF(AND(H663="O", V663&gt;=75%), "Pass", "Fail")))</f>
        <v/>
      </c>
      <c r="X663" s="132">
        <f>IF(AND(Q663="Pass", W663="Pass"), "Pass", "Fail")</f>
        <v/>
      </c>
      <c r="Y663" s="15">
        <f>IF($X663="Pass",$H663,
IF(H663="L","I",
IF(H663="U","L",
IF(H663="O","U",
"I"))))</f>
        <v/>
      </c>
    </row>
    <row r="664">
      <c r="A664" s="147">
        <f>ROW()-2</f>
        <v/>
      </c>
      <c r="B664" s="133" t="inlineStr">
        <is>
          <t>SK2226</t>
        </is>
      </c>
      <c r="C664" s="148" t="inlineStr">
        <is>
          <t>GURU NATHAN P</t>
        </is>
      </c>
      <c r="D664" s="127" t="inlineStr">
        <is>
          <t>PRODUCTION</t>
        </is>
      </c>
      <c r="E664" s="135" t="inlineStr">
        <is>
          <t>MIXING</t>
        </is>
      </c>
      <c r="F664" s="136" t="n">
        <v>42691</v>
      </c>
      <c r="G664" s="131">
        <f>NOW()-F664</f>
        <v/>
      </c>
      <c r="H664" s="104" t="inlineStr">
        <is>
          <t>O</t>
        </is>
      </c>
      <c r="I664" s="104" t="inlineStr">
        <is>
          <t>U</t>
        </is>
      </c>
      <c r="J664" s="104" t="inlineStr">
        <is>
          <t>NIL</t>
        </is>
      </c>
      <c r="K664" s="104" t="n"/>
      <c r="L664" s="104" t="n"/>
      <c r="M664" s="104" t="n"/>
      <c r="N664" s="104" t="n"/>
      <c r="O664" s="104" t="n"/>
      <c r="P664" s="12">
        <f>O664/IF(H664="L",20,IF(H664="U",30,IF(H664="O",40,IF(H664="I",20,""))))</f>
        <v/>
      </c>
      <c r="Q664" s="132">
        <f>IF(AND(H664="L", P664&gt;=50%), "Pass",
IF(AND(H664="U", P664&gt;=60%), "Pass",
IF(AND(H664="O", P664&gt;=75%), "Pass", "Fail")))</f>
        <v/>
      </c>
      <c r="R664" s="104" t="n"/>
      <c r="S664" s="104" t="n">
        <v>15</v>
      </c>
      <c r="T664" s="104" t="n">
        <v>10</v>
      </c>
      <c r="U664" s="104">
        <f>SUM(S664:T664)</f>
        <v/>
      </c>
      <c r="V664" s="12">
        <f>U664/IF(H664="L",35,IF(H664="U",35,IF(H664="O",35,IF(H664="I",35,""))))</f>
        <v/>
      </c>
      <c r="W664" s="132">
        <f>IF(AND(H664="L", V664&gt;=50%), "Pass",
IF(AND(H664="U", V664&gt;=60%), "Pass",
IF(AND(H664="O", V664&gt;=75%), "Pass", "Fail")))</f>
        <v/>
      </c>
      <c r="X664" s="132">
        <f>IF(AND(Q664="Pass", W664="Pass"), "Pass", "Fail")</f>
        <v/>
      </c>
      <c r="Y664" s="15">
        <f>IF($X664="Pass",$H664,
IF(H664="L","I",
IF(H664="U","L",
IF(H664="O","U",
"I"))))</f>
        <v/>
      </c>
    </row>
    <row r="665">
      <c r="A665" s="147">
        <f>ROW()-2</f>
        <v/>
      </c>
      <c r="B665" s="127" t="inlineStr">
        <is>
          <t>KK0703</t>
        </is>
      </c>
      <c r="C665" s="128" t="inlineStr">
        <is>
          <t>BALASUBRAMANIAN V</t>
        </is>
      </c>
      <c r="D665" s="127" t="inlineStr">
        <is>
          <t>PRODUCTION</t>
        </is>
      </c>
      <c r="E665" s="129" t="inlineStr">
        <is>
          <t>SOLID TYRE</t>
        </is>
      </c>
      <c r="F665" s="130" t="n">
        <v>42696</v>
      </c>
      <c r="G665" s="131">
        <f>NOW()-F665</f>
        <v/>
      </c>
      <c r="H665" s="104" t="inlineStr">
        <is>
          <t>O</t>
        </is>
      </c>
      <c r="I665" s="104" t="inlineStr">
        <is>
          <t>O</t>
        </is>
      </c>
      <c r="J665" s="104" t="n">
        <v>7</v>
      </c>
      <c r="K665" s="104" t="n">
        <v>7</v>
      </c>
      <c r="L665" s="104" t="n">
        <v>9</v>
      </c>
      <c r="M665" s="104" t="n">
        <v>7</v>
      </c>
      <c r="N665" s="104" t="n"/>
      <c r="O665" s="104">
        <f>SUM(J665:N665)</f>
        <v/>
      </c>
      <c r="P665" s="12">
        <f>O665/IF(H665="L",20,IF(H665="U",30,IF(H665="O",40,IF(H665="I",20,""))))</f>
        <v/>
      </c>
      <c r="Q665" s="132">
        <f>IF(AND(H665="L", P665&gt;=50%), "Pass",
IF(AND(H665="U", P665&gt;=60%), "Pass",
IF(AND(H665="O", P665&gt;=75%), "Pass", "Fail")))</f>
        <v/>
      </c>
      <c r="R665" s="104" t="n"/>
      <c r="S665" s="104" t="n">
        <v>19</v>
      </c>
      <c r="T665" s="104" t="n">
        <v>12</v>
      </c>
      <c r="U665" s="104">
        <f>SUM(S665:T665)</f>
        <v/>
      </c>
      <c r="V665" s="12">
        <f>U665/IF(H665="L",35,IF(H665="U",35,IF(H665="O",35,IF(H665="I",35,""))))</f>
        <v/>
      </c>
      <c r="W665" s="132">
        <f>IF(AND(H665="L", V665&gt;=50%), "Pass",
IF(AND(H665="U", V665&gt;=60%), "Pass",
IF(AND(H665="O", V665&gt;=75%), "Pass", "Fail")))</f>
        <v/>
      </c>
      <c r="X665" s="132">
        <f>IF(AND(Q665="Pass", W665="Pass"), "Pass", "Fail")</f>
        <v/>
      </c>
      <c r="Y665" s="15">
        <f>IF($X665="Pass",$H665,
IF(H665="L","I",
IF(H665="U","L",
IF(H665="O","U",
"I"))))</f>
        <v/>
      </c>
    </row>
    <row r="666">
      <c r="A666" s="147">
        <f>ROW()-2</f>
        <v/>
      </c>
      <c r="B666" s="127" t="inlineStr">
        <is>
          <t>KK0704</t>
        </is>
      </c>
      <c r="C666" s="128" t="inlineStr">
        <is>
          <t>RAMNATH M</t>
        </is>
      </c>
      <c r="D666" s="127" t="inlineStr">
        <is>
          <t>PRODUCTION</t>
        </is>
      </c>
      <c r="E666" s="129" t="inlineStr">
        <is>
          <t>SOLID TYRE</t>
        </is>
      </c>
      <c r="F666" s="130" t="n">
        <v>42698</v>
      </c>
      <c r="G666" s="131">
        <f>NOW()-F666</f>
        <v/>
      </c>
      <c r="H666" s="104" t="inlineStr">
        <is>
          <t>O</t>
        </is>
      </c>
      <c r="I666" s="104" t="inlineStr">
        <is>
          <t>O</t>
        </is>
      </c>
      <c r="J666" s="104" t="n">
        <v>7</v>
      </c>
      <c r="K666" s="104" t="n">
        <v>9</v>
      </c>
      <c r="L666" s="104" t="n">
        <v>8</v>
      </c>
      <c r="M666" s="104" t="n">
        <v>7</v>
      </c>
      <c r="N666" s="104" t="n"/>
      <c r="O666" s="104">
        <f>SUM(J666:N666)</f>
        <v/>
      </c>
      <c r="P666" s="12">
        <f>O666/IF(H666="L",20,IF(H666="U",30,IF(H666="O",40,IF(H666="I",20,""))))</f>
        <v/>
      </c>
      <c r="Q666" s="132">
        <f>IF(AND(H666="L", P666&gt;=50%), "Pass",
IF(AND(H666="U", P666&gt;=60%), "Pass",
IF(AND(H666="O", P666&gt;=75%), "Pass", "Fail")))</f>
        <v/>
      </c>
      <c r="R666" s="104" t="n"/>
      <c r="S666" s="104" t="n">
        <v>17</v>
      </c>
      <c r="T666" s="104" t="n">
        <v>12</v>
      </c>
      <c r="U666" s="104">
        <f>SUM(S666:T666)</f>
        <v/>
      </c>
      <c r="V666" s="12">
        <f>U666/IF(H666="L",35,IF(H666="U",35,IF(H666="O",35,IF(H666="I",35,""))))</f>
        <v/>
      </c>
      <c r="W666" s="132">
        <f>IF(AND(H666="L", V666&gt;=50%), "Pass",
IF(AND(H666="U", V666&gt;=60%), "Pass",
IF(AND(H666="O", V666&gt;=75%), "Pass", "Fail")))</f>
        <v/>
      </c>
      <c r="X666" s="132">
        <f>IF(AND(Q666="Pass", W666="Pass"), "Pass", "Fail")</f>
        <v/>
      </c>
      <c r="Y666" s="15">
        <f>IF($X666="Pass",$H666,
IF(H666="L","I",
IF(H666="U","L",
IF(H666="O","U",
"I"))))</f>
        <v/>
      </c>
    </row>
    <row r="667">
      <c r="A667" s="147">
        <f>ROW()-2</f>
        <v/>
      </c>
      <c r="B667" s="127" t="inlineStr">
        <is>
          <t>PK0827</t>
        </is>
      </c>
      <c r="C667" s="128" t="inlineStr">
        <is>
          <t>MANIVARANATHAN U</t>
        </is>
      </c>
      <c r="D667" s="127" t="inlineStr">
        <is>
          <t>PRODUCTION</t>
        </is>
      </c>
      <c r="E667" s="129" t="inlineStr">
        <is>
          <t>TYRE BUILDING-P1</t>
        </is>
      </c>
      <c r="F667" s="130" t="n">
        <v>42700</v>
      </c>
      <c r="G667" s="131">
        <f>NOW()-F667</f>
        <v/>
      </c>
      <c r="H667" s="104" t="inlineStr">
        <is>
          <t>O</t>
        </is>
      </c>
      <c r="I667" s="104" t="inlineStr">
        <is>
          <t>O</t>
        </is>
      </c>
      <c r="J667" s="104" t="n">
        <v>9</v>
      </c>
      <c r="K667" s="104" t="n">
        <v>7</v>
      </c>
      <c r="L667" s="104" t="n">
        <v>10</v>
      </c>
      <c r="M667" s="104" t="n">
        <v>7</v>
      </c>
      <c r="N667" s="104" t="n"/>
      <c r="O667" s="104">
        <f>SUM(J667:N667)</f>
        <v/>
      </c>
      <c r="P667" s="12">
        <f>O667/IF(H667="L",20,IF(H667="U",30,IF(H667="O",40,IF(H667="I",20,""))))</f>
        <v/>
      </c>
      <c r="Q667" s="132">
        <f>IF(AND(H667="L", P667&gt;=50%), "Pass",
IF(AND(H667="U", P667&gt;=60%), "Pass",
IF(AND(H667="O", P667&gt;=75%), "Pass", "Fail")))</f>
        <v/>
      </c>
      <c r="R667" s="104" t="n"/>
      <c r="S667" s="104" t="n">
        <v>13</v>
      </c>
      <c r="T667" s="104" t="n">
        <v>15</v>
      </c>
      <c r="U667" s="104">
        <f>SUM(S667:T667)</f>
        <v/>
      </c>
      <c r="V667" s="12">
        <f>U667/IF(H667="L",35,IF(H667="U",35,IF(H667="O",35,IF(H667="I",35,""))))</f>
        <v/>
      </c>
      <c r="W667" s="132">
        <f>IF(AND(H667="L", V667&gt;=50%), "Pass",
IF(AND(H667="U", V667&gt;=60%), "Pass",
IF(AND(H667="O", V667&gt;=75%), "Pass", "Fail")))</f>
        <v/>
      </c>
      <c r="X667" s="132">
        <f>IF(AND(Q667="Pass", W667="Pass"), "Pass", "Fail")</f>
        <v/>
      </c>
      <c r="Y667" s="15">
        <f>IF($X667="Pass",$H667,
IF(H667="L","I",
IF(H667="U","L",
IF(H667="O","U",
"I"))))</f>
        <v/>
      </c>
    </row>
    <row r="668">
      <c r="A668" s="147">
        <f>ROW()-2</f>
        <v/>
      </c>
      <c r="B668" s="127" t="inlineStr">
        <is>
          <t>SK2238</t>
        </is>
      </c>
      <c r="C668" s="128" t="inlineStr">
        <is>
          <t>KANDASAMY M</t>
        </is>
      </c>
      <c r="D668" s="127" t="inlineStr">
        <is>
          <t>PRODUCTION</t>
        </is>
      </c>
      <c r="E668" s="129" t="inlineStr">
        <is>
          <t>TYRE CURING</t>
        </is>
      </c>
      <c r="F668" s="130" t="n">
        <v>42700</v>
      </c>
      <c r="G668" s="131">
        <f>NOW()-F668</f>
        <v/>
      </c>
      <c r="H668" s="104" t="inlineStr">
        <is>
          <t>O</t>
        </is>
      </c>
      <c r="I668" s="104" t="inlineStr">
        <is>
          <t>O</t>
        </is>
      </c>
      <c r="J668" s="104" t="n">
        <v>9</v>
      </c>
      <c r="K668" s="104" t="n">
        <v>9</v>
      </c>
      <c r="L668" s="104" t="n">
        <v>8</v>
      </c>
      <c r="M668" s="104" t="n">
        <v>8</v>
      </c>
      <c r="N668" s="104" t="n"/>
      <c r="O668" s="104">
        <f>SUM(J668:N668)</f>
        <v/>
      </c>
      <c r="P668" s="12">
        <f>O668/IF(H668="L",20,IF(H668="U",30,IF(H668="O",40,IF(H668="I",20,""))))</f>
        <v/>
      </c>
      <c r="Q668" s="132">
        <f>IF(AND(H668="L", P668&gt;=50%), "Pass",
IF(AND(H668="U", P668&gt;=60%), "Pass",
IF(AND(H668="O", P668&gt;=75%), "Pass", "Fail")))</f>
        <v/>
      </c>
      <c r="R668" s="104" t="n"/>
      <c r="S668" s="104" t="n">
        <v>16</v>
      </c>
      <c r="T668" s="104" t="n">
        <v>11</v>
      </c>
      <c r="U668" s="104">
        <f>SUM(S668:T668)</f>
        <v/>
      </c>
      <c r="V668" s="12">
        <f>U668/IF(H668="L",35,IF(H668="U",35,IF(H668="O",35,IF(H668="I",35,""))))</f>
        <v/>
      </c>
      <c r="W668" s="132">
        <f>IF(AND(H668="L", V668&gt;=50%), "Pass",
IF(AND(H668="U", V668&gt;=60%), "Pass",
IF(AND(H668="O", V668&gt;=75%), "Pass", "Fail")))</f>
        <v/>
      </c>
      <c r="X668" s="132">
        <f>IF(AND(Q668="Pass", W668="Pass"), "Pass", "Fail")</f>
        <v/>
      </c>
      <c r="Y668" s="15">
        <f>IF($X668="Pass",$H668,
IF(H668="L","I",
IF(H668="U","L",
IF(H668="O","U",
"I"))))</f>
        <v/>
      </c>
    </row>
    <row r="669">
      <c r="A669" s="147">
        <f>ROW()-2</f>
        <v/>
      </c>
      <c r="B669" s="127" t="inlineStr">
        <is>
          <t>SR0581</t>
        </is>
      </c>
      <c r="C669" s="128" t="inlineStr">
        <is>
          <t>KUMAR A</t>
        </is>
      </c>
      <c r="D669" s="127" t="inlineStr">
        <is>
          <t>PRODUCTION</t>
        </is>
      </c>
      <c r="E669" s="129" t="inlineStr">
        <is>
          <t>TYRE CURING</t>
        </is>
      </c>
      <c r="F669" s="130" t="n">
        <v>42700</v>
      </c>
      <c r="G669" s="131">
        <f>NOW()-F669</f>
        <v/>
      </c>
      <c r="H669" s="104" t="inlineStr">
        <is>
          <t>O</t>
        </is>
      </c>
      <c r="I669" s="104" t="inlineStr">
        <is>
          <t>O</t>
        </is>
      </c>
      <c r="J669" s="104" t="n">
        <v>9</v>
      </c>
      <c r="K669" s="104" t="n">
        <v>9</v>
      </c>
      <c r="L669" s="104" t="n">
        <v>9</v>
      </c>
      <c r="M669" s="104" t="n">
        <v>9</v>
      </c>
      <c r="N669" s="104" t="n"/>
      <c r="O669" s="104">
        <f>SUM(J669:N669)</f>
        <v/>
      </c>
      <c r="P669" s="12">
        <f>O669/IF(H669="L",20,IF(H669="U",30,IF(H669="O",40,IF(H669="I",20,""))))</f>
        <v/>
      </c>
      <c r="Q669" s="132">
        <f>IF(AND(H669="L", P669&gt;=50%), "Pass",
IF(AND(H669="U", P669&gt;=60%), "Pass",
IF(AND(H669="O", P669&gt;=75%), "Pass", "Fail")))</f>
        <v/>
      </c>
      <c r="R669" s="104" t="n"/>
      <c r="S669" s="104" t="n">
        <v>16</v>
      </c>
      <c r="T669" s="104" t="n">
        <v>8</v>
      </c>
      <c r="U669" s="104">
        <f>SUM(S669:T669)</f>
        <v/>
      </c>
      <c r="V669" s="12">
        <f>U669/IF(H669="L",35,IF(H669="U",35,IF(H669="O",35,IF(H669="I",35,""))))</f>
        <v/>
      </c>
      <c r="W669" s="132">
        <f>IF(AND(H669="L", V669&gt;=50%), "Pass",
IF(AND(H669="U", V669&gt;=60%), "Pass",
IF(AND(H669="O", V669&gt;=75%), "Pass", "Fail")))</f>
        <v/>
      </c>
      <c r="X669" s="132">
        <f>IF(AND(Q669="Pass", W669="Pass"), "Pass", "Fail")</f>
        <v/>
      </c>
      <c r="Y669" s="15">
        <f>IF($X669="Pass",$H669,
IF(H669="L","I",
IF(H669="U","L",
IF(H669="O","U",
"I"))))</f>
        <v/>
      </c>
    </row>
    <row r="670">
      <c r="A670" s="147">
        <f>ROW()-2</f>
        <v/>
      </c>
      <c r="B670" s="127" t="inlineStr">
        <is>
          <t>SR0585</t>
        </is>
      </c>
      <c r="C670" s="128" t="inlineStr">
        <is>
          <t>BALAMURALI P</t>
        </is>
      </c>
      <c r="D670" s="127" t="inlineStr">
        <is>
          <t>PRODUCTION</t>
        </is>
      </c>
      <c r="E670" s="129" t="inlineStr">
        <is>
          <t>TYRE BUILDING-P2</t>
        </is>
      </c>
      <c r="F670" s="130" t="n">
        <v>42748</v>
      </c>
      <c r="G670" s="131">
        <f>NOW()-F670</f>
        <v/>
      </c>
      <c r="H670" s="104" t="inlineStr">
        <is>
          <t>O</t>
        </is>
      </c>
      <c r="I670" s="104" t="inlineStr">
        <is>
          <t>U</t>
        </is>
      </c>
      <c r="J670" s="104" t="n">
        <v>10</v>
      </c>
      <c r="K670" s="104" t="n">
        <v>10</v>
      </c>
      <c r="L670" s="104" t="n">
        <v>9</v>
      </c>
      <c r="M670" s="104" t="n">
        <v>10</v>
      </c>
      <c r="N670" s="104" t="n"/>
      <c r="O670" s="104">
        <f>SUM(J670:N670)</f>
        <v/>
      </c>
      <c r="P670" s="12">
        <f>O670/IF(H670="L",20,IF(H670="U",30,IF(H670="O",40,IF(H670="I",20,""))))</f>
        <v/>
      </c>
      <c r="Q670" s="132">
        <f>IF(AND(H670="L", P670&gt;=50%), "Pass",
IF(AND(H670="U", P670&gt;=60%), "Pass",
IF(AND(H670="O", P670&gt;=75%), "Pass", "Fail")))</f>
        <v/>
      </c>
      <c r="R670" s="104" t="n"/>
      <c r="S670" s="104" t="n">
        <v>6</v>
      </c>
      <c r="T670" s="104" t="n">
        <v>4</v>
      </c>
      <c r="U670" s="104">
        <f>SUM(S670:T670)</f>
        <v/>
      </c>
      <c r="V670" s="12">
        <f>U670/IF(H670="L",35,IF(H670="U",35,IF(H670="O",35,IF(H670="I",35,""))))</f>
        <v/>
      </c>
      <c r="W670" s="132">
        <f>IF(AND(H670="L", V670&gt;=50%), "Pass",
IF(AND(H670="U", V670&gt;=60%), "Pass",
IF(AND(H670="O", V670&gt;=75%), "Pass", "Fail")))</f>
        <v/>
      </c>
      <c r="X670" s="132">
        <f>IF(AND(Q670="Pass", W670="Pass"), "Pass", "Fail")</f>
        <v/>
      </c>
      <c r="Y670" s="15">
        <f>IF($X670="Pass",$H670,
IF(H670="L","I",
IF(H670="U","L",
IF(H670="O","U",
"I"))))</f>
        <v/>
      </c>
    </row>
    <row r="671">
      <c r="A671" s="147">
        <f>ROW()-2</f>
        <v/>
      </c>
      <c r="B671" s="127" t="inlineStr">
        <is>
          <t>SK2243</t>
        </is>
      </c>
      <c r="C671" s="128" t="inlineStr">
        <is>
          <t>ANTU RAM</t>
        </is>
      </c>
      <c r="D671" s="127" t="inlineStr">
        <is>
          <t>PRODUCTION</t>
        </is>
      </c>
      <c r="E671" s="129" t="inlineStr">
        <is>
          <t>TYRE CURING</t>
        </is>
      </c>
      <c r="F671" s="130" t="n">
        <v>42753</v>
      </c>
      <c r="G671" s="131">
        <f>NOW()-F671</f>
        <v/>
      </c>
      <c r="H671" s="104" t="inlineStr">
        <is>
          <t>O</t>
        </is>
      </c>
      <c r="I671" s="104" t="inlineStr">
        <is>
          <t>U</t>
        </is>
      </c>
      <c r="J671" s="104" t="n">
        <v>9</v>
      </c>
      <c r="K671" s="104" t="n">
        <v>10</v>
      </c>
      <c r="L671" s="104" t="n">
        <v>7</v>
      </c>
      <c r="M671" s="104" t="n">
        <v>7</v>
      </c>
      <c r="N671" s="104" t="n"/>
      <c r="O671" s="104">
        <f>SUM(J671:N671)</f>
        <v/>
      </c>
      <c r="P671" s="12">
        <f>O671/IF(H671="L",20,IF(H671="U",30,IF(H671="O",40,IF(H671="I",20,""))))</f>
        <v/>
      </c>
      <c r="Q671" s="132">
        <f>IF(AND(H671="L", P671&gt;=50%), "Pass",
IF(AND(H671="U", P671&gt;=60%), "Pass",
IF(AND(H671="O", P671&gt;=75%), "Pass", "Fail")))</f>
        <v/>
      </c>
      <c r="R671" s="104" t="n"/>
      <c r="S671" s="104" t="n">
        <v>10</v>
      </c>
      <c r="T671" s="104" t="n">
        <v>8</v>
      </c>
      <c r="U671" s="104">
        <f>SUM(S671:T671)</f>
        <v/>
      </c>
      <c r="V671" s="12">
        <f>U671/IF(H671="L",35,IF(H671="U",35,IF(H671="O",35,IF(H671="I",35,""))))</f>
        <v/>
      </c>
      <c r="W671" s="132">
        <f>IF(AND(H671="L", V671&gt;=50%), "Pass",
IF(AND(H671="U", V671&gt;=60%), "Pass",
IF(AND(H671="O", V671&gt;=75%), "Pass", "Fail")))</f>
        <v/>
      </c>
      <c r="X671" s="132">
        <f>IF(AND(Q671="Pass", W671="Pass"), "Pass", "Fail")</f>
        <v/>
      </c>
      <c r="Y671" s="15">
        <f>IF($X671="Pass",$H671,
IF(H671="L","I",
IF(H671="U","L",
IF(H671="O","U",
"I"))))</f>
        <v/>
      </c>
    </row>
    <row r="672">
      <c r="A672" s="147">
        <f>ROW()-2</f>
        <v/>
      </c>
      <c r="B672" s="127" t="inlineStr">
        <is>
          <t>SR0645</t>
        </is>
      </c>
      <c r="C672" s="128" t="inlineStr">
        <is>
          <t>VELLAI PANDI P</t>
        </is>
      </c>
      <c r="D672" s="127" t="inlineStr">
        <is>
          <t>PRODUCTION</t>
        </is>
      </c>
      <c r="E672" s="129" t="inlineStr">
        <is>
          <t>TYRE CURING</t>
        </is>
      </c>
      <c r="F672" s="130" t="n">
        <v>42753</v>
      </c>
      <c r="G672" s="131">
        <f>NOW()-F672</f>
        <v/>
      </c>
      <c r="H672" s="104" t="inlineStr">
        <is>
          <t>O</t>
        </is>
      </c>
      <c r="I672" s="104" t="inlineStr">
        <is>
          <t>O</t>
        </is>
      </c>
      <c r="J672" s="104" t="n">
        <v>9</v>
      </c>
      <c r="K672" s="104" t="n">
        <v>8</v>
      </c>
      <c r="L672" s="104" t="n">
        <v>6</v>
      </c>
      <c r="M672" s="104" t="n">
        <v>8</v>
      </c>
      <c r="N672" s="104" t="n"/>
      <c r="O672" s="104">
        <f>SUM(J672:N672)</f>
        <v/>
      </c>
      <c r="P672" s="12">
        <f>O672/IF(H672="L",20,IF(H672="U",30,IF(H672="O",40,IF(H672="I",20,""))))</f>
        <v/>
      </c>
      <c r="Q672" s="132">
        <f>IF(AND(H672="L", P672&gt;=50%), "Pass",
IF(AND(H672="U", P672&gt;=60%), "Pass",
IF(AND(H672="O", P672&gt;=75%), "Pass", "Fail")))</f>
        <v/>
      </c>
      <c r="R672" s="104" t="n"/>
      <c r="S672" s="104" t="n">
        <v>12</v>
      </c>
      <c r="T672" s="104" t="n">
        <v>12</v>
      </c>
      <c r="U672" s="104">
        <f>SUM(S672:T672)</f>
        <v/>
      </c>
      <c r="V672" s="12">
        <f>U672/IF(H672="L",35,IF(H672="U",35,IF(H672="O",35,IF(H672="I",35,""))))</f>
        <v/>
      </c>
      <c r="W672" s="132">
        <f>IF(AND(H672="L", V672&gt;=50%), "Pass",
IF(AND(H672="U", V672&gt;=60%), "Pass",
IF(AND(H672="O", V672&gt;=75%), "Pass", "Fail")))</f>
        <v/>
      </c>
      <c r="X672" s="132">
        <f>IF(AND(Q672="Pass", W672="Pass"), "Pass", "Fail")</f>
        <v/>
      </c>
      <c r="Y672" s="15">
        <f>IF($X672="Pass",$H672,
IF(H672="L","I",
IF(H672="U","L",
IF(H672="O","U",
"I"))))</f>
        <v/>
      </c>
    </row>
    <row r="673">
      <c r="A673" s="147">
        <f>ROW()-2</f>
        <v/>
      </c>
      <c r="B673" s="127" t="inlineStr">
        <is>
          <t>PK0638</t>
        </is>
      </c>
      <c r="C673" s="128" t="inlineStr">
        <is>
          <t>ARUN KUMAR A</t>
        </is>
      </c>
      <c r="D673" s="127" t="inlineStr">
        <is>
          <t>PRODUCTION</t>
        </is>
      </c>
      <c r="E673" s="129" t="inlineStr">
        <is>
          <t>TYRE BUILDING-P2</t>
        </is>
      </c>
      <c r="F673" s="130" t="n">
        <v>42755</v>
      </c>
      <c r="G673" s="131">
        <f>NOW()-F673</f>
        <v/>
      </c>
      <c r="H673" s="104" t="inlineStr">
        <is>
          <t>O</t>
        </is>
      </c>
      <c r="I673" s="104" t="inlineStr">
        <is>
          <t>U</t>
        </is>
      </c>
      <c r="J673" s="104" t="n">
        <v>9</v>
      </c>
      <c r="K673" s="104" t="n">
        <v>9</v>
      </c>
      <c r="L673" s="104" t="n">
        <v>7</v>
      </c>
      <c r="M673" s="104" t="n">
        <v>6</v>
      </c>
      <c r="N673" s="104" t="n"/>
      <c r="O673" s="104">
        <f>SUM(J673:N673)</f>
        <v/>
      </c>
      <c r="P673" s="12">
        <f>O673/IF(H673="L",20,IF(H673="U",30,IF(H673="O",40,IF(H673="I",20,""))))</f>
        <v/>
      </c>
      <c r="Q673" s="132">
        <f>IF(AND(H673="L", P673&gt;=50%), "Pass",
IF(AND(H673="U", P673&gt;=60%), "Pass",
IF(AND(H673="O", P673&gt;=75%), "Pass", "Fail")))</f>
        <v/>
      </c>
      <c r="R673" s="104" t="n"/>
      <c r="S673" s="104" t="n">
        <v>12</v>
      </c>
      <c r="T673" s="104" t="n">
        <v>8</v>
      </c>
      <c r="U673" s="104">
        <f>SUM(S673:T673)</f>
        <v/>
      </c>
      <c r="V673" s="12">
        <f>U673/IF(H673="L",35,IF(H673="U",35,IF(H673="O",35,IF(H673="I",35,""))))</f>
        <v/>
      </c>
      <c r="W673" s="132">
        <f>IF(AND(H673="L", V673&gt;=50%), "Pass",
IF(AND(H673="U", V673&gt;=60%), "Pass",
IF(AND(H673="O", V673&gt;=75%), "Pass", "Fail")))</f>
        <v/>
      </c>
      <c r="X673" s="132">
        <f>IF(AND(Q673="Pass", W673="Pass"), "Pass", "Fail")</f>
        <v/>
      </c>
      <c r="Y673" s="15">
        <f>IF($X673="Pass",$H673,
IF(H673="L","I",
IF(H673="U","L",
IF(H673="O","U",
"I"))))</f>
        <v/>
      </c>
    </row>
    <row r="674">
      <c r="A674" s="147">
        <f>ROW()-2</f>
        <v/>
      </c>
      <c r="B674" s="127" t="inlineStr">
        <is>
          <t>SR0588</t>
        </is>
      </c>
      <c r="C674" s="128" t="inlineStr">
        <is>
          <t>ESAKKIMUTHU M</t>
        </is>
      </c>
      <c r="D674" s="127" t="inlineStr">
        <is>
          <t>PRODUCTION</t>
        </is>
      </c>
      <c r="E674" s="129" t="inlineStr">
        <is>
          <t>TYRE BUILDING-P1</t>
        </is>
      </c>
      <c r="F674" s="130" t="n">
        <v>42755</v>
      </c>
      <c r="G674" s="131">
        <f>NOW()-F674</f>
        <v/>
      </c>
      <c r="H674" s="104" t="inlineStr">
        <is>
          <t>O</t>
        </is>
      </c>
      <c r="I674" s="104" t="inlineStr">
        <is>
          <t>U</t>
        </is>
      </c>
      <c r="J674" s="104" t="n">
        <v>10</v>
      </c>
      <c r="K674" s="104" t="n">
        <v>9</v>
      </c>
      <c r="L674" s="104" t="n">
        <v>8</v>
      </c>
      <c r="M674" s="104" t="n">
        <v>10</v>
      </c>
      <c r="N674" s="104" t="n"/>
      <c r="O674" s="104">
        <f>SUM(J674:N674)</f>
        <v/>
      </c>
      <c r="P674" s="12">
        <f>O674/IF(H674="L",20,IF(H674="U",30,IF(H674="O",40,IF(H674="I",20,""))))</f>
        <v/>
      </c>
      <c r="Q674" s="132">
        <f>IF(AND(H674="L", P674&gt;=50%), "Pass",
IF(AND(H674="U", P674&gt;=60%), "Pass",
IF(AND(H674="O", P674&gt;=75%), "Pass", "Fail")))</f>
        <v/>
      </c>
      <c r="R674" s="104" t="n"/>
      <c r="S674" s="104" t="n">
        <v>11</v>
      </c>
      <c r="T674" s="104" t="n">
        <v>10</v>
      </c>
      <c r="U674" s="104">
        <f>SUM(S674:T674)</f>
        <v/>
      </c>
      <c r="V674" s="12">
        <f>U674/IF(H674="L",35,IF(H674="U",35,IF(H674="O",35,IF(H674="I",35,""))))</f>
        <v/>
      </c>
      <c r="W674" s="132">
        <f>IF(AND(H674="L", V674&gt;=50%), "Pass",
IF(AND(H674="U", V674&gt;=60%), "Pass",
IF(AND(H674="O", V674&gt;=75%), "Pass", "Fail")))</f>
        <v/>
      </c>
      <c r="X674" s="132">
        <f>IF(AND(Q674="Pass", W674="Pass"), "Pass", "Fail")</f>
        <v/>
      </c>
      <c r="Y674" s="15">
        <f>IF($X674="Pass",$H674,
IF(H674="L","I",
IF(H674="U","L",
IF(H674="O","U",
"I"))))</f>
        <v/>
      </c>
    </row>
    <row r="675">
      <c r="A675" s="147">
        <f>ROW()-2</f>
        <v/>
      </c>
      <c r="B675" s="127" t="inlineStr">
        <is>
          <t>SR0589</t>
        </is>
      </c>
      <c r="C675" s="128" t="inlineStr">
        <is>
          <t>THANGA MARIAPPAN K</t>
        </is>
      </c>
      <c r="D675" s="127" t="inlineStr">
        <is>
          <t>PRODUCTION</t>
        </is>
      </c>
      <c r="E675" s="129" t="inlineStr">
        <is>
          <t>TYRE BUILDING-P3</t>
        </is>
      </c>
      <c r="F675" s="130" t="n">
        <v>42755</v>
      </c>
      <c r="G675" s="131">
        <f>NOW()-F675</f>
        <v/>
      </c>
      <c r="H675" s="104" t="inlineStr">
        <is>
          <t>O</t>
        </is>
      </c>
      <c r="I675" s="104" t="inlineStr">
        <is>
          <t>U</t>
        </is>
      </c>
      <c r="J675" s="104" t="n">
        <v>10</v>
      </c>
      <c r="K675" s="104" t="n">
        <v>8</v>
      </c>
      <c r="L675" s="104" t="n">
        <v>5</v>
      </c>
      <c r="M675" s="104" t="n">
        <v>10</v>
      </c>
      <c r="N675" s="104" t="n"/>
      <c r="O675" s="104">
        <f>SUM(J675:N675)</f>
        <v/>
      </c>
      <c r="P675" s="12">
        <f>O675/IF(H675="L",20,IF(H675="U",30,IF(H675="O",40,IF(H675="I",20,""))))</f>
        <v/>
      </c>
      <c r="Q675" s="132">
        <f>IF(AND(H675="L", P675&gt;=50%), "Pass",
IF(AND(H675="U", P675&gt;=60%), "Pass",
IF(AND(H675="O", P675&gt;=75%), "Pass", "Fail")))</f>
        <v/>
      </c>
      <c r="R675" s="104" t="n"/>
      <c r="S675" s="104" t="n">
        <v>17</v>
      </c>
      <c r="T675" s="104" t="n">
        <v>13</v>
      </c>
      <c r="U675" s="104">
        <f>SUM(S675:T675)</f>
        <v/>
      </c>
      <c r="V675" s="12">
        <f>U675/IF(H675="L",35,IF(H675="U",35,IF(H675="O",35,IF(H675="I",35,""))))</f>
        <v/>
      </c>
      <c r="W675" s="132">
        <f>IF(AND(H675="L", V675&gt;=50%), "Pass",
IF(AND(H675="U", V675&gt;=60%), "Pass",
IF(AND(H675="O", V675&gt;=75%), "Pass", "Fail")))</f>
        <v/>
      </c>
      <c r="X675" s="132">
        <f>IF(AND(Q675="Pass", W675="Pass"), "Pass", "Fail")</f>
        <v/>
      </c>
      <c r="Y675" s="15">
        <f>IF($X675="Pass",$H675,
IF(H675="L","I",
IF(H675="U","L",
IF(H675="O","U",
"I"))))</f>
        <v/>
      </c>
      <c r="Z675" s="81">
        <f>V675-75%</f>
        <v/>
      </c>
    </row>
    <row r="676">
      <c r="A676" s="147">
        <f>ROW()-2</f>
        <v/>
      </c>
      <c r="B676" s="127" t="inlineStr">
        <is>
          <t>SK2333</t>
        </is>
      </c>
      <c r="C676" s="128" t="inlineStr">
        <is>
          <t>SANKARA PANDIAN K</t>
        </is>
      </c>
      <c r="D676" s="127" t="inlineStr">
        <is>
          <t>PRODUCTION</t>
        </is>
      </c>
      <c r="E676" s="129" t="inlineStr">
        <is>
          <t>TYRE CURING</t>
        </is>
      </c>
      <c r="F676" s="130" t="n">
        <v>42795</v>
      </c>
      <c r="G676" s="131">
        <f>NOW()-F676</f>
        <v/>
      </c>
      <c r="H676" s="104" t="inlineStr">
        <is>
          <t>O</t>
        </is>
      </c>
      <c r="I676" s="104" t="inlineStr">
        <is>
          <t>O</t>
        </is>
      </c>
      <c r="J676" s="104" t="n">
        <v>8</v>
      </c>
      <c r="K676" s="104" t="n">
        <v>9</v>
      </c>
      <c r="L676" s="104" t="n">
        <v>9</v>
      </c>
      <c r="M676" s="104" t="n">
        <v>7</v>
      </c>
      <c r="N676" s="104" t="n"/>
      <c r="O676" s="104">
        <f>SUM(J676:N676)</f>
        <v/>
      </c>
      <c r="P676" s="12">
        <f>O676/IF(H676="L",20,IF(H676="U",30,IF(H676="O",40,IF(H676="I",20,""))))</f>
        <v/>
      </c>
      <c r="Q676" s="132">
        <f>IF(AND(H676="L", P676&gt;=50%), "Pass",
IF(AND(H676="U", P676&gt;=60%), "Pass",
IF(AND(H676="O", P676&gt;=75%), "Pass", "Fail")))</f>
        <v/>
      </c>
      <c r="R676" s="104" t="n"/>
      <c r="S676" s="104" t="n">
        <v>12</v>
      </c>
      <c r="T676" s="104" t="n">
        <v>9</v>
      </c>
      <c r="U676" s="104">
        <f>SUM(S676:T676)</f>
        <v/>
      </c>
      <c r="V676" s="12">
        <f>U676/IF(H676="L",35,IF(H676="U",35,IF(H676="O",35,IF(H676="I",35,""))))</f>
        <v/>
      </c>
      <c r="W676" s="132">
        <f>IF(AND(H676="L", V676&gt;=50%), "Pass",
IF(AND(H676="U", V676&gt;=60%), "Pass",
IF(AND(H676="O", V676&gt;=75%), "Pass", "Fail")))</f>
        <v/>
      </c>
      <c r="X676" s="132">
        <f>IF(AND(Q676="Pass", W676="Pass"), "Pass", "Fail")</f>
        <v/>
      </c>
      <c r="Y676" s="15">
        <f>IF($X676="Pass",$H676,
IF(H676="L","I",
IF(H676="U","L",
IF(H676="O","U",
"I"))))</f>
        <v/>
      </c>
    </row>
    <row r="677">
      <c r="A677" s="147">
        <f>ROW()-2</f>
        <v/>
      </c>
      <c r="B677" s="127" t="inlineStr">
        <is>
          <t>AK0500</t>
        </is>
      </c>
      <c r="C677" s="128" t="inlineStr">
        <is>
          <t>KALI MUTHU S</t>
        </is>
      </c>
      <c r="D677" s="127" t="inlineStr">
        <is>
          <t>PRODUCTION</t>
        </is>
      </c>
      <c r="E677" s="129" t="inlineStr">
        <is>
          <t>TYRE BUILDING-P1</t>
        </is>
      </c>
      <c r="F677" s="130" t="n">
        <v>42824</v>
      </c>
      <c r="G677" s="131">
        <f>NOW()-F677</f>
        <v/>
      </c>
      <c r="H677" s="104" t="inlineStr">
        <is>
          <t>O</t>
        </is>
      </c>
      <c r="I677" s="104" t="inlineStr">
        <is>
          <t>U</t>
        </is>
      </c>
      <c r="J677" s="104" t="n">
        <v>7</v>
      </c>
      <c r="K677" s="104" t="n">
        <v>7</v>
      </c>
      <c r="L677" s="104" t="n">
        <v>8</v>
      </c>
      <c r="M677" s="104" t="n">
        <v>8</v>
      </c>
      <c r="N677" s="104" t="n"/>
      <c r="O677" s="104">
        <f>SUM(J677:N677)</f>
        <v/>
      </c>
      <c r="P677" s="12">
        <f>O677/IF(H677="L",20,IF(H677="U",30,IF(H677="O",40,IF(H677="I",20,""))))</f>
        <v/>
      </c>
      <c r="Q677" s="132">
        <f>IF(AND(H677="L", P677&gt;=50%), "Pass",
IF(AND(H677="U", P677&gt;=60%), "Pass",
IF(AND(H677="O", P677&gt;=75%), "Pass", "Fail")))</f>
        <v/>
      </c>
      <c r="R677" s="104" t="n"/>
      <c r="S677" s="104" t="n">
        <v>12</v>
      </c>
      <c r="T677" s="104" t="n">
        <v>15</v>
      </c>
      <c r="U677" s="104">
        <f>SUM(S677:T677)</f>
        <v/>
      </c>
      <c r="V677" s="12">
        <f>U677/IF(H677="L",35,IF(H677="U",35,IF(H677="O",35,IF(H677="I",35,""))))</f>
        <v/>
      </c>
      <c r="W677" s="132">
        <f>IF(AND(H677="L", V677&gt;=50%), "Pass",
IF(AND(H677="U", V677&gt;=60%), "Pass",
IF(AND(H677="O", V677&gt;=75%), "Pass", "Fail")))</f>
        <v/>
      </c>
      <c r="X677" s="132">
        <f>IF(AND(Q677="Pass", W677="Pass"), "Pass", "Fail")</f>
        <v/>
      </c>
      <c r="Y677" s="15">
        <f>IF($X677="Pass",$H677,
IF(H677="L","I",
IF(H677="U","L",
IF(H677="O","U",
"I"))))</f>
        <v/>
      </c>
    </row>
    <row r="678">
      <c r="A678" s="147">
        <f>ROW()-2</f>
        <v/>
      </c>
      <c r="B678" s="127" t="inlineStr">
        <is>
          <t>PK0651</t>
        </is>
      </c>
      <c r="C678" s="128" t="inlineStr">
        <is>
          <t>MOSAI A</t>
        </is>
      </c>
      <c r="D678" s="127" t="inlineStr">
        <is>
          <t>PRODUCTION</t>
        </is>
      </c>
      <c r="E678" s="129" t="inlineStr">
        <is>
          <t>TYRE BUILDING-P1</t>
        </is>
      </c>
      <c r="F678" s="130" t="n">
        <v>42824</v>
      </c>
      <c r="G678" s="131">
        <f>NOW()-F678</f>
        <v/>
      </c>
      <c r="H678" s="104" t="inlineStr">
        <is>
          <t>O</t>
        </is>
      </c>
      <c r="I678" s="104" t="inlineStr">
        <is>
          <t>U</t>
        </is>
      </c>
      <c r="J678" s="104" t="n">
        <v>9</v>
      </c>
      <c r="K678" s="104" t="n">
        <v>10</v>
      </c>
      <c r="L678" s="104" t="n">
        <v>6</v>
      </c>
      <c r="M678" s="104" t="n">
        <v>8</v>
      </c>
      <c r="N678" s="104" t="n"/>
      <c r="O678" s="104">
        <f>SUM(J678:N678)</f>
        <v/>
      </c>
      <c r="P678" s="12">
        <f>O678/IF(H678="L",20,IF(H678="U",30,IF(H678="O",40,IF(H678="I",20,""))))</f>
        <v/>
      </c>
      <c r="Q678" s="132">
        <f>IF(AND(H678="L", P678&gt;=50%), "Pass",
IF(AND(H678="U", P678&gt;=60%), "Pass",
IF(AND(H678="O", P678&gt;=75%), "Pass", "Fail")))</f>
        <v/>
      </c>
      <c r="R678" s="104" t="n"/>
      <c r="S678" s="104" t="n">
        <v>13</v>
      </c>
      <c r="T678" s="104" t="n">
        <v>15</v>
      </c>
      <c r="U678" s="104">
        <f>SUM(S678:T678)</f>
        <v/>
      </c>
      <c r="V678" s="12">
        <f>U678/IF(H678="L",35,IF(H678="U",35,IF(H678="O",35,IF(H678="I",35,""))))</f>
        <v/>
      </c>
      <c r="W678" s="132">
        <f>IF(AND(H678="L", V678&gt;=50%), "Pass",
IF(AND(H678="U", V678&gt;=60%), "Pass",
IF(AND(H678="O", V678&gt;=75%), "Pass", "Fail")))</f>
        <v/>
      </c>
      <c r="X678" s="132">
        <f>IF(AND(Q678="Pass", W678="Pass"), "Pass", "Fail")</f>
        <v/>
      </c>
      <c r="Y678" s="15">
        <f>IF($X678="Pass",$H678,
IF(H678="L","I",
IF(H678="U","L",
IF(H678="O","U",
"I"))))</f>
        <v/>
      </c>
    </row>
    <row r="679">
      <c r="A679" s="147">
        <f>ROW()-2</f>
        <v/>
      </c>
      <c r="B679" s="127" t="inlineStr">
        <is>
          <t>PK0830</t>
        </is>
      </c>
      <c r="C679" s="128" t="inlineStr">
        <is>
          <t>SUDALAI MUTHU S</t>
        </is>
      </c>
      <c r="D679" s="127" t="inlineStr">
        <is>
          <t>PRODUCTION</t>
        </is>
      </c>
      <c r="E679" s="129" t="inlineStr">
        <is>
          <t>TYRE CURING</t>
        </is>
      </c>
      <c r="F679" s="130" t="n">
        <v>42824</v>
      </c>
      <c r="G679" s="131">
        <f>NOW()-F679</f>
        <v/>
      </c>
      <c r="H679" s="104" t="inlineStr">
        <is>
          <t>O</t>
        </is>
      </c>
      <c r="I679" s="104" t="inlineStr">
        <is>
          <t>U</t>
        </is>
      </c>
      <c r="J679" s="104" t="n">
        <v>9</v>
      </c>
      <c r="K679" s="104" t="n">
        <v>9</v>
      </c>
      <c r="L679" s="104" t="n">
        <v>7</v>
      </c>
      <c r="M679" s="104" t="n">
        <v>7</v>
      </c>
      <c r="N679" s="104" t="n"/>
      <c r="O679" s="104">
        <f>SUM(J679:N679)</f>
        <v/>
      </c>
      <c r="P679" s="12">
        <f>O679/IF(H679="L",20,IF(H679="U",30,IF(H679="O",40,IF(H679="I",20,""))))</f>
        <v/>
      </c>
      <c r="Q679" s="132">
        <f>IF(AND(H679="L", P679&gt;=50%), "Pass",
IF(AND(H679="U", P679&gt;=60%), "Pass",
IF(AND(H679="O", P679&gt;=75%), "Pass", "Fail")))</f>
        <v/>
      </c>
      <c r="R679" s="104" t="n"/>
      <c r="S679" s="104" t="n">
        <v>12</v>
      </c>
      <c r="T679" s="104" t="n">
        <v>10</v>
      </c>
      <c r="U679" s="104">
        <f>SUM(S679:T679)</f>
        <v/>
      </c>
      <c r="V679" s="12">
        <f>U679/IF(H679="L",35,IF(H679="U",35,IF(H679="O",35,IF(H679="I",35,""))))</f>
        <v/>
      </c>
      <c r="W679" s="132">
        <f>IF(AND(H679="L", V679&gt;=50%), "Pass",
IF(AND(H679="U", V679&gt;=60%), "Pass",
IF(AND(H679="O", V679&gt;=75%), "Pass", "Fail")))</f>
        <v/>
      </c>
      <c r="X679" s="132">
        <f>IF(AND(Q679="Pass", W679="Pass"), "Pass", "Fail")</f>
        <v/>
      </c>
      <c r="Y679" s="15">
        <f>IF($X679="Pass",$H679,
IF(H679="L","I",
IF(H679="U","L",
IF(H679="O","U",
"I"))))</f>
        <v/>
      </c>
    </row>
    <row r="680">
      <c r="A680" s="147">
        <f>ROW()-2</f>
        <v/>
      </c>
      <c r="B680" s="127" t="inlineStr">
        <is>
          <t>SR0598</t>
        </is>
      </c>
      <c r="C680" s="128" t="inlineStr">
        <is>
          <t>SUDALAI MANI M</t>
        </is>
      </c>
      <c r="D680" s="127" t="inlineStr">
        <is>
          <t>PRODUCTION</t>
        </is>
      </c>
      <c r="E680" s="129" t="inlineStr">
        <is>
          <t>TYRE BUILDING-P1</t>
        </is>
      </c>
      <c r="F680" s="130" t="n">
        <v>42824</v>
      </c>
      <c r="G680" s="131">
        <f>NOW()-F680</f>
        <v/>
      </c>
      <c r="H680" s="104" t="inlineStr">
        <is>
          <t>O</t>
        </is>
      </c>
      <c r="I680" s="104" t="inlineStr">
        <is>
          <t>U</t>
        </is>
      </c>
      <c r="J680" s="104" t="n">
        <v>9</v>
      </c>
      <c r="K680" s="104" t="n">
        <v>9</v>
      </c>
      <c r="L680" s="104" t="n">
        <v>8</v>
      </c>
      <c r="M680" s="104" t="n">
        <v>9</v>
      </c>
      <c r="N680" s="104" t="n"/>
      <c r="O680" s="104">
        <f>SUM(J680:N680)</f>
        <v/>
      </c>
      <c r="P680" s="12">
        <f>O680/IF(H680="L",20,IF(H680="U",30,IF(H680="O",40,IF(H680="I",20,""))))</f>
        <v/>
      </c>
      <c r="Q680" s="132">
        <f>IF(AND(H680="L", P680&gt;=50%), "Pass",
IF(AND(H680="U", P680&gt;=60%), "Pass",
IF(AND(H680="O", P680&gt;=75%), "Pass", "Fail")))</f>
        <v/>
      </c>
      <c r="R680" s="104" t="n"/>
      <c r="S680" s="104" t="n">
        <v>12</v>
      </c>
      <c r="T680" s="104" t="n">
        <v>11</v>
      </c>
      <c r="U680" s="104">
        <f>SUM(S680:T680)</f>
        <v/>
      </c>
      <c r="V680" s="12">
        <f>U680/IF(H680="L",35,IF(H680="U",35,IF(H680="O",35,IF(H680="I",35,""))))</f>
        <v/>
      </c>
      <c r="W680" s="132">
        <f>IF(AND(H680="L", V680&gt;=50%), "Pass",
IF(AND(H680="U", V680&gt;=60%), "Pass",
IF(AND(H680="O", V680&gt;=75%), "Pass", "Fail")))</f>
        <v/>
      </c>
      <c r="X680" s="132">
        <f>IF(AND(Q680="Pass", W680="Pass"), "Pass", "Fail")</f>
        <v/>
      </c>
      <c r="Y680" s="15">
        <f>IF($X680="Pass",$H680,
IF(H680="L","I",
IF(H680="U","L",
IF(H680="O","U",
"I"))))</f>
        <v/>
      </c>
      <c r="Z680" s="81">
        <f>V680-75%</f>
        <v/>
      </c>
    </row>
    <row r="681">
      <c r="A681" s="147">
        <f>ROW()-2</f>
        <v/>
      </c>
      <c r="B681" s="127" t="inlineStr">
        <is>
          <t>KK0730</t>
        </is>
      </c>
      <c r="C681" s="128" t="inlineStr">
        <is>
          <t>JEBA SEKARAN J</t>
        </is>
      </c>
      <c r="D681" s="127" t="inlineStr">
        <is>
          <t>PRODUCTION</t>
        </is>
      </c>
      <c r="E681" s="129" t="inlineStr">
        <is>
          <t>TYRE BUILDING-P3</t>
        </is>
      </c>
      <c r="F681" s="130" t="n">
        <v>42830</v>
      </c>
      <c r="G681" s="131">
        <f>NOW()-F681</f>
        <v/>
      </c>
      <c r="H681" s="104" t="inlineStr">
        <is>
          <t>O</t>
        </is>
      </c>
      <c r="I681" s="104" t="inlineStr">
        <is>
          <t>O</t>
        </is>
      </c>
      <c r="J681" s="104" t="n">
        <v>10</v>
      </c>
      <c r="K681" s="104" t="n">
        <v>7</v>
      </c>
      <c r="L681" s="104" t="n">
        <v>6</v>
      </c>
      <c r="M681" s="104" t="n">
        <v>9</v>
      </c>
      <c r="N681" s="104" t="n"/>
      <c r="O681" s="104">
        <f>SUM(J681:N681)</f>
        <v/>
      </c>
      <c r="P681" s="12">
        <f>O681/IF(H681="L",20,IF(H681="U",30,IF(H681="O",40,IF(H681="I",20,""))))</f>
        <v/>
      </c>
      <c r="Q681" s="132">
        <f>IF(AND(H681="L", P681&gt;=50%), "Pass",
IF(AND(H681="U", P681&gt;=60%), "Pass",
IF(AND(H681="O", P681&gt;=75%), "Pass", "Fail")))</f>
        <v/>
      </c>
      <c r="R681" s="104" t="n"/>
      <c r="S681" s="104" t="n">
        <v>18</v>
      </c>
      <c r="T681" s="104" t="n">
        <v>15</v>
      </c>
      <c r="U681" s="104">
        <f>SUM(S681:T681)</f>
        <v/>
      </c>
      <c r="V681" s="12">
        <f>U681/IF(H681="L",35,IF(H681="U",35,IF(H681="O",35,IF(H681="I",35,""))))</f>
        <v/>
      </c>
      <c r="W681" s="132">
        <f>IF(AND(H681="L", V681&gt;=50%), "Pass",
IF(AND(H681="U", V681&gt;=60%), "Pass",
IF(AND(H681="O", V681&gt;=75%), "Pass", "Fail")))</f>
        <v/>
      </c>
      <c r="X681" s="132">
        <f>IF(AND(Q681="Pass", W681="Pass"), "Pass", "Fail")</f>
        <v/>
      </c>
      <c r="Y681" s="15">
        <f>IF($X681="Pass",$H681,
IF(H681="L","I",
IF(H681="U","L",
IF(H681="O","U",
"I"))))</f>
        <v/>
      </c>
      <c r="Z681" s="81">
        <f>V681-75%</f>
        <v/>
      </c>
    </row>
    <row r="682">
      <c r="A682" s="147">
        <f>ROW()-2</f>
        <v/>
      </c>
      <c r="B682" s="127" t="inlineStr">
        <is>
          <t>PK0653</t>
        </is>
      </c>
      <c r="C682" s="128" t="inlineStr">
        <is>
          <t>ESSAKKI RAJA L</t>
        </is>
      </c>
      <c r="D682" s="127" t="inlineStr">
        <is>
          <t>PRODUCTION</t>
        </is>
      </c>
      <c r="E682" s="129" t="inlineStr">
        <is>
          <t>TYRE BUILDING-P3</t>
        </is>
      </c>
      <c r="F682" s="130" t="n">
        <v>42830</v>
      </c>
      <c r="G682" s="131">
        <f>NOW()-F682</f>
        <v/>
      </c>
      <c r="H682" s="104" t="inlineStr">
        <is>
          <t>O</t>
        </is>
      </c>
      <c r="I682" s="104" t="inlineStr">
        <is>
          <t>O</t>
        </is>
      </c>
      <c r="J682" s="104" t="n">
        <v>10</v>
      </c>
      <c r="K682" s="104" t="n">
        <v>8</v>
      </c>
      <c r="L682" s="104" t="n">
        <v>5</v>
      </c>
      <c r="M682" s="104" t="n">
        <v>9</v>
      </c>
      <c r="N682" s="104" t="n"/>
      <c r="O682" s="104">
        <f>SUM(J682:N682)</f>
        <v/>
      </c>
      <c r="P682" s="12">
        <f>O682/IF(H682="L",20,IF(H682="U",30,IF(H682="O",40,IF(H682="I",20,""))))</f>
        <v/>
      </c>
      <c r="Q682" s="132">
        <f>IF(AND(H682="L", P682&gt;=50%), "Pass",
IF(AND(H682="U", P682&gt;=60%), "Pass",
IF(AND(H682="O", P682&gt;=75%), "Pass", "Fail")))</f>
        <v/>
      </c>
      <c r="R682" s="104" t="n"/>
      <c r="S682" s="104" t="n">
        <v>20</v>
      </c>
      <c r="T682" s="104" t="n">
        <v>15</v>
      </c>
      <c r="U682" s="104">
        <f>SUM(S682:T682)</f>
        <v/>
      </c>
      <c r="V682" s="12">
        <f>U682/IF(H682="L",35,IF(H682="U",35,IF(H682="O",35,IF(H682="I",35,""))))</f>
        <v/>
      </c>
      <c r="W682" s="132">
        <f>IF(AND(H682="L", V682&gt;=50%), "Pass",
IF(AND(H682="U", V682&gt;=60%), "Pass",
IF(AND(H682="O", V682&gt;=75%), "Pass", "Fail")))</f>
        <v/>
      </c>
      <c r="X682" s="132">
        <f>IF(AND(Q682="Pass", W682="Pass"), "Pass", "Fail")</f>
        <v/>
      </c>
      <c r="Y682" s="15">
        <f>IF($X682="Pass",$H682,
IF(H682="L","I",
IF(H682="U","L",
IF(H682="O","U",
"I"))))</f>
        <v/>
      </c>
    </row>
    <row r="683">
      <c r="A683" s="147">
        <f>ROW()-2</f>
        <v/>
      </c>
      <c r="B683" s="127" t="inlineStr">
        <is>
          <t>SR0602</t>
        </is>
      </c>
      <c r="C683" s="128" t="inlineStr">
        <is>
          <t>MAHA RAJAN S</t>
        </is>
      </c>
      <c r="D683" s="127" t="inlineStr">
        <is>
          <t>PRODUCTION</t>
        </is>
      </c>
      <c r="E683" s="129" t="inlineStr">
        <is>
          <t>TYRE BUILDING-P3</t>
        </is>
      </c>
      <c r="F683" s="130" t="n">
        <v>42830</v>
      </c>
      <c r="G683" s="131">
        <f>NOW()-F683</f>
        <v/>
      </c>
      <c r="H683" s="104" t="inlineStr">
        <is>
          <t>O</t>
        </is>
      </c>
      <c r="I683" s="104" t="inlineStr">
        <is>
          <t>O</t>
        </is>
      </c>
      <c r="J683" s="104" t="n">
        <v>10</v>
      </c>
      <c r="K683" s="104" t="n">
        <v>9</v>
      </c>
      <c r="L683" s="104" t="n">
        <v>8</v>
      </c>
      <c r="M683" s="104" t="n">
        <v>9</v>
      </c>
      <c r="N683" s="104" t="n"/>
      <c r="O683" s="104">
        <f>SUM(J683:N683)</f>
        <v/>
      </c>
      <c r="P683" s="12">
        <f>O683/IF(H683="L",20,IF(H683="U",30,IF(H683="O",40,IF(H683="I",20,""))))</f>
        <v/>
      </c>
      <c r="Q683" s="132">
        <f>IF(AND(H683="L", P683&gt;=50%), "Pass",
IF(AND(H683="U", P683&gt;=60%), "Pass",
IF(AND(H683="O", P683&gt;=75%), "Pass", "Fail")))</f>
        <v/>
      </c>
      <c r="R683" s="104" t="n"/>
      <c r="S683" s="104" t="n">
        <v>18</v>
      </c>
      <c r="T683" s="104" t="n">
        <v>15</v>
      </c>
      <c r="U683" s="104">
        <f>SUM(S683:T683)</f>
        <v/>
      </c>
      <c r="V683" s="12">
        <f>U683/IF(H683="L",35,IF(H683="U",35,IF(H683="O",35,IF(H683="I",35,""))))</f>
        <v/>
      </c>
      <c r="W683" s="132">
        <f>IF(AND(H683="L", V683&gt;=50%), "Pass",
IF(AND(H683="U", V683&gt;=60%), "Pass",
IF(AND(H683="O", V683&gt;=75%), "Pass", "Fail")))</f>
        <v/>
      </c>
      <c r="X683" s="132">
        <f>IF(AND(Q683="Pass", W683="Pass"), "Pass", "Fail")</f>
        <v/>
      </c>
      <c r="Y683" s="15">
        <f>IF($X683="Pass",$H683,
IF(H683="L","I",
IF(H683="U","L",
IF(H683="O","U",
"I"))))</f>
        <v/>
      </c>
    </row>
    <row r="684">
      <c r="A684" s="147">
        <f>ROW()-2</f>
        <v/>
      </c>
      <c r="B684" s="127" t="inlineStr">
        <is>
          <t>PK0655</t>
        </is>
      </c>
      <c r="C684" s="128" t="inlineStr">
        <is>
          <t>RAJA KUMAR RAM</t>
        </is>
      </c>
      <c r="D684" s="127" t="inlineStr">
        <is>
          <t>PRODUCTION</t>
        </is>
      </c>
      <c r="E684" s="129" t="inlineStr">
        <is>
          <t>TYRE BUILDING-P3</t>
        </is>
      </c>
      <c r="F684" s="130" t="n">
        <v>42832</v>
      </c>
      <c r="G684" s="131">
        <f>NOW()-F684</f>
        <v/>
      </c>
      <c r="H684" s="104" t="inlineStr">
        <is>
          <t>O</t>
        </is>
      </c>
      <c r="I684" s="104" t="inlineStr">
        <is>
          <t>U</t>
        </is>
      </c>
      <c r="J684" s="104" t="n">
        <v>3</v>
      </c>
      <c r="K684" s="104" t="n">
        <v>10</v>
      </c>
      <c r="L684" s="104" t="n">
        <v>4</v>
      </c>
      <c r="M684" s="104" t="n">
        <v>5</v>
      </c>
      <c r="N684" s="104" t="n"/>
      <c r="O684" s="104">
        <f>SUM(J684:N684)</f>
        <v/>
      </c>
      <c r="P684" s="12">
        <f>O684/IF(H684="L",20,IF(H684="U",30,IF(H684="O",40,IF(H684="I",20,""))))</f>
        <v/>
      </c>
      <c r="Q684" s="132">
        <f>IF(AND(H684="L", P684&gt;=50%), "Pass",
IF(AND(H684="U", P684&gt;=60%), "Pass",
IF(AND(H684="O", P684&gt;=75%), "Pass", "Fail")))</f>
        <v/>
      </c>
      <c r="R684" s="104" t="n"/>
      <c r="S684" s="104" t="n">
        <v>20</v>
      </c>
      <c r="T684" s="104" t="n">
        <v>14</v>
      </c>
      <c r="U684" s="104">
        <f>SUM(S684:T684)</f>
        <v/>
      </c>
      <c r="V684" s="12">
        <f>U684/IF(H684="L",35,IF(H684="U",35,IF(H684="O",35,IF(H684="I",35,""))))</f>
        <v/>
      </c>
      <c r="W684" s="132">
        <f>IF(AND(H684="L", V684&gt;=50%), "Pass",
IF(AND(H684="U", V684&gt;=60%), "Pass",
IF(AND(H684="O", V684&gt;=75%), "Pass", "Fail")))</f>
        <v/>
      </c>
      <c r="X684" s="132">
        <f>IF(AND(Q684="Pass", W684="Pass"), "Pass", "Fail")</f>
        <v/>
      </c>
      <c r="Y684" s="15">
        <f>IF($X684="Pass",$H684,
IF(H684="L","I",
IF(H684="U","L",
IF(H684="O","U",
"I"))))</f>
        <v/>
      </c>
    </row>
    <row r="685">
      <c r="A685" s="147">
        <f>ROW()-2</f>
        <v/>
      </c>
      <c r="B685" s="127" t="inlineStr">
        <is>
          <t>SK2274</t>
        </is>
      </c>
      <c r="C685" s="128" t="inlineStr">
        <is>
          <t>MITHILESH KUMAR SAHNI</t>
        </is>
      </c>
      <c r="D685" s="127" t="inlineStr">
        <is>
          <t>PRODUCTION</t>
        </is>
      </c>
      <c r="E685" s="129" t="inlineStr">
        <is>
          <t>EXTRUDER</t>
        </is>
      </c>
      <c r="F685" s="130" t="n">
        <v>42843</v>
      </c>
      <c r="G685" s="131">
        <f>NOW()-F685</f>
        <v/>
      </c>
      <c r="H685" s="104" t="inlineStr">
        <is>
          <t>O</t>
        </is>
      </c>
      <c r="I685" s="104" t="inlineStr">
        <is>
          <t>U</t>
        </is>
      </c>
      <c r="J685" s="104" t="n">
        <v>9</v>
      </c>
      <c r="K685" s="104" t="n">
        <v>8</v>
      </c>
      <c r="L685" s="104" t="n">
        <v>7</v>
      </c>
      <c r="M685" s="104" t="n">
        <v>10</v>
      </c>
      <c r="N685" s="104" t="n"/>
      <c r="O685" s="104">
        <f>SUM(J685:N685)</f>
        <v/>
      </c>
      <c r="P685" s="12">
        <f>O685/IF(H685="L",20,IF(H685="U",30,IF(H685="O",40,IF(H685="I",20,""))))</f>
        <v/>
      </c>
      <c r="Q685" s="132">
        <f>IF(AND(H685="L", P685&gt;=50%), "Pass",
IF(AND(H685="U", P685&gt;=60%), "Pass",
IF(AND(H685="O", P685&gt;=75%), "Pass", "Fail")))</f>
        <v/>
      </c>
      <c r="R685" s="104" t="n"/>
      <c r="S685" s="104" t="n">
        <v>17</v>
      </c>
      <c r="T685" s="104" t="n">
        <v>12</v>
      </c>
      <c r="U685" s="104">
        <f>SUM(S685:T685)</f>
        <v/>
      </c>
      <c r="V685" s="12">
        <f>U685/IF(H685="L",35,IF(H685="U",35,IF(H685="O",35,IF(H685="I",35,""))))</f>
        <v/>
      </c>
      <c r="W685" s="132">
        <f>IF(AND(H685="L", V685&gt;=50%), "Pass",
IF(AND(H685="U", V685&gt;=60%), "Pass",
IF(AND(H685="O", V685&gt;=75%), "Pass", "Fail")))</f>
        <v/>
      </c>
      <c r="X685" s="132">
        <f>IF(AND(Q685="Pass", W685="Pass"), "Pass", "Fail")</f>
        <v/>
      </c>
      <c r="Y685" s="15">
        <f>IF($X685="Pass",$H685,
IF(H685="L","I",
IF(H685="U","L",
IF(H685="O","U",
"I"))))</f>
        <v/>
      </c>
    </row>
    <row r="686">
      <c r="A686" s="147">
        <f>ROW()-2</f>
        <v/>
      </c>
      <c r="B686" s="127" t="inlineStr">
        <is>
          <t>SK2275</t>
        </is>
      </c>
      <c r="C686" s="128" t="inlineStr">
        <is>
          <t>SANKAR M</t>
        </is>
      </c>
      <c r="D686" s="127" t="inlineStr">
        <is>
          <t>PRODUCTION</t>
        </is>
      </c>
      <c r="E686" s="129" t="inlineStr">
        <is>
          <t>TYRE BUILDING-P3</t>
        </is>
      </c>
      <c r="F686" s="130" t="n">
        <v>42844</v>
      </c>
      <c r="G686" s="131">
        <f>NOW()-F686</f>
        <v/>
      </c>
      <c r="H686" s="104" t="inlineStr">
        <is>
          <t>O</t>
        </is>
      </c>
      <c r="I686" s="104" t="inlineStr">
        <is>
          <t>O</t>
        </is>
      </c>
      <c r="J686" s="104" t="n">
        <v>10</v>
      </c>
      <c r="K686" s="104" t="n">
        <v>9</v>
      </c>
      <c r="L686" s="104" t="n">
        <v>8</v>
      </c>
      <c r="M686" s="104" t="n">
        <v>6</v>
      </c>
      <c r="N686" s="104" t="n"/>
      <c r="O686" s="104">
        <f>SUM(J686:N686)</f>
        <v/>
      </c>
      <c r="P686" s="12">
        <f>O686/IF(H686="L",20,IF(H686="U",30,IF(H686="O",40,IF(H686="I",20,""))))</f>
        <v/>
      </c>
      <c r="Q686" s="132">
        <f>IF(AND(H686="L", P686&gt;=50%), "Pass",
IF(AND(H686="U", P686&gt;=60%), "Pass",
IF(AND(H686="O", P686&gt;=75%), "Pass", "Fail")))</f>
        <v/>
      </c>
      <c r="R686" s="104" t="n"/>
      <c r="S686" s="104" t="n">
        <v>19</v>
      </c>
      <c r="T686" s="104" t="n">
        <v>15</v>
      </c>
      <c r="U686" s="104">
        <f>SUM(S686:T686)</f>
        <v/>
      </c>
      <c r="V686" s="12">
        <f>U686/IF(H686="L",35,IF(H686="U",35,IF(H686="O",35,IF(H686="I",35,""))))</f>
        <v/>
      </c>
      <c r="W686" s="132">
        <f>IF(AND(H686="L", V686&gt;=50%), "Pass",
IF(AND(H686="U", V686&gt;=60%), "Pass",
IF(AND(H686="O", V686&gt;=75%), "Pass", "Fail")))</f>
        <v/>
      </c>
      <c r="X686" s="132">
        <f>IF(AND(Q686="Pass", W686="Pass"), "Pass", "Fail")</f>
        <v/>
      </c>
      <c r="Y686" s="15">
        <f>IF($X686="Pass",$H686,
IF(H686="L","I",
IF(H686="U","L",
IF(H686="O","U",
"I"))))</f>
        <v/>
      </c>
    </row>
    <row r="687">
      <c r="A687" s="147">
        <f>ROW()-2</f>
        <v/>
      </c>
      <c r="B687" s="127" t="inlineStr">
        <is>
          <t>SR0623</t>
        </is>
      </c>
      <c r="C687" s="128" t="inlineStr">
        <is>
          <t>SIVA A</t>
        </is>
      </c>
      <c r="D687" s="127" t="inlineStr">
        <is>
          <t>PRODUCTION</t>
        </is>
      </c>
      <c r="E687" s="129" t="inlineStr">
        <is>
          <t>TYRE BUILDING-P3</t>
        </is>
      </c>
      <c r="F687" s="130" t="n">
        <v>42846</v>
      </c>
      <c r="G687" s="131">
        <f>NOW()-F687</f>
        <v/>
      </c>
      <c r="H687" s="104" t="inlineStr">
        <is>
          <t>O</t>
        </is>
      </c>
      <c r="I687" s="104" t="inlineStr">
        <is>
          <t>O</t>
        </is>
      </c>
      <c r="J687" s="104" t="n">
        <v>9</v>
      </c>
      <c r="K687" s="104" t="n">
        <v>8</v>
      </c>
      <c r="L687" s="104" t="n">
        <v>8</v>
      </c>
      <c r="M687" s="104" t="n">
        <v>7</v>
      </c>
      <c r="N687" s="104" t="n"/>
      <c r="O687" s="104">
        <f>SUM(J687:N687)</f>
        <v/>
      </c>
      <c r="P687" s="12">
        <f>O687/IF(H687="L",20,IF(H687="U",30,IF(H687="O",40,IF(H687="I",20,""))))</f>
        <v/>
      </c>
      <c r="Q687" s="132">
        <f>IF(AND(H687="L", P687&gt;=50%), "Pass",
IF(AND(H687="U", P687&gt;=60%), "Pass",
IF(AND(H687="O", P687&gt;=75%), "Pass", "Fail")))</f>
        <v/>
      </c>
      <c r="R687" s="104" t="n"/>
      <c r="S687" s="104" t="n">
        <v>17</v>
      </c>
      <c r="T687" s="104" t="n">
        <v>15</v>
      </c>
      <c r="U687" s="104">
        <f>SUM(S687:T687)</f>
        <v/>
      </c>
      <c r="V687" s="12">
        <f>U687/IF(H687="L",35,IF(H687="U",35,IF(H687="O",35,IF(H687="I",35,""))))</f>
        <v/>
      </c>
      <c r="W687" s="132">
        <f>IF(AND(H687="L", V687&gt;=50%), "Pass",
IF(AND(H687="U", V687&gt;=60%), "Pass",
IF(AND(H687="O", V687&gt;=75%), "Pass", "Fail")))</f>
        <v/>
      </c>
      <c r="X687" s="132">
        <f>IF(AND(Q687="Pass", W687="Pass"), "Pass", "Fail")</f>
        <v/>
      </c>
      <c r="Y687" s="15">
        <f>IF($X687="Pass",$H687,
IF(H687="L","I",
IF(H687="U","L",
IF(H687="O","U",
"I"))))</f>
        <v/>
      </c>
    </row>
    <row r="688">
      <c r="A688" s="147">
        <f>ROW()-2</f>
        <v/>
      </c>
      <c r="B688" s="127" t="inlineStr">
        <is>
          <t>SK2280</t>
        </is>
      </c>
      <c r="C688" s="128" t="inlineStr">
        <is>
          <t>MOKHTAR RAI</t>
        </is>
      </c>
      <c r="D688" s="127" t="inlineStr">
        <is>
          <t>PRODUCTION</t>
        </is>
      </c>
      <c r="E688" s="129" t="inlineStr">
        <is>
          <t>BIAS CUTTING-2</t>
        </is>
      </c>
      <c r="F688" s="130" t="n">
        <v>42850</v>
      </c>
      <c r="G688" s="131">
        <f>NOW()-F688</f>
        <v/>
      </c>
      <c r="H688" s="104" t="inlineStr">
        <is>
          <t>O</t>
        </is>
      </c>
      <c r="I688" s="104" t="inlineStr">
        <is>
          <t>U</t>
        </is>
      </c>
      <c r="J688" s="104" t="n">
        <v>7</v>
      </c>
      <c r="K688" s="104" t="n">
        <v>7</v>
      </c>
      <c r="L688" s="104" t="n">
        <v>3</v>
      </c>
      <c r="M688" s="104" t="n">
        <v>3</v>
      </c>
      <c r="N688" s="104" t="n"/>
      <c r="O688" s="104">
        <f>SUM(J688:N688)</f>
        <v/>
      </c>
      <c r="P688" s="12">
        <f>O688/IF(H688="L",20,IF(H688="U",30,IF(H688="O",40,IF(H688="I",20,""))))</f>
        <v/>
      </c>
      <c r="Q688" s="132">
        <f>IF(AND(H688="L", P688&gt;=50%), "Pass",
IF(AND(H688="U", P688&gt;=60%), "Pass",
IF(AND(H688="O", P688&gt;=75%), "Pass", "Fail")))</f>
        <v/>
      </c>
      <c r="R688" s="104" t="n"/>
      <c r="S688" s="104" t="n">
        <v>18</v>
      </c>
      <c r="T688" s="104" t="n">
        <v>13</v>
      </c>
      <c r="U688" s="104">
        <f>SUM(S688:T688)</f>
        <v/>
      </c>
      <c r="V688" s="12">
        <f>U688/IF(H688="L",35,IF(H688="U",35,IF(H688="O",35,IF(H688="I",35,""))))</f>
        <v/>
      </c>
      <c r="W688" s="132">
        <f>IF(AND(H688="L", V688&gt;=50%), "Pass",
IF(AND(H688="U", V688&gt;=60%), "Pass",
IF(AND(H688="O", V688&gt;=75%), "Pass", "Fail")))</f>
        <v/>
      </c>
      <c r="X688" s="132">
        <f>IF(AND(Q688="Pass", W688="Pass"), "Pass", "Fail")</f>
        <v/>
      </c>
      <c r="Y688" s="15">
        <f>IF($X688="Pass",$H688,
IF(H688="L","I",
IF(H688="U","L",
IF(H688="O","U",
"I"))))</f>
        <v/>
      </c>
    </row>
    <row r="689">
      <c r="A689" s="147">
        <f>ROW()-2</f>
        <v/>
      </c>
      <c r="B689" s="127" t="inlineStr">
        <is>
          <t>SK2281</t>
        </is>
      </c>
      <c r="C689" s="128" t="inlineStr">
        <is>
          <t>SIVARAMAN G</t>
        </is>
      </c>
      <c r="D689" s="127" t="inlineStr">
        <is>
          <t>PRODUCTION</t>
        </is>
      </c>
      <c r="E689" s="129" t="inlineStr">
        <is>
          <t>EXTRUDER</t>
        </is>
      </c>
      <c r="F689" s="130" t="n">
        <v>42850</v>
      </c>
      <c r="G689" s="131">
        <f>NOW()-F689</f>
        <v/>
      </c>
      <c r="H689" s="104" t="inlineStr">
        <is>
          <t>O</t>
        </is>
      </c>
      <c r="I689" s="104" t="inlineStr">
        <is>
          <t>U</t>
        </is>
      </c>
      <c r="J689" s="104" t="n">
        <v>8</v>
      </c>
      <c r="K689" s="104" t="n">
        <v>7</v>
      </c>
      <c r="L689" s="104" t="n">
        <v>10</v>
      </c>
      <c r="M689" s="104" t="n">
        <v>8</v>
      </c>
      <c r="N689" s="104" t="n"/>
      <c r="O689" s="104">
        <f>SUM(J689:N689)</f>
        <v/>
      </c>
      <c r="P689" s="12">
        <f>O689/IF(H689="L",20,IF(H689="U",30,IF(H689="O",40,IF(H689="I",20,""))))</f>
        <v/>
      </c>
      <c r="Q689" s="132">
        <f>IF(AND(H689="L", P689&gt;=50%), "Pass",
IF(AND(H689="U", P689&gt;=60%), "Pass",
IF(AND(H689="O", P689&gt;=75%), "Pass", "Fail")))</f>
        <v/>
      </c>
      <c r="R689" s="104" t="n"/>
      <c r="S689" s="104" t="n">
        <v>13</v>
      </c>
      <c r="T689" s="104" t="n">
        <v>8</v>
      </c>
      <c r="U689" s="104">
        <f>SUM(S689:T689)</f>
        <v/>
      </c>
      <c r="V689" s="12">
        <f>U689/IF(H689="L",35,IF(H689="U",35,IF(H689="O",35,IF(H689="I",35,""))))</f>
        <v/>
      </c>
      <c r="W689" s="132">
        <f>IF(AND(H689="L", V689&gt;=50%), "Pass",
IF(AND(H689="U", V689&gt;=60%), "Pass",
IF(AND(H689="O", V689&gt;=75%), "Pass", "Fail")))</f>
        <v/>
      </c>
      <c r="X689" s="132">
        <f>IF(AND(Q689="Pass", W689="Pass"), "Pass", "Fail")</f>
        <v/>
      </c>
      <c r="Y689" s="15">
        <f>IF($X689="Pass",$H689,
IF(H689="L","I",
IF(H689="U","L",
IF(H689="O","U",
"I"))))</f>
        <v/>
      </c>
    </row>
    <row r="690">
      <c r="A690" s="147">
        <f>ROW()-2</f>
        <v/>
      </c>
      <c r="B690" s="127" t="inlineStr">
        <is>
          <t>SR0625</t>
        </is>
      </c>
      <c r="C690" s="128" t="inlineStr">
        <is>
          <t>ANANTH M</t>
        </is>
      </c>
      <c r="D690" s="127" t="inlineStr">
        <is>
          <t>PRODUCTION</t>
        </is>
      </c>
      <c r="E690" s="129" t="inlineStr">
        <is>
          <t>TYRE BUILDING-P1</t>
        </is>
      </c>
      <c r="F690" s="130" t="n">
        <v>42850</v>
      </c>
      <c r="G690" s="131">
        <f>NOW()-F690</f>
        <v/>
      </c>
      <c r="H690" s="104" t="inlineStr">
        <is>
          <t>O</t>
        </is>
      </c>
      <c r="I690" s="104" t="inlineStr">
        <is>
          <t>U</t>
        </is>
      </c>
      <c r="J690" s="104" t="n">
        <v>8</v>
      </c>
      <c r="K690" s="104" t="n">
        <v>7</v>
      </c>
      <c r="L690" s="104" t="n">
        <v>5</v>
      </c>
      <c r="M690" s="104" t="n">
        <v>7</v>
      </c>
      <c r="N690" s="104" t="n"/>
      <c r="O690" s="104">
        <f>SUM(J690:N690)</f>
        <v/>
      </c>
      <c r="P690" s="12">
        <f>O690/IF(H690="L",20,IF(H690="U",30,IF(H690="O",40,IF(H690="I",20,""))))</f>
        <v/>
      </c>
      <c r="Q690" s="132">
        <f>IF(AND(H690="L", P690&gt;=50%), "Pass",
IF(AND(H690="U", P690&gt;=60%), "Pass",
IF(AND(H690="O", P690&gt;=75%), "Pass", "Fail")))</f>
        <v/>
      </c>
      <c r="R690" s="104" t="n"/>
      <c r="S690" s="104" t="n">
        <v>12</v>
      </c>
      <c r="T690" s="104" t="n">
        <v>10</v>
      </c>
      <c r="U690" s="104">
        <f>SUM(S690:T690)</f>
        <v/>
      </c>
      <c r="V690" s="12">
        <f>U690/IF(H690="L",35,IF(H690="U",35,IF(H690="O",35,IF(H690="I",35,""))))</f>
        <v/>
      </c>
      <c r="W690" s="132">
        <f>IF(AND(H690="L", V690&gt;=50%), "Pass",
IF(AND(H690="U", V690&gt;=60%), "Pass",
IF(AND(H690="O", V690&gt;=75%), "Pass", "Fail")))</f>
        <v/>
      </c>
      <c r="X690" s="132">
        <f>IF(AND(Q690="Pass", W690="Pass"), "Pass", "Fail")</f>
        <v/>
      </c>
      <c r="Y690" s="15">
        <f>IF($X690="Pass",$H690,
IF(H690="L","I",
IF(H690="U","L",
IF(H690="O","U",
"I"))))</f>
        <v/>
      </c>
    </row>
    <row r="691">
      <c r="A691" s="147">
        <f>ROW()-2</f>
        <v/>
      </c>
      <c r="B691" s="127" t="inlineStr">
        <is>
          <t>KK0751</t>
        </is>
      </c>
      <c r="C691" s="128" t="inlineStr">
        <is>
          <t>RANJITH G</t>
        </is>
      </c>
      <c r="D691" s="127" t="inlineStr">
        <is>
          <t>PRODUCTION</t>
        </is>
      </c>
      <c r="E691" s="129" t="inlineStr">
        <is>
          <t>TYRE BUILDING-P1</t>
        </is>
      </c>
      <c r="F691" s="130" t="n">
        <v>42860</v>
      </c>
      <c r="G691" s="131">
        <f>NOW()-F691</f>
        <v/>
      </c>
      <c r="H691" s="104" t="inlineStr">
        <is>
          <t>O</t>
        </is>
      </c>
      <c r="I691" s="104" t="inlineStr">
        <is>
          <t>U</t>
        </is>
      </c>
      <c r="J691" s="104" t="n">
        <v>10</v>
      </c>
      <c r="K691" s="104" t="n">
        <v>10</v>
      </c>
      <c r="L691" s="104" t="n">
        <v>7</v>
      </c>
      <c r="M691" s="104" t="n">
        <v>8</v>
      </c>
      <c r="N691" s="104" t="n"/>
      <c r="O691" s="104">
        <f>SUM(J691:N691)</f>
        <v/>
      </c>
      <c r="P691" s="12">
        <f>O691/IF(H691="L",20,IF(H691="U",30,IF(H691="O",40,IF(H691="I",20,""))))</f>
        <v/>
      </c>
      <c r="Q691" s="132">
        <f>IF(AND(H691="L", P691&gt;=50%), "Pass",
IF(AND(H691="U", P691&gt;=60%), "Pass",
IF(AND(H691="O", P691&gt;=75%), "Pass", "Fail")))</f>
        <v/>
      </c>
      <c r="R691" s="104" t="n"/>
      <c r="S691" s="104" t="n">
        <v>17</v>
      </c>
      <c r="T691" s="104" t="n">
        <v>15</v>
      </c>
      <c r="U691" s="104">
        <f>SUM(S691:T691)</f>
        <v/>
      </c>
      <c r="V691" s="12">
        <f>U691/IF(H691="L",35,IF(H691="U",35,IF(H691="O",35,IF(H691="I",35,""))))</f>
        <v/>
      </c>
      <c r="W691" s="132">
        <f>IF(AND(H691="L", V691&gt;=50%), "Pass",
IF(AND(H691="U", V691&gt;=60%), "Pass",
IF(AND(H691="O", V691&gt;=75%), "Pass", "Fail")))</f>
        <v/>
      </c>
      <c r="X691" s="132">
        <f>IF(AND(Q691="Pass", W691="Pass"), "Pass", "Fail")</f>
        <v/>
      </c>
      <c r="Y691" s="15">
        <f>IF($X691="Pass",$H691,
IF(H691="L","I",
IF(H691="U","L",
IF(H691="O","U",
"I"))))</f>
        <v/>
      </c>
      <c r="Z691" s="82" t="n"/>
    </row>
    <row r="692">
      <c r="A692" s="147">
        <f>ROW()-2</f>
        <v/>
      </c>
      <c r="B692" s="127" t="inlineStr">
        <is>
          <t>PK0732</t>
        </is>
      </c>
      <c r="C692" s="128" t="inlineStr">
        <is>
          <t>ARULRAJ R</t>
        </is>
      </c>
      <c r="D692" s="127" t="inlineStr">
        <is>
          <t>PRODUCTION</t>
        </is>
      </c>
      <c r="E692" s="129" t="inlineStr">
        <is>
          <t>TYRE CURING</t>
        </is>
      </c>
      <c r="F692" s="130" t="n">
        <v>42872</v>
      </c>
      <c r="G692" s="131">
        <f>NOW()-F692</f>
        <v/>
      </c>
      <c r="H692" s="104" t="inlineStr">
        <is>
          <t>O</t>
        </is>
      </c>
      <c r="I692" s="104" t="inlineStr">
        <is>
          <t>O</t>
        </is>
      </c>
      <c r="J692" s="104" t="n">
        <v>9</v>
      </c>
      <c r="K692" s="104" t="n">
        <v>8</v>
      </c>
      <c r="L692" s="104" t="n">
        <v>9</v>
      </c>
      <c r="M692" s="104" t="n">
        <v>6</v>
      </c>
      <c r="N692" s="104" t="n"/>
      <c r="O692" s="104">
        <f>SUM(J692:N692)</f>
        <v/>
      </c>
      <c r="P692" s="12">
        <f>O692/IF(H692="L",20,IF(H692="U",30,IF(H692="O",40,IF(H692="I",20,""))))</f>
        <v/>
      </c>
      <c r="Q692" s="132">
        <f>IF(AND(H692="L", P692&gt;=50%), "Pass",
IF(AND(H692="U", P692&gt;=60%), "Pass",
IF(AND(H692="O", P692&gt;=75%), "Pass", "Fail")))</f>
        <v/>
      </c>
      <c r="R692" s="104" t="n"/>
      <c r="S692" s="104" t="n">
        <v>17</v>
      </c>
      <c r="T692" s="104" t="n">
        <v>11</v>
      </c>
      <c r="U692" s="104">
        <f>SUM(S692:T692)</f>
        <v/>
      </c>
      <c r="V692" s="12">
        <f>U692/IF(H692="L",35,IF(H692="U",35,IF(H692="O",35,IF(H692="I",35,""))))</f>
        <v/>
      </c>
      <c r="W692" s="132">
        <f>IF(AND(H692="L", V692&gt;=50%), "Pass",
IF(AND(H692="U", V692&gt;=60%), "Pass",
IF(AND(H692="O", V692&gt;=75%), "Pass", "Fail")))</f>
        <v/>
      </c>
      <c r="X692" s="132">
        <f>IF(AND(Q692="Pass", W692="Pass"), "Pass", "Fail")</f>
        <v/>
      </c>
      <c r="Y692" s="15">
        <f>IF($X692="Pass",$H692,
IF(H692="L","I",
IF(H692="U","L",
IF(H692="O","U",
"I"))))</f>
        <v/>
      </c>
    </row>
    <row r="693">
      <c r="A693" s="147">
        <f>ROW()-2</f>
        <v/>
      </c>
      <c r="B693" s="127" t="inlineStr">
        <is>
          <t>PK0733</t>
        </is>
      </c>
      <c r="C693" s="128" t="inlineStr">
        <is>
          <t>MARI SELVAM S</t>
        </is>
      </c>
      <c r="D693" s="127" t="inlineStr">
        <is>
          <t>PRODUCTION</t>
        </is>
      </c>
      <c r="E693" s="129" t="inlineStr">
        <is>
          <t>TYRE BUILDING-P3</t>
        </is>
      </c>
      <c r="F693" s="130" t="n">
        <v>42873</v>
      </c>
      <c r="G693" s="131">
        <f>NOW()-F693</f>
        <v/>
      </c>
      <c r="H693" s="104" t="inlineStr">
        <is>
          <t>O</t>
        </is>
      </c>
      <c r="I693" s="104" t="inlineStr">
        <is>
          <t>U</t>
        </is>
      </c>
      <c r="J693" s="104" t="n">
        <v>10</v>
      </c>
      <c r="K693" s="104" t="n">
        <v>10</v>
      </c>
      <c r="L693" s="104" t="n">
        <v>7</v>
      </c>
      <c r="M693" s="104" t="n">
        <v>9</v>
      </c>
      <c r="N693" s="104" t="n"/>
      <c r="O693" s="104">
        <f>SUM(J693:N693)</f>
        <v/>
      </c>
      <c r="P693" s="12">
        <f>O693/IF(H693="L",20,IF(H693="U",30,IF(H693="O",40,IF(H693="I",20,""))))</f>
        <v/>
      </c>
      <c r="Q693" s="132">
        <f>IF(AND(H693="L", P693&gt;=50%), "Pass",
IF(AND(H693="U", P693&gt;=60%), "Pass",
IF(AND(H693="O", P693&gt;=75%), "Pass", "Fail")))</f>
        <v/>
      </c>
      <c r="R693" s="104" t="n"/>
      <c r="S693" s="104" t="n">
        <v>18</v>
      </c>
      <c r="T693" s="104" t="n">
        <v>14</v>
      </c>
      <c r="U693" s="104">
        <f>SUM(S693:T693)</f>
        <v/>
      </c>
      <c r="V693" s="12">
        <f>U693/IF(H693="L",35,IF(H693="U",35,IF(H693="O",35,IF(H693="I",35,""))))</f>
        <v/>
      </c>
      <c r="W693" s="132">
        <f>IF(AND(H693="L", V693&gt;=50%), "Pass",
IF(AND(H693="U", V693&gt;=60%), "Pass",
IF(AND(H693="O", V693&gt;=75%), "Pass", "Fail")))</f>
        <v/>
      </c>
      <c r="X693" s="132">
        <f>IF(AND(Q693="Pass", W693="Pass"), "Pass", "Fail")</f>
        <v/>
      </c>
      <c r="Y693" s="15">
        <f>IF($X693="Pass",$H693,
IF(H693="L","I",
IF(H693="U","L",
IF(H693="O","U",
"I"))))</f>
        <v/>
      </c>
    </row>
    <row r="694">
      <c r="A694" s="147">
        <f>ROW()-2</f>
        <v/>
      </c>
      <c r="B694" s="127" t="inlineStr">
        <is>
          <t>AK0524</t>
        </is>
      </c>
      <c r="C694" s="128" t="inlineStr">
        <is>
          <t>SANTHANAKUMAR M</t>
        </is>
      </c>
      <c r="D694" s="127" t="inlineStr">
        <is>
          <t>PRODUCTION</t>
        </is>
      </c>
      <c r="E694" s="129" t="inlineStr">
        <is>
          <t>SOLID TYRE</t>
        </is>
      </c>
      <c r="F694" s="130" t="n">
        <v>42880</v>
      </c>
      <c r="G694" s="131">
        <f>NOW()-F694</f>
        <v/>
      </c>
      <c r="H694" s="104" t="inlineStr">
        <is>
          <t>O</t>
        </is>
      </c>
      <c r="I694" s="104" t="inlineStr">
        <is>
          <t>O</t>
        </is>
      </c>
      <c r="J694" s="104" t="n">
        <v>10</v>
      </c>
      <c r="K694" s="104" t="n">
        <v>7</v>
      </c>
      <c r="L694" s="104" t="n">
        <v>10</v>
      </c>
      <c r="M694" s="104" t="n">
        <v>7</v>
      </c>
      <c r="N694" s="104" t="n"/>
      <c r="O694" s="104">
        <f>SUM(J694:N694)</f>
        <v/>
      </c>
      <c r="P694" s="12">
        <f>O694/IF(H694="L",20,IF(H694="U",30,IF(H694="O",40,IF(H694="I",20,""))))</f>
        <v/>
      </c>
      <c r="Q694" s="132">
        <f>IF(AND(H694="L", P694&gt;=50%), "Pass",
IF(AND(H694="U", P694&gt;=60%), "Pass",
IF(AND(H694="O", P694&gt;=75%), "Pass", "Fail")))</f>
        <v/>
      </c>
      <c r="R694" s="104" t="n"/>
      <c r="S694" s="104" t="n">
        <v>19</v>
      </c>
      <c r="T694" s="104" t="n">
        <v>12</v>
      </c>
      <c r="U694" s="104">
        <f>SUM(S694:T694)</f>
        <v/>
      </c>
      <c r="V694" s="12">
        <f>U694/IF(H694="L",35,IF(H694="U",35,IF(H694="O",35,IF(H694="I",35,""))))</f>
        <v/>
      </c>
      <c r="W694" s="132">
        <f>IF(AND(H694="L", V694&gt;=50%), "Pass",
IF(AND(H694="U", V694&gt;=60%), "Pass",
IF(AND(H694="O", V694&gt;=75%), "Pass", "Fail")))</f>
        <v/>
      </c>
      <c r="X694" s="132">
        <f>IF(AND(Q694="Pass", W694="Pass"), "Pass", "Fail")</f>
        <v/>
      </c>
      <c r="Y694" s="15">
        <f>IF($X694="Pass",$H694,
IF(H694="L","I",
IF(H694="U","L",
IF(H694="O","U",
"I"))))</f>
        <v/>
      </c>
    </row>
    <row r="695">
      <c r="A695" s="147">
        <f>ROW()-2</f>
        <v/>
      </c>
      <c r="B695" s="127" t="inlineStr">
        <is>
          <t>SK2475</t>
        </is>
      </c>
      <c r="C695" s="128" t="inlineStr">
        <is>
          <t>ARUMUGAM R</t>
        </is>
      </c>
      <c r="D695" s="127" t="inlineStr">
        <is>
          <t>PRODUCTION</t>
        </is>
      </c>
      <c r="E695" s="129" t="inlineStr">
        <is>
          <t>TYRE BUILDING-P3</t>
        </is>
      </c>
      <c r="F695" s="130" t="n">
        <v>42880</v>
      </c>
      <c r="G695" s="131">
        <f>NOW()-F695</f>
        <v/>
      </c>
      <c r="H695" s="104" t="inlineStr">
        <is>
          <t>O</t>
        </is>
      </c>
      <c r="I695" s="104" t="inlineStr">
        <is>
          <t>O</t>
        </is>
      </c>
      <c r="J695" s="104" t="n">
        <v>10</v>
      </c>
      <c r="K695" s="104" t="n">
        <v>8</v>
      </c>
      <c r="L695" s="104" t="n">
        <v>5</v>
      </c>
      <c r="M695" s="104" t="n">
        <v>10</v>
      </c>
      <c r="N695" s="104" t="n"/>
      <c r="O695" s="104">
        <f>SUM(J695:N695)</f>
        <v/>
      </c>
      <c r="P695" s="12">
        <f>O695/IF(H695="L",20,IF(H695="U",30,IF(H695="O",40,IF(H695="I",20,""))))</f>
        <v/>
      </c>
      <c r="Q695" s="132">
        <f>IF(AND(H695="L", P695&gt;=50%), "Pass",
IF(AND(H695="U", P695&gt;=60%), "Pass",
IF(AND(H695="O", P695&gt;=75%), "Pass", "Fail")))</f>
        <v/>
      </c>
      <c r="R695" s="104" t="n"/>
      <c r="S695" s="104" t="n">
        <v>17</v>
      </c>
      <c r="T695" s="104" t="n">
        <v>15</v>
      </c>
      <c r="U695" s="104">
        <f>SUM(S695:T695)</f>
        <v/>
      </c>
      <c r="V695" s="12">
        <f>U695/IF(H695="L",35,IF(H695="U",35,IF(H695="O",35,IF(H695="I",35,""))))</f>
        <v/>
      </c>
      <c r="W695" s="132">
        <f>IF(AND(H695="L", V695&gt;=50%), "Pass",
IF(AND(H695="U", V695&gt;=60%), "Pass",
IF(AND(H695="O", V695&gt;=75%), "Pass", "Fail")))</f>
        <v/>
      </c>
      <c r="X695" s="132">
        <f>IF(AND(Q695="Pass", W695="Pass"), "Pass", "Fail")</f>
        <v/>
      </c>
      <c r="Y695" s="15">
        <f>IF($X695="Pass",$H695,
IF(H695="L","I",
IF(H695="U","L",
IF(H695="O","U",
"I"))))</f>
        <v/>
      </c>
    </row>
    <row r="696">
      <c r="A696" s="147">
        <f>ROW()-2</f>
        <v/>
      </c>
      <c r="B696" s="127" t="inlineStr">
        <is>
          <t>SR0678</t>
        </is>
      </c>
      <c r="C696" s="128" t="inlineStr">
        <is>
          <t>MURUGESH C</t>
        </is>
      </c>
      <c r="D696" s="127" t="inlineStr">
        <is>
          <t>PRODUCTION</t>
        </is>
      </c>
      <c r="E696" s="129" t="inlineStr">
        <is>
          <t>TYRE BUILDING-P3</t>
        </is>
      </c>
      <c r="F696" s="130" t="n">
        <v>42884</v>
      </c>
      <c r="G696" s="131">
        <f>NOW()-F696</f>
        <v/>
      </c>
      <c r="H696" s="104" t="inlineStr">
        <is>
          <t>O</t>
        </is>
      </c>
      <c r="I696" s="104" t="inlineStr">
        <is>
          <t>O</t>
        </is>
      </c>
      <c r="J696" s="104" t="n">
        <v>10</v>
      </c>
      <c r="K696" s="104" t="n">
        <v>10</v>
      </c>
      <c r="L696" s="104" t="n">
        <v>8</v>
      </c>
      <c r="M696" s="104" t="n">
        <v>9</v>
      </c>
      <c r="N696" s="104" t="n"/>
      <c r="O696" s="104">
        <f>SUM(J696:N696)</f>
        <v/>
      </c>
      <c r="P696" s="12">
        <f>O696/IF(H696="L",20,IF(H696="U",30,IF(H696="O",40,IF(H696="I",20,""))))</f>
        <v/>
      </c>
      <c r="Q696" s="132">
        <f>IF(AND(H696="L", P696&gt;=50%), "Pass",
IF(AND(H696="U", P696&gt;=60%), "Pass",
IF(AND(H696="O", P696&gt;=75%), "Pass", "Fail")))</f>
        <v/>
      </c>
      <c r="R696" s="104" t="n"/>
      <c r="S696" s="104" t="n">
        <v>18</v>
      </c>
      <c r="T696" s="104" t="n">
        <v>15</v>
      </c>
      <c r="U696" s="104">
        <f>SUM(S696:T696)</f>
        <v/>
      </c>
      <c r="V696" s="12">
        <f>U696/IF(H696="L",35,IF(H696="U",35,IF(H696="O",35,IF(H696="I",35,""))))</f>
        <v/>
      </c>
      <c r="W696" s="132">
        <f>IF(AND(H696="L", V696&gt;=50%), "Pass",
IF(AND(H696="U", V696&gt;=60%), "Pass",
IF(AND(H696="O", V696&gt;=75%), "Pass", "Fail")))</f>
        <v/>
      </c>
      <c r="X696" s="132">
        <f>IF(AND(Q696="Pass", W696="Pass"), "Pass", "Fail")</f>
        <v/>
      </c>
      <c r="Y696" s="15">
        <f>IF($X696="Pass",$H696,
IF(H696="L","I",
IF(H696="U","L",
IF(H696="O","U",
"I"))))</f>
        <v/>
      </c>
    </row>
    <row r="697">
      <c r="A697" s="147">
        <f>ROW()-2</f>
        <v/>
      </c>
      <c r="B697" s="127" t="inlineStr">
        <is>
          <t>SR0680</t>
        </is>
      </c>
      <c r="C697" s="128" t="inlineStr">
        <is>
          <t>MURUGAN P</t>
        </is>
      </c>
      <c r="D697" s="127" t="inlineStr">
        <is>
          <t>PRODUCTION</t>
        </is>
      </c>
      <c r="E697" s="129" t="inlineStr">
        <is>
          <t>TYRE BUILDING-P3</t>
        </is>
      </c>
      <c r="F697" s="130" t="n">
        <v>42884</v>
      </c>
      <c r="G697" s="131">
        <f>NOW()-F697</f>
        <v/>
      </c>
      <c r="H697" s="104" t="inlineStr">
        <is>
          <t>O</t>
        </is>
      </c>
      <c r="I697" s="104" t="inlineStr">
        <is>
          <t>O</t>
        </is>
      </c>
      <c r="J697" s="104" t="n">
        <v>8</v>
      </c>
      <c r="K697" s="104" t="n">
        <v>10</v>
      </c>
      <c r="L697" s="104" t="n">
        <v>7</v>
      </c>
      <c r="M697" s="104" t="n">
        <v>8</v>
      </c>
      <c r="N697" s="104" t="n"/>
      <c r="O697" s="104">
        <f>SUM(J697:N697)</f>
        <v/>
      </c>
      <c r="P697" s="12">
        <f>O697/IF(H697="L",20,IF(H697="U",30,IF(H697="O",40,IF(H697="I",20,""))))</f>
        <v/>
      </c>
      <c r="Q697" s="132">
        <f>IF(AND(H697="L", P697&gt;=50%), "Pass",
IF(AND(H697="U", P697&gt;=60%), "Pass",
IF(AND(H697="O", P697&gt;=75%), "Pass", "Fail")))</f>
        <v/>
      </c>
      <c r="R697" s="104" t="n"/>
      <c r="S697" s="104" t="n">
        <v>18</v>
      </c>
      <c r="T697" s="104" t="n">
        <v>15</v>
      </c>
      <c r="U697" s="104">
        <f>SUM(S697:T697)</f>
        <v/>
      </c>
      <c r="V697" s="12">
        <f>U697/IF(H697="L",35,IF(H697="U",35,IF(H697="O",35,IF(H697="I",35,""))))</f>
        <v/>
      </c>
      <c r="W697" s="132">
        <f>IF(AND(H697="L", V697&gt;=50%), "Pass",
IF(AND(H697="U", V697&gt;=60%), "Pass",
IF(AND(H697="O", V697&gt;=75%), "Pass", "Fail")))</f>
        <v/>
      </c>
      <c r="X697" s="132">
        <f>IF(AND(Q697="Pass", W697="Pass"), "Pass", "Fail")</f>
        <v/>
      </c>
      <c r="Y697" s="15">
        <f>IF($X697="Pass",$H697,
IF(H697="L","I",
IF(H697="U","L",
IF(H697="O","U",
"I"))))</f>
        <v/>
      </c>
    </row>
    <row r="698">
      <c r="A698" s="147">
        <f>ROW()-2</f>
        <v/>
      </c>
      <c r="B698" s="127" t="inlineStr">
        <is>
          <t>MG1022</t>
        </is>
      </c>
      <c r="C698" s="128" t="inlineStr">
        <is>
          <t>ARUNKUMAR M</t>
        </is>
      </c>
      <c r="D698" s="127" t="inlineStr">
        <is>
          <t>PRODUCTION</t>
        </is>
      </c>
      <c r="E698" s="129" t="inlineStr">
        <is>
          <t>TYRE BUILDING-P3</t>
        </is>
      </c>
      <c r="F698" s="130" t="n">
        <v>42887</v>
      </c>
      <c r="G698" s="131">
        <f>NOW()-F698</f>
        <v/>
      </c>
      <c r="H698" s="104" t="inlineStr">
        <is>
          <t>O</t>
        </is>
      </c>
      <c r="I698" s="104" t="inlineStr">
        <is>
          <t>U</t>
        </is>
      </c>
      <c r="J698" s="104" t="n">
        <v>10</v>
      </c>
      <c r="K698" s="104" t="n">
        <v>10</v>
      </c>
      <c r="L698" s="104" t="n">
        <v>8</v>
      </c>
      <c r="M698" s="104" t="n">
        <v>10</v>
      </c>
      <c r="N698" s="104" t="n"/>
      <c r="O698" s="104">
        <f>SUM(J698:N698)</f>
        <v/>
      </c>
      <c r="P698" s="12">
        <f>O698/IF(H698="L",20,IF(H698="U",30,IF(H698="O",40,IF(H698="I",20,""))))</f>
        <v/>
      </c>
      <c r="Q698" s="132">
        <f>IF(AND(H698="L", P698&gt;=50%), "Pass",
IF(AND(H698="U", P698&gt;=60%), "Pass",
IF(AND(H698="O", P698&gt;=75%), "Pass", "Fail")))</f>
        <v/>
      </c>
      <c r="R698" s="104" t="n"/>
      <c r="S698" s="104" t="n">
        <v>18</v>
      </c>
      <c r="T698" s="104" t="n">
        <v>15</v>
      </c>
      <c r="U698" s="104">
        <f>SUM(S698:T698)</f>
        <v/>
      </c>
      <c r="V698" s="12">
        <f>U698/IF(H698="L",35,IF(H698="U",35,IF(H698="O",35,IF(H698="I",35,""))))</f>
        <v/>
      </c>
      <c r="W698" s="132">
        <f>IF(AND(H698="L", V698&gt;=50%), "Pass",
IF(AND(H698="U", V698&gt;=60%), "Pass",
IF(AND(H698="O", V698&gt;=75%), "Pass", "Fail")))</f>
        <v/>
      </c>
      <c r="X698" s="132">
        <f>IF(AND(Q698="Pass", W698="Pass"), "Pass", "Fail")</f>
        <v/>
      </c>
      <c r="Y698" s="15">
        <f>IF($X698="Pass",$H698,
IF(H698="L","I",
IF(H698="U","L",
IF(H698="O","U",
"I"))))</f>
        <v/>
      </c>
    </row>
    <row r="699">
      <c r="A699" s="147">
        <f>ROW()-2</f>
        <v/>
      </c>
      <c r="B699" s="127" t="inlineStr">
        <is>
          <t>PK0739</t>
        </is>
      </c>
      <c r="C699" s="128" t="inlineStr">
        <is>
          <t>CHINNA DURAI S</t>
        </is>
      </c>
      <c r="D699" s="127" t="inlineStr">
        <is>
          <t>PRODUCTION</t>
        </is>
      </c>
      <c r="E699" s="129" t="inlineStr">
        <is>
          <t>TYRE BUILDING-P3</t>
        </is>
      </c>
      <c r="F699" s="130" t="n">
        <v>42887</v>
      </c>
      <c r="G699" s="131">
        <f>NOW()-F699</f>
        <v/>
      </c>
      <c r="H699" s="104" t="inlineStr">
        <is>
          <t>O</t>
        </is>
      </c>
      <c r="I699" s="104" t="inlineStr">
        <is>
          <t>O</t>
        </is>
      </c>
      <c r="J699" s="104" t="n">
        <v>10</v>
      </c>
      <c r="K699" s="104" t="n">
        <v>8</v>
      </c>
      <c r="L699" s="104" t="n">
        <v>3</v>
      </c>
      <c r="M699" s="104" t="n">
        <v>8</v>
      </c>
      <c r="N699" s="104" t="n"/>
      <c r="O699" s="104">
        <f>SUM(J699:N699)</f>
        <v/>
      </c>
      <c r="P699" s="12">
        <f>O699/IF(H699="L",20,IF(H699="U",30,IF(H699="O",40,IF(H699="I",20,""))))</f>
        <v/>
      </c>
      <c r="Q699" s="132">
        <f>IF(AND(H699="L", P699&gt;=50%), "Pass",
IF(AND(H699="U", P699&gt;=60%), "Pass",
IF(AND(H699="O", P699&gt;=75%), "Pass", "Fail")))</f>
        <v/>
      </c>
      <c r="R699" s="104" t="n"/>
      <c r="S699" s="104" t="n">
        <v>19</v>
      </c>
      <c r="T699" s="104" t="n">
        <v>15</v>
      </c>
      <c r="U699" s="104">
        <f>SUM(S699:T699)</f>
        <v/>
      </c>
      <c r="V699" s="12">
        <f>U699/IF(H699="L",35,IF(H699="U",35,IF(H699="O",35,IF(H699="I",35,""))))</f>
        <v/>
      </c>
      <c r="W699" s="132">
        <f>IF(AND(H699="L", V699&gt;=50%), "Pass",
IF(AND(H699="U", V699&gt;=60%), "Pass",
IF(AND(H699="O", V699&gt;=75%), "Pass", "Fail")))</f>
        <v/>
      </c>
      <c r="X699" s="132">
        <f>IF(AND(Q699="Pass", W699="Pass"), "Pass", "Fail")</f>
        <v/>
      </c>
      <c r="Y699" s="15">
        <f>IF($X699="Pass",$H699,
IF(H699="L","I",
IF(H699="U","L",
IF(H699="O","U",
"I"))))</f>
        <v/>
      </c>
    </row>
    <row r="700">
      <c r="A700" s="147">
        <f>ROW()-2</f>
        <v/>
      </c>
      <c r="B700" s="127" t="inlineStr">
        <is>
          <t>SR0681</t>
        </is>
      </c>
      <c r="C700" s="128" t="inlineStr">
        <is>
          <t>ULAGAN R</t>
        </is>
      </c>
      <c r="D700" s="127" t="inlineStr">
        <is>
          <t>PRODUCTION</t>
        </is>
      </c>
      <c r="E700" s="129" t="inlineStr">
        <is>
          <t>BAND BUILDING-P1</t>
        </is>
      </c>
      <c r="F700" s="130" t="n">
        <v>42887</v>
      </c>
      <c r="G700" s="131">
        <f>NOW()-F700</f>
        <v/>
      </c>
      <c r="H700" s="104" t="inlineStr">
        <is>
          <t>O</t>
        </is>
      </c>
      <c r="I700" s="104" t="inlineStr">
        <is>
          <t>O</t>
        </is>
      </c>
      <c r="J700" s="104" t="n">
        <v>10</v>
      </c>
      <c r="K700" s="104" t="n">
        <v>9</v>
      </c>
      <c r="L700" s="104" t="n">
        <v>7</v>
      </c>
      <c r="M700" s="104" t="n">
        <v>7</v>
      </c>
      <c r="N700" s="104" t="n"/>
      <c r="O700" s="104">
        <f>SUM(J700:N700)</f>
        <v/>
      </c>
      <c r="P700" s="12">
        <f>O700/IF(H700="L",20,IF(H700="U",30,IF(H700="O",40,IF(H700="I",20,""))))</f>
        <v/>
      </c>
      <c r="Q700" s="132">
        <f>IF(AND(H700="L", P700&gt;=50%), "Pass",
IF(AND(H700="U", P700&gt;=60%), "Pass",
IF(AND(H700="O", P700&gt;=75%), "Pass", "Fail")))</f>
        <v/>
      </c>
      <c r="R700" s="104" t="n"/>
      <c r="S700" s="104" t="n">
        <v>18</v>
      </c>
      <c r="T700" s="104" t="n">
        <v>15</v>
      </c>
      <c r="U700" s="104">
        <f>SUM(S700:T700)</f>
        <v/>
      </c>
      <c r="V700" s="12">
        <f>U700/IF(H700="L",35,IF(H700="U",35,IF(H700="O",35,IF(H700="I",35,""))))</f>
        <v/>
      </c>
      <c r="W700" s="132">
        <f>IF(AND(H700="L", V700&gt;=50%), "Pass",
IF(AND(H700="U", V700&gt;=60%), "Pass",
IF(AND(H700="O", V700&gt;=75%), "Pass", "Fail")))</f>
        <v/>
      </c>
      <c r="X700" s="132">
        <f>IF(AND(Q700="Pass", W700="Pass"), "Pass", "Fail")</f>
        <v/>
      </c>
      <c r="Y700" s="15">
        <f>IF($X700="Pass",$H700,
IF(H700="L","I",
IF(H700="U","L",
IF(H700="O","U",
"I"))))</f>
        <v/>
      </c>
    </row>
    <row r="701">
      <c r="A701" s="147">
        <f>ROW()-2</f>
        <v/>
      </c>
      <c r="B701" s="127" t="inlineStr">
        <is>
          <t>SR0685</t>
        </is>
      </c>
      <c r="C701" s="128" t="inlineStr">
        <is>
          <t>STEPHEN LAYANAL M</t>
        </is>
      </c>
      <c r="D701" s="127" t="inlineStr">
        <is>
          <t>PRODUCTION</t>
        </is>
      </c>
      <c r="E701" s="129" t="inlineStr">
        <is>
          <t>TYRE BUILDING-P3</t>
        </is>
      </c>
      <c r="F701" s="130" t="n">
        <v>42887</v>
      </c>
      <c r="G701" s="131">
        <f>NOW()-F701</f>
        <v/>
      </c>
      <c r="H701" s="104" t="inlineStr">
        <is>
          <t>O</t>
        </is>
      </c>
      <c r="I701" s="104" t="inlineStr">
        <is>
          <t>U</t>
        </is>
      </c>
      <c r="J701" s="104" t="n">
        <v>9</v>
      </c>
      <c r="K701" s="104" t="n">
        <v>8</v>
      </c>
      <c r="L701" s="104" t="n">
        <v>5</v>
      </c>
      <c r="M701" s="104" t="n">
        <v>9</v>
      </c>
      <c r="N701" s="104" t="n"/>
      <c r="O701" s="104">
        <f>SUM(J701:N701)</f>
        <v/>
      </c>
      <c r="P701" s="12">
        <f>O701/IF(H701="L",20,IF(H701="U",30,IF(H701="O",40,IF(H701="I",20,""))))</f>
        <v/>
      </c>
      <c r="Q701" s="132">
        <f>IF(AND(H701="L", P701&gt;=50%), "Pass",
IF(AND(H701="U", P701&gt;=60%), "Pass",
IF(AND(H701="O", P701&gt;=75%), "Pass", "Fail")))</f>
        <v/>
      </c>
      <c r="R701" s="104" t="n"/>
      <c r="S701" s="104" t="n">
        <v>17</v>
      </c>
      <c r="T701" s="104" t="n">
        <v>14</v>
      </c>
      <c r="U701" s="104">
        <f>SUM(S701:T701)</f>
        <v/>
      </c>
      <c r="V701" s="12">
        <f>U701/IF(H701="L",35,IF(H701="U",35,IF(H701="O",35,IF(H701="I",35,""))))</f>
        <v/>
      </c>
      <c r="W701" s="132">
        <f>IF(AND(H701="L", V701&gt;=50%), "Pass",
IF(AND(H701="U", V701&gt;=60%), "Pass",
IF(AND(H701="O", V701&gt;=75%), "Pass", "Fail")))</f>
        <v/>
      </c>
      <c r="X701" s="132">
        <f>IF(AND(Q701="Pass", W701="Pass"), "Pass", "Fail")</f>
        <v/>
      </c>
      <c r="Y701" s="15">
        <f>IF($X701="Pass",$H701,
IF(H701="L","I",
IF(H701="U","L",
IF(H701="O","U",
"I"))))</f>
        <v/>
      </c>
    </row>
    <row r="702">
      <c r="A702" s="147">
        <f>ROW()-2</f>
        <v/>
      </c>
      <c r="B702" s="127" t="inlineStr">
        <is>
          <t>AK0539</t>
        </is>
      </c>
      <c r="C702" s="128" t="inlineStr">
        <is>
          <t>MUTHU SELVAN S</t>
        </is>
      </c>
      <c r="D702" s="127" t="inlineStr">
        <is>
          <t>PRODUCTION</t>
        </is>
      </c>
      <c r="E702" s="129" t="inlineStr">
        <is>
          <t>BIAS CUTTING-2</t>
        </is>
      </c>
      <c r="F702" s="130" t="n">
        <v>42896</v>
      </c>
      <c r="G702" s="131">
        <f>NOW()-F702</f>
        <v/>
      </c>
      <c r="H702" s="104" t="inlineStr">
        <is>
          <t>O</t>
        </is>
      </c>
      <c r="I702" s="104" t="inlineStr">
        <is>
          <t>O</t>
        </is>
      </c>
      <c r="J702" s="104" t="n">
        <v>10</v>
      </c>
      <c r="K702" s="104" t="n">
        <v>8</v>
      </c>
      <c r="L702" s="104" t="n">
        <v>6</v>
      </c>
      <c r="M702" s="104" t="n">
        <v>8</v>
      </c>
      <c r="N702" s="104" t="n"/>
      <c r="O702" s="104">
        <f>SUM(J702:N702)</f>
        <v/>
      </c>
      <c r="P702" s="12">
        <f>O702/IF(H702="L",20,IF(H702="U",30,IF(H702="O",40,IF(H702="I",20,""))))</f>
        <v/>
      </c>
      <c r="Q702" s="132">
        <f>IF(AND(H702="L", P702&gt;=50%), "Pass",
IF(AND(H702="U", P702&gt;=60%), "Pass",
IF(AND(H702="O", P702&gt;=75%), "Pass", "Fail")))</f>
        <v/>
      </c>
      <c r="R702" s="104" t="n"/>
      <c r="S702" s="104" t="n">
        <v>17</v>
      </c>
      <c r="T702" s="104" t="n">
        <v>10</v>
      </c>
      <c r="U702" s="104">
        <f>SUM(S702:T702)</f>
        <v/>
      </c>
      <c r="V702" s="12">
        <f>U702/IF(H702="L",35,IF(H702="U",35,IF(H702="O",35,IF(H702="I",35,""))))</f>
        <v/>
      </c>
      <c r="W702" s="132">
        <f>IF(AND(H702="L", V702&gt;=50%), "Pass",
IF(AND(H702="U", V702&gt;=60%), "Pass",
IF(AND(H702="O", V702&gt;=75%), "Pass", "Fail")))</f>
        <v/>
      </c>
      <c r="X702" s="132">
        <f>IF(AND(Q702="Pass", W702="Pass"), "Pass", "Fail")</f>
        <v/>
      </c>
      <c r="Y702" s="15">
        <f>IF($X702="Pass",$H702,
IF(H702="L","I",
IF(H702="U","L",
IF(H702="O","U",
"I"))))</f>
        <v/>
      </c>
      <c r="Z702" s="81">
        <f>V702-75%</f>
        <v/>
      </c>
    </row>
    <row r="703">
      <c r="A703" s="147">
        <f>ROW()-2</f>
        <v/>
      </c>
      <c r="B703" s="127" t="inlineStr">
        <is>
          <t>SK2502</t>
        </is>
      </c>
      <c r="C703" s="128" t="inlineStr">
        <is>
          <t>RAJIV GANDHI S</t>
        </is>
      </c>
      <c r="D703" s="127" t="inlineStr">
        <is>
          <t>PRODUCTION</t>
        </is>
      </c>
      <c r="E703" s="129" t="inlineStr">
        <is>
          <t>TYRE CURING</t>
        </is>
      </c>
      <c r="F703" s="130" t="n">
        <v>42896</v>
      </c>
      <c r="G703" s="131">
        <f>NOW()-F703</f>
        <v/>
      </c>
      <c r="H703" s="104" t="inlineStr">
        <is>
          <t>O</t>
        </is>
      </c>
      <c r="I703" s="104" t="inlineStr">
        <is>
          <t>U</t>
        </is>
      </c>
      <c r="J703" s="104" t="n">
        <v>9</v>
      </c>
      <c r="K703" s="104" t="n">
        <v>9</v>
      </c>
      <c r="L703" s="104" t="n">
        <v>8</v>
      </c>
      <c r="M703" s="104" t="n">
        <v>6</v>
      </c>
      <c r="N703" s="104" t="n"/>
      <c r="O703" s="104">
        <f>SUM(J703:N703)</f>
        <v/>
      </c>
      <c r="P703" s="12">
        <f>O703/IF(H703="L",20,IF(H703="U",30,IF(H703="O",40,IF(H703="I",20,""))))</f>
        <v/>
      </c>
      <c r="Q703" s="132">
        <f>IF(AND(H703="L", P703&gt;=50%), "Pass",
IF(AND(H703="U", P703&gt;=60%), "Pass",
IF(AND(H703="O", P703&gt;=75%), "Pass", "Fail")))</f>
        <v/>
      </c>
      <c r="R703" s="104" t="n"/>
      <c r="S703" s="104" t="n">
        <v>12</v>
      </c>
      <c r="T703" s="104" t="n">
        <v>11</v>
      </c>
      <c r="U703" s="104">
        <f>SUM(S703:T703)</f>
        <v/>
      </c>
      <c r="V703" s="12">
        <f>U703/IF(H703="L",35,IF(H703="U",35,IF(H703="O",35,IF(H703="I",35,""))))</f>
        <v/>
      </c>
      <c r="W703" s="132">
        <f>IF(AND(H703="L", V703&gt;=50%), "Pass",
IF(AND(H703="U", V703&gt;=60%), "Pass",
IF(AND(H703="O", V703&gt;=75%), "Pass", "Fail")))</f>
        <v/>
      </c>
      <c r="X703" s="132">
        <f>IF(AND(Q703="Pass", W703="Pass"), "Pass", "Fail")</f>
        <v/>
      </c>
      <c r="Y703" s="15">
        <f>IF($X703="Pass",$H703,
IF(H703="L","I",
IF(H703="U","L",
IF(H703="O","U",
"I"))))</f>
        <v/>
      </c>
    </row>
    <row r="704">
      <c r="A704" s="147">
        <f>ROW()-2</f>
        <v/>
      </c>
      <c r="B704" s="127" t="inlineStr">
        <is>
          <t>SR0701</t>
        </is>
      </c>
      <c r="C704" s="128" t="inlineStr">
        <is>
          <t>MAHARAJA K</t>
        </is>
      </c>
      <c r="D704" s="127" t="inlineStr">
        <is>
          <t>PRODUCTION</t>
        </is>
      </c>
      <c r="E704" s="129" t="inlineStr">
        <is>
          <t>EXTRUDER</t>
        </is>
      </c>
      <c r="F704" s="130" t="n">
        <v>42896</v>
      </c>
      <c r="G704" s="131">
        <f>NOW()-F704</f>
        <v/>
      </c>
      <c r="H704" s="104" t="inlineStr">
        <is>
          <t>O</t>
        </is>
      </c>
      <c r="I704" s="104" t="inlineStr">
        <is>
          <t>U</t>
        </is>
      </c>
      <c r="J704" s="104" t="n">
        <v>9</v>
      </c>
      <c r="K704" s="104" t="n">
        <v>8</v>
      </c>
      <c r="L704" s="104" t="n">
        <v>8</v>
      </c>
      <c r="M704" s="104" t="n">
        <v>5</v>
      </c>
      <c r="N704" s="104" t="n"/>
      <c r="O704" s="104">
        <f>SUM(J704:N704)</f>
        <v/>
      </c>
      <c r="P704" s="12">
        <f>O704/IF(H704="L",20,IF(H704="U",30,IF(H704="O",40,IF(H704="I",20,""))))</f>
        <v/>
      </c>
      <c r="Q704" s="132">
        <f>IF(AND(H704="L", P704&gt;=50%), "Pass",
IF(AND(H704="U", P704&gt;=60%), "Pass",
IF(AND(H704="O", P704&gt;=75%), "Pass", "Fail")))</f>
        <v/>
      </c>
      <c r="R704" s="104" t="n"/>
      <c r="S704" s="104" t="n">
        <v>14</v>
      </c>
      <c r="T704" s="104" t="n">
        <v>13</v>
      </c>
      <c r="U704" s="104">
        <f>SUM(S704:T704)</f>
        <v/>
      </c>
      <c r="V704" s="12">
        <f>U704/IF(H704="L",35,IF(H704="U",35,IF(H704="O",35,IF(H704="I",35,""))))</f>
        <v/>
      </c>
      <c r="W704" s="132">
        <f>IF(AND(H704="L", V704&gt;=50%), "Pass",
IF(AND(H704="U", V704&gt;=60%), "Pass",
IF(AND(H704="O", V704&gt;=75%), "Pass", "Fail")))</f>
        <v/>
      </c>
      <c r="X704" s="132">
        <f>IF(AND(Q704="Pass", W704="Pass"), "Pass", "Fail")</f>
        <v/>
      </c>
      <c r="Y704" s="15">
        <f>IF($X704="Pass",$H704,
IF(H704="L","I",
IF(H704="U","L",
IF(H704="O","U",
"I"))))</f>
        <v/>
      </c>
    </row>
    <row r="705">
      <c r="A705" s="147">
        <f>ROW()-2</f>
        <v/>
      </c>
      <c r="B705" s="127" t="inlineStr">
        <is>
          <t>SR0703</t>
        </is>
      </c>
      <c r="C705" s="128" t="inlineStr">
        <is>
          <t>SELVAKUMAR F</t>
        </is>
      </c>
      <c r="D705" s="127" t="inlineStr">
        <is>
          <t>PRODUCTION</t>
        </is>
      </c>
      <c r="E705" s="129" t="inlineStr">
        <is>
          <t>TYRE CURING</t>
        </is>
      </c>
      <c r="F705" s="130" t="n">
        <v>42896</v>
      </c>
      <c r="G705" s="131">
        <f>NOW()-F705</f>
        <v/>
      </c>
      <c r="H705" s="104" t="inlineStr">
        <is>
          <t>O</t>
        </is>
      </c>
      <c r="I705" s="104" t="inlineStr">
        <is>
          <t>O</t>
        </is>
      </c>
      <c r="J705" s="104" t="n">
        <v>10</v>
      </c>
      <c r="K705" s="104" t="n">
        <v>9</v>
      </c>
      <c r="L705" s="104" t="n">
        <v>9</v>
      </c>
      <c r="M705" s="104" t="n">
        <v>6</v>
      </c>
      <c r="N705" s="104" t="n"/>
      <c r="O705" s="104">
        <f>SUM(J705:N705)</f>
        <v/>
      </c>
      <c r="P705" s="12">
        <f>O705/IF(H705="L",20,IF(H705="U",30,IF(H705="O",40,IF(H705="I",20,""))))</f>
        <v/>
      </c>
      <c r="Q705" s="132">
        <f>IF(AND(H705="L", P705&gt;=50%), "Pass",
IF(AND(H705="U", P705&gt;=60%), "Pass",
IF(AND(H705="O", P705&gt;=75%), "Pass", "Fail")))</f>
        <v/>
      </c>
      <c r="R705" s="104" t="n"/>
      <c r="S705" s="104" t="n">
        <v>17</v>
      </c>
      <c r="T705" s="104" t="n">
        <v>12</v>
      </c>
      <c r="U705" s="104">
        <f>SUM(S705:T705)</f>
        <v/>
      </c>
      <c r="V705" s="12">
        <f>U705/IF(H705="L",35,IF(H705="U",35,IF(H705="O",35,IF(H705="I",35,""))))</f>
        <v/>
      </c>
      <c r="W705" s="132">
        <f>IF(AND(H705="L", V705&gt;=50%), "Pass",
IF(AND(H705="U", V705&gt;=60%), "Pass",
IF(AND(H705="O", V705&gt;=75%), "Pass", "Fail")))</f>
        <v/>
      </c>
      <c r="X705" s="132">
        <f>IF(AND(Q705="Pass", W705="Pass"), "Pass", "Fail")</f>
        <v/>
      </c>
      <c r="Y705" s="15">
        <f>IF($X705="Pass",$H705,
IF(H705="L","I",
IF(H705="U","L",
IF(H705="O","U",
"I"))))</f>
        <v/>
      </c>
    </row>
    <row r="706">
      <c r="A706" s="147">
        <f>ROW()-2</f>
        <v/>
      </c>
      <c r="B706" s="127" t="inlineStr">
        <is>
          <t>SR0711</t>
        </is>
      </c>
      <c r="C706" s="128" t="inlineStr">
        <is>
          <t>MUNEESWARAN A</t>
        </is>
      </c>
      <c r="D706" s="127" t="inlineStr">
        <is>
          <t>PRODUCTION</t>
        </is>
      </c>
      <c r="E706" s="129" t="inlineStr">
        <is>
          <t>TYRE CURING</t>
        </is>
      </c>
      <c r="F706" s="130" t="n">
        <v>42902</v>
      </c>
      <c r="G706" s="131">
        <f>NOW()-F706</f>
        <v/>
      </c>
      <c r="H706" s="104" t="inlineStr">
        <is>
          <t>O</t>
        </is>
      </c>
      <c r="I706" s="104" t="inlineStr">
        <is>
          <t>U</t>
        </is>
      </c>
      <c r="J706" s="104" t="n">
        <v>10</v>
      </c>
      <c r="K706" s="104" t="n">
        <v>9</v>
      </c>
      <c r="L706" s="104" t="n">
        <v>8</v>
      </c>
      <c r="M706" s="104" t="n">
        <v>8</v>
      </c>
      <c r="N706" s="104" t="n"/>
      <c r="O706" s="104">
        <f>SUM(J706:N706)</f>
        <v/>
      </c>
      <c r="P706" s="12">
        <f>O706/IF(H706="L",20,IF(H706="U",30,IF(H706="O",40,IF(H706="I",20,""))))</f>
        <v/>
      </c>
      <c r="Q706" s="132">
        <f>IF(AND(H706="L", P706&gt;=50%), "Pass",
IF(AND(H706="U", P706&gt;=60%), "Pass",
IF(AND(H706="O", P706&gt;=75%), "Pass", "Fail")))</f>
        <v/>
      </c>
      <c r="R706" s="104" t="n"/>
      <c r="S706" s="104" t="n">
        <v>14</v>
      </c>
      <c r="T706" s="104" t="n">
        <v>10</v>
      </c>
      <c r="U706" s="104">
        <f>SUM(S706:T706)</f>
        <v/>
      </c>
      <c r="V706" s="12">
        <f>U706/IF(H706="L",35,IF(H706="U",35,IF(H706="O",35,IF(H706="I",35,""))))</f>
        <v/>
      </c>
      <c r="W706" s="132">
        <f>IF(AND(H706="L", V706&gt;=50%), "Pass",
IF(AND(H706="U", V706&gt;=60%), "Pass",
IF(AND(H706="O", V706&gt;=75%), "Pass", "Fail")))</f>
        <v/>
      </c>
      <c r="X706" s="132">
        <f>IF(AND(Q706="Pass", W706="Pass"), "Pass", "Fail")</f>
        <v/>
      </c>
      <c r="Y706" s="15">
        <f>IF($X706="Pass",$H706,
IF(H706="L","I",
IF(H706="U","L",
IF(H706="O","U",
"I"))))</f>
        <v/>
      </c>
    </row>
    <row r="707">
      <c r="A707" s="147">
        <f>ROW()-2</f>
        <v/>
      </c>
      <c r="B707" s="133" t="inlineStr">
        <is>
          <t>AK0552</t>
        </is>
      </c>
      <c r="C707" s="148" t="inlineStr">
        <is>
          <t>MANIKANDAN A</t>
        </is>
      </c>
      <c r="D707" s="127" t="inlineStr">
        <is>
          <t>PRODUCTION</t>
        </is>
      </c>
      <c r="E707" s="135" t="inlineStr">
        <is>
          <t>BIAS CUTTING-5</t>
        </is>
      </c>
      <c r="F707" s="136" t="n">
        <v>42912</v>
      </c>
      <c r="G707" s="131">
        <f>NOW()-F707</f>
        <v/>
      </c>
      <c r="H707" s="104" t="inlineStr">
        <is>
          <t>O</t>
        </is>
      </c>
      <c r="I707" s="104" t="inlineStr">
        <is>
          <t>U</t>
        </is>
      </c>
      <c r="J707" s="104" t="n">
        <v>10</v>
      </c>
      <c r="K707" s="104" t="n">
        <v>9</v>
      </c>
      <c r="L707" s="104" t="n">
        <v>9</v>
      </c>
      <c r="M707" s="104" t="n">
        <v>9</v>
      </c>
      <c r="N707" s="104" t="n"/>
      <c r="O707" s="104">
        <f>SUM(J707:N707)</f>
        <v/>
      </c>
      <c r="P707" s="12">
        <f>O707/IF(H707="L",20,IF(H707="U",30,IF(H707="O",40,IF(H707="I",20,""))))</f>
        <v/>
      </c>
      <c r="Q707" s="132">
        <f>IF(AND(H707="L", P707&gt;=50%), "Pass",
 IF(AND(H707="U", P707&gt;=60%), "Pass",
 IF(AND(H707="O", P707&gt;=75%), "Pass", "Fail")))</f>
        <v/>
      </c>
      <c r="R707" s="104" t="n"/>
      <c r="S707" s="104" t="n">
        <v>17</v>
      </c>
      <c r="T707" s="104" t="n">
        <v>12</v>
      </c>
      <c r="U707" s="104">
        <f>SUM(S707:T707)</f>
        <v/>
      </c>
      <c r="V707" s="12">
        <f>U707/IF(H707="L",35,IF(H707="U",35,IF(H707="O",35,IF(H707="I",35,""))))</f>
        <v/>
      </c>
      <c r="W707" s="132">
        <f>IF(AND(H707="L", V707&gt;=50%), "Pass",
 IF(AND(H707="U", V707&gt;=60%), "Pass",
 IF(AND(H707="O", V707&gt;=75%), "Pass", "Fail")))</f>
        <v/>
      </c>
      <c r="X707" s="132">
        <f>IF(AND(Q707="Pass", W707="Pass"), "Pass", "Fail")</f>
        <v/>
      </c>
      <c r="Y707" s="15">
        <f>IF($X707="Pass",$H707,
IF(H707="L","I",
IF(H707="U","L",
IF(H707="O","U",
"I"))))</f>
        <v/>
      </c>
    </row>
    <row r="708">
      <c r="A708" s="147">
        <f>ROW()-2</f>
        <v/>
      </c>
      <c r="B708" s="127" t="inlineStr">
        <is>
          <t>AK0554</t>
        </is>
      </c>
      <c r="C708" s="128" t="inlineStr">
        <is>
          <t>ARUMUGA KANI M</t>
        </is>
      </c>
      <c r="D708" s="127" t="inlineStr">
        <is>
          <t>PRODUCTION</t>
        </is>
      </c>
      <c r="E708" s="129" t="inlineStr">
        <is>
          <t>BAND BUILDING-P1</t>
        </is>
      </c>
      <c r="F708" s="130" t="n">
        <v>42912</v>
      </c>
      <c r="G708" s="131">
        <f>NOW()-F708</f>
        <v/>
      </c>
      <c r="H708" s="104" t="inlineStr">
        <is>
          <t>O</t>
        </is>
      </c>
      <c r="I708" s="104" t="inlineStr">
        <is>
          <t>U</t>
        </is>
      </c>
      <c r="J708" s="104" t="n">
        <v>10</v>
      </c>
      <c r="K708" s="104" t="n">
        <v>9</v>
      </c>
      <c r="L708" s="104" t="n">
        <v>6</v>
      </c>
      <c r="M708" s="104" t="n">
        <v>7</v>
      </c>
      <c r="N708" s="104" t="n"/>
      <c r="O708" s="104">
        <f>SUM(J708:N708)</f>
        <v/>
      </c>
      <c r="P708" s="12">
        <f>O708/IF(H708="L",20,IF(H708="U",30,IF(H708="O",40,IF(H708="I",20,""))))</f>
        <v/>
      </c>
      <c r="Q708" s="132">
        <f>IF(AND(H708="L", P708&gt;=50%), "Pass",
IF(AND(H708="U", P708&gt;=60%), "Pass",
IF(AND(H708="O", P708&gt;=75%), "Pass", "Fail")))</f>
        <v/>
      </c>
      <c r="R708" s="104" t="n"/>
      <c r="S708" s="104" t="n">
        <v>17</v>
      </c>
      <c r="T708" s="104" t="n">
        <v>14</v>
      </c>
      <c r="U708" s="104">
        <f>SUM(S708:T708)</f>
        <v/>
      </c>
      <c r="V708" s="12">
        <f>U708/IF(H708="L",35,IF(H708="U",35,IF(H708="O",35,IF(H708="I",35,""))))</f>
        <v/>
      </c>
      <c r="W708" s="132">
        <f>IF(AND(H708="L", V708&gt;=50%), "Pass",
IF(AND(H708="U", V708&gt;=60%), "Pass",
IF(AND(H708="O", V708&gt;=75%), "Pass", "Fail")))</f>
        <v/>
      </c>
      <c r="X708" s="132">
        <f>IF(AND(Q708="Pass", W708="Pass"), "Pass", "Fail")</f>
        <v/>
      </c>
      <c r="Y708" s="15">
        <f>IF($X708="Pass",$H708,
IF(H708="L","I",
IF(H708="U","L",
IF(H708="O","U",
"I"))))</f>
        <v/>
      </c>
    </row>
    <row r="709">
      <c r="A709" s="147">
        <f>ROW()-2</f>
        <v/>
      </c>
      <c r="B709" s="127" t="inlineStr">
        <is>
          <t>SR0715</t>
        </is>
      </c>
      <c r="C709" s="128" t="inlineStr">
        <is>
          <t>RAJARAM C</t>
        </is>
      </c>
      <c r="D709" s="127" t="inlineStr">
        <is>
          <t>PRODUCTION</t>
        </is>
      </c>
      <c r="E709" s="129" t="inlineStr">
        <is>
          <t>TYRE BUILDING-P1</t>
        </is>
      </c>
      <c r="F709" s="130" t="n">
        <v>42912</v>
      </c>
      <c r="G709" s="131">
        <f>NOW()-F709</f>
        <v/>
      </c>
      <c r="H709" s="104" t="inlineStr">
        <is>
          <t>O</t>
        </is>
      </c>
      <c r="I709" s="104" t="inlineStr">
        <is>
          <t>U</t>
        </is>
      </c>
      <c r="J709" s="104" t="n">
        <v>8</v>
      </c>
      <c r="K709" s="104" t="n">
        <v>9</v>
      </c>
      <c r="L709" s="104" t="n">
        <v>7</v>
      </c>
      <c r="M709" s="104" t="n">
        <v>8</v>
      </c>
      <c r="N709" s="104" t="n"/>
      <c r="O709" s="104">
        <f>SUM(J709:N709)</f>
        <v/>
      </c>
      <c r="P709" s="12">
        <f>O709/IF(H709="L",20,IF(H709="U",30,IF(H709="O",40,IF(H709="I",20,""))))</f>
        <v/>
      </c>
      <c r="Q709" s="132">
        <f>IF(AND(H709="L", P709&gt;=50%), "Pass",
IF(AND(H709="U", P709&gt;=60%), "Pass",
IF(AND(H709="O", P709&gt;=75%), "Pass", "Fail")))</f>
        <v/>
      </c>
      <c r="R709" s="104" t="n"/>
      <c r="S709" s="104" t="n">
        <v>12</v>
      </c>
      <c r="T709" s="104" t="n">
        <v>12</v>
      </c>
      <c r="U709" s="104">
        <f>SUM(S709:T709)</f>
        <v/>
      </c>
      <c r="V709" s="12">
        <f>U709/IF(H709="L",35,IF(H709="U",35,IF(H709="O",35,IF(H709="I",35,""))))</f>
        <v/>
      </c>
      <c r="W709" s="132">
        <f>IF(AND(H709="L", V709&gt;=50%), "Pass",
IF(AND(H709="U", V709&gt;=60%), "Pass",
IF(AND(H709="O", V709&gt;=75%), "Pass", "Fail")))</f>
        <v/>
      </c>
      <c r="X709" s="132">
        <f>IF(AND(Q709="Pass", W709="Pass"), "Pass", "Fail")</f>
        <v/>
      </c>
      <c r="Y709" s="15">
        <f>IF($X709="Pass",$H709,
IF(H709="L","I",
IF(H709="U","L",
IF(H709="O","U",
"I"))))</f>
        <v/>
      </c>
    </row>
    <row r="710">
      <c r="A710" s="147">
        <f>ROW()-2</f>
        <v/>
      </c>
      <c r="B710" s="127" t="inlineStr">
        <is>
          <t>SR0722</t>
        </is>
      </c>
      <c r="C710" s="128" t="inlineStr">
        <is>
          <t>SANKARA NARAYANAN S</t>
        </is>
      </c>
      <c r="D710" s="127" t="inlineStr">
        <is>
          <t>PRODUCTION</t>
        </is>
      </c>
      <c r="E710" s="129" t="inlineStr">
        <is>
          <t>TYRE BUILDING-P2</t>
        </is>
      </c>
      <c r="F710" s="130" t="n">
        <v>42917</v>
      </c>
      <c r="G710" s="131">
        <f>NOW()-F710</f>
        <v/>
      </c>
      <c r="H710" s="104" t="inlineStr">
        <is>
          <t>O</t>
        </is>
      </c>
      <c r="I710" s="104" t="inlineStr">
        <is>
          <t>U</t>
        </is>
      </c>
      <c r="J710" s="104" t="n">
        <v>9</v>
      </c>
      <c r="K710" s="104" t="n">
        <v>9</v>
      </c>
      <c r="L710" s="104" t="n">
        <v>9</v>
      </c>
      <c r="M710" s="104" t="n">
        <v>7</v>
      </c>
      <c r="N710" s="104" t="n"/>
      <c r="O710" s="104">
        <f>SUM(J710:N710)</f>
        <v/>
      </c>
      <c r="P710" s="12">
        <f>O710/IF(H710="L",20,IF(H710="U",30,IF(H710="O",40,IF(H710="I",20,""))))</f>
        <v/>
      </c>
      <c r="Q710" s="132">
        <f>IF(AND(H710="L", P710&gt;=50%), "Pass",
IF(AND(H710="U", P710&gt;=60%), "Pass",
IF(AND(H710="O", P710&gt;=75%), "Pass", "Fail")))</f>
        <v/>
      </c>
      <c r="R710" s="104" t="n"/>
      <c r="S710" s="104" t="n">
        <v>5</v>
      </c>
      <c r="T710" s="104" t="n">
        <v>4</v>
      </c>
      <c r="U710" s="104">
        <f>SUM(S710:T710)</f>
        <v/>
      </c>
      <c r="V710" s="12">
        <f>U710/IF(H710="L",35,IF(H710="U",35,IF(H710="O",35,IF(H710="I",35,""))))</f>
        <v/>
      </c>
      <c r="W710" s="132">
        <f>IF(AND(H710="L", V710&gt;=50%), "Pass",
IF(AND(H710="U", V710&gt;=60%), "Pass",
IF(AND(H710="O", V710&gt;=75%), "Pass", "Fail")))</f>
        <v/>
      </c>
      <c r="X710" s="132">
        <f>IF(AND(Q710="Pass", W710="Pass"), "Pass", "Fail")</f>
        <v/>
      </c>
      <c r="Y710" s="15">
        <f>IF($X710="Pass",$H710,
IF(H710="L","I",
IF(H710="U","L",
IF(H710="O","U",
"I"))))</f>
        <v/>
      </c>
    </row>
    <row r="711">
      <c r="A711" s="147">
        <f>ROW()-2</f>
        <v/>
      </c>
      <c r="B711" s="127" t="inlineStr">
        <is>
          <t>SK2535</t>
        </is>
      </c>
      <c r="C711" s="128" t="inlineStr">
        <is>
          <t>VELLA PANDI M</t>
        </is>
      </c>
      <c r="D711" s="127" t="inlineStr">
        <is>
          <t>PRODUCTION</t>
        </is>
      </c>
      <c r="E711" s="129" t="inlineStr">
        <is>
          <t>TYRE BUILDING-P3</t>
        </is>
      </c>
      <c r="F711" s="130" t="n">
        <v>42919</v>
      </c>
      <c r="G711" s="131">
        <f>NOW()-F711</f>
        <v/>
      </c>
      <c r="H711" s="104" t="inlineStr">
        <is>
          <t>O</t>
        </is>
      </c>
      <c r="I711" s="104" t="inlineStr">
        <is>
          <t>O</t>
        </is>
      </c>
      <c r="J711" s="104" t="n">
        <v>10</v>
      </c>
      <c r="K711" s="104" t="n">
        <v>8</v>
      </c>
      <c r="L711" s="104" t="n">
        <v>5</v>
      </c>
      <c r="M711" s="104" t="n">
        <v>9</v>
      </c>
      <c r="N711" s="104" t="n"/>
      <c r="O711" s="104">
        <f>SUM(J711:N711)</f>
        <v/>
      </c>
      <c r="P711" s="12">
        <f>O711/IF(H711="L",20,IF(H711="U",30,IF(H711="O",40,IF(H711="I",20,""))))</f>
        <v/>
      </c>
      <c r="Q711" s="132">
        <f>IF(AND(H711="L", P711&gt;=50%), "Pass",
IF(AND(H711="U", P711&gt;=60%), "Pass",
IF(AND(H711="O", P711&gt;=75%), "Pass", "Fail")))</f>
        <v/>
      </c>
      <c r="R711" s="104" t="n"/>
      <c r="S711" s="104" t="n">
        <v>19</v>
      </c>
      <c r="T711" s="104" t="n">
        <v>14</v>
      </c>
      <c r="U711" s="104">
        <f>SUM(S711:T711)</f>
        <v/>
      </c>
      <c r="V711" s="12">
        <f>U711/IF(H711="L",35,IF(H711="U",35,IF(H711="O",35,IF(H711="I",35,""))))</f>
        <v/>
      </c>
      <c r="W711" s="132">
        <f>IF(AND(H711="L", V711&gt;=50%), "Pass",
IF(AND(H711="U", V711&gt;=60%), "Pass",
IF(AND(H711="O", V711&gt;=75%), "Pass", "Fail")))</f>
        <v/>
      </c>
      <c r="X711" s="132">
        <f>IF(AND(Q711="Pass", W711="Pass"), "Pass", "Fail")</f>
        <v/>
      </c>
      <c r="Y711" s="15">
        <f>IF($X711="Pass",$H711,
IF(H711="L","I",
IF(H711="U","L",
IF(H711="O","U",
"I"))))</f>
        <v/>
      </c>
    </row>
    <row r="712">
      <c r="A712" s="147">
        <f>ROW()-2</f>
        <v/>
      </c>
      <c r="B712" s="133" t="inlineStr">
        <is>
          <t>AK0594</t>
        </is>
      </c>
      <c r="C712" s="148" t="inlineStr">
        <is>
          <t>PRABU S</t>
        </is>
      </c>
      <c r="D712" s="127" t="inlineStr">
        <is>
          <t>PRODUCTION</t>
        </is>
      </c>
      <c r="E712" s="135" t="inlineStr">
        <is>
          <t>MIXING</t>
        </is>
      </c>
      <c r="F712" s="136" t="n">
        <v>42926</v>
      </c>
      <c r="G712" s="131">
        <f>NOW()-F712</f>
        <v/>
      </c>
      <c r="H712" s="104" t="inlineStr">
        <is>
          <t>O</t>
        </is>
      </c>
      <c r="I712" s="104" t="inlineStr">
        <is>
          <t>U</t>
        </is>
      </c>
      <c r="J712" s="104" t="inlineStr">
        <is>
          <t>NIL</t>
        </is>
      </c>
      <c r="K712" s="104" t="n"/>
      <c r="L712" s="104" t="n"/>
      <c r="M712" s="104" t="n"/>
      <c r="N712" s="104" t="n"/>
      <c r="O712" s="104" t="n"/>
      <c r="P712" s="12">
        <f>O712/IF(H712="L",20,IF(H712="U",30,IF(H712="O",40,IF(H712="I",20,""))))</f>
        <v/>
      </c>
      <c r="Q712" s="132">
        <f>IF(AND(H712="L", P712&gt;=50%), "Pass",
IF(AND(H712="U", P712&gt;=60%), "Pass",
IF(AND(H712="O", P712&gt;=75%), "Pass", "Fail")))</f>
        <v/>
      </c>
      <c r="R712" s="104" t="n"/>
      <c r="S712" s="104" t="n">
        <v>14</v>
      </c>
      <c r="T712" s="104" t="n">
        <v>12</v>
      </c>
      <c r="U712" s="104">
        <f>SUM(S712:T712)</f>
        <v/>
      </c>
      <c r="V712" s="12">
        <f>U712/IF(H712="L",35,IF(H712="U",35,IF(H712="O",35,IF(H712="I",35,""))))</f>
        <v/>
      </c>
      <c r="W712" s="132">
        <f>IF(AND(H712="L", V712&gt;=50%), "Pass",
IF(AND(H712="U", V712&gt;=60%), "Pass",
IF(AND(H712="O", V712&gt;=75%), "Pass", "Fail")))</f>
        <v/>
      </c>
      <c r="X712" s="132">
        <f>IF(AND(Q712="Pass", W712="Pass"), "Pass", "Fail")</f>
        <v/>
      </c>
      <c r="Y712" s="15">
        <f>IF($X712="Pass",$H712,
IF(H712="L","I",
IF(H712="U","L",
IF(H712="O","U",
"I"))))</f>
        <v/>
      </c>
      <c r="Z712" s="81">
        <f>V712-75%</f>
        <v/>
      </c>
    </row>
    <row r="713">
      <c r="A713" s="147">
        <f>ROW()-2</f>
        <v/>
      </c>
      <c r="B713" s="127" t="inlineStr">
        <is>
          <t>AK0598</t>
        </is>
      </c>
      <c r="C713" s="128" t="inlineStr">
        <is>
          <t>BALA SUBRAMANIAN C</t>
        </is>
      </c>
      <c r="D713" s="127" t="inlineStr">
        <is>
          <t>PRODUCTION</t>
        </is>
      </c>
      <c r="E713" s="129" t="inlineStr">
        <is>
          <t>RADIAL MARANGONI</t>
        </is>
      </c>
      <c r="F713" s="130" t="n">
        <v>42926</v>
      </c>
      <c r="G713" s="131">
        <f>NOW()-F713</f>
        <v/>
      </c>
      <c r="H713" s="104" t="inlineStr">
        <is>
          <t>O</t>
        </is>
      </c>
      <c r="I713" s="104" t="inlineStr">
        <is>
          <t>U</t>
        </is>
      </c>
      <c r="J713" s="104" t="n">
        <v>9</v>
      </c>
      <c r="K713" s="104" t="n">
        <v>7</v>
      </c>
      <c r="L713" s="104" t="n">
        <v>8</v>
      </c>
      <c r="M713" s="104" t="n">
        <v>9</v>
      </c>
      <c r="N713" s="104" t="n"/>
      <c r="O713" s="104">
        <f>SUM(J713:N713)</f>
        <v/>
      </c>
      <c r="P713" s="12">
        <f>O713/IF(H713="L",20,IF(H713="U",30,IF(H713="O",40,IF(H713="I",20,""))))</f>
        <v/>
      </c>
      <c r="Q713" s="132">
        <f>IF(AND(H713="L", P713&gt;=50%), "Pass",
IF(AND(H713="U", P713&gt;=60%), "Pass",
IF(AND(H713="O", P713&gt;=75%), "Pass", "Fail")))</f>
        <v/>
      </c>
      <c r="R713" s="104" t="n"/>
      <c r="S713" s="104" t="n">
        <v>16</v>
      </c>
      <c r="T713" s="104" t="n">
        <v>12</v>
      </c>
      <c r="U713" s="104">
        <f>SUM(S713:T713)</f>
        <v/>
      </c>
      <c r="V713" s="12">
        <f>U713/IF(H713="L",35,IF(H713="U",35,IF(H713="O",35,IF(H713="I",35,""))))</f>
        <v/>
      </c>
      <c r="W713" s="132">
        <f>IF(AND(H713="L", V713&gt;=50%), "Pass",
IF(AND(H713="U", V713&gt;=60%), "Pass",
IF(AND(H713="O", V713&gt;=75%), "Pass", "Fail")))</f>
        <v/>
      </c>
      <c r="X713" s="132">
        <f>IF(AND(Q713="Pass", W713="Pass"), "Pass", "Fail")</f>
        <v/>
      </c>
      <c r="Y713" s="15">
        <f>IF($X713="Pass",$H713,
IF(H713="L","I",
IF(H713="U","L",
IF(H713="O","U",
"I"))))</f>
        <v/>
      </c>
      <c r="Z713" s="82">
        <f>V713-75%</f>
        <v/>
      </c>
    </row>
    <row r="714">
      <c r="A714" s="147">
        <f>ROW()-2</f>
        <v/>
      </c>
      <c r="B714" s="127" t="inlineStr">
        <is>
          <t>PK0841</t>
        </is>
      </c>
      <c r="C714" s="128" t="inlineStr">
        <is>
          <t>BALAMURUGAN S</t>
        </is>
      </c>
      <c r="D714" s="127" t="inlineStr">
        <is>
          <t>PRODUCTION</t>
        </is>
      </c>
      <c r="E714" s="129" t="inlineStr">
        <is>
          <t>RADIAL MARANGONI</t>
        </is>
      </c>
      <c r="F714" s="130" t="n">
        <v>42926</v>
      </c>
      <c r="G714" s="131">
        <f>NOW()-F714</f>
        <v/>
      </c>
      <c r="H714" s="104" t="inlineStr">
        <is>
          <t>O</t>
        </is>
      </c>
      <c r="I714" s="104" t="inlineStr">
        <is>
          <t>U</t>
        </is>
      </c>
      <c r="J714" s="104" t="n">
        <v>9</v>
      </c>
      <c r="K714" s="104" t="n">
        <v>9</v>
      </c>
      <c r="L714" s="104" t="n">
        <v>9</v>
      </c>
      <c r="M714" s="104" t="n">
        <v>9</v>
      </c>
      <c r="N714" s="104" t="n"/>
      <c r="O714" s="104">
        <f>SUM(J714:N714)</f>
        <v/>
      </c>
      <c r="P714" s="12">
        <f>O714/IF(H714="L",20,IF(H714="U",30,IF(H714="O",40,IF(H714="I",20,""))))</f>
        <v/>
      </c>
      <c r="Q714" s="132">
        <f>IF(AND(H714="L", P714&gt;=50%), "Pass",
IF(AND(H714="U", P714&gt;=60%), "Pass",
IF(AND(H714="O", P714&gt;=75%), "Pass", "Fail")))</f>
        <v/>
      </c>
      <c r="R714" s="104" t="n"/>
      <c r="S714" s="104" t="n">
        <v>8</v>
      </c>
      <c r="T714" s="104" t="n">
        <v>6</v>
      </c>
      <c r="U714" s="104">
        <f>SUM(S714:T714)</f>
        <v/>
      </c>
      <c r="V714" s="12">
        <f>U714/IF(H714="L",35,IF(H714="U",35,IF(H714="O",35,IF(H714="I",35,""))))</f>
        <v/>
      </c>
      <c r="W714" s="132">
        <f>IF(AND(H714="L", V714&gt;=50%), "Pass",
IF(AND(H714="U", V714&gt;=60%), "Pass",
IF(AND(H714="O", V714&gt;=75%), "Pass", "Fail")))</f>
        <v/>
      </c>
      <c r="X714" s="132">
        <f>IF(AND(Q714="Pass", W714="Pass"), "Pass", "Fail")</f>
        <v/>
      </c>
      <c r="Y714" s="15">
        <f>IF($X714="Pass",$H714,
IF(H714="L","I",
IF(H714="U","L",
IF(H714="O","U",
"I"))))</f>
        <v/>
      </c>
    </row>
    <row r="715">
      <c r="A715" s="147">
        <f>ROW()-2</f>
        <v/>
      </c>
      <c r="B715" s="127" t="inlineStr">
        <is>
          <t>SR0732</t>
        </is>
      </c>
      <c r="C715" s="128" t="inlineStr">
        <is>
          <t>MAHESHWARAN K</t>
        </is>
      </c>
      <c r="D715" s="127" t="inlineStr">
        <is>
          <t>PRODUCTION</t>
        </is>
      </c>
      <c r="E715" s="129" t="inlineStr">
        <is>
          <t>BIAS MARANGONI&amp;BESTRY</t>
        </is>
      </c>
      <c r="F715" s="130" t="n">
        <v>42926</v>
      </c>
      <c r="G715" s="131">
        <f>NOW()-F715</f>
        <v/>
      </c>
      <c r="H715" s="104" t="inlineStr">
        <is>
          <t>O</t>
        </is>
      </c>
      <c r="I715" s="104" t="inlineStr">
        <is>
          <t>O</t>
        </is>
      </c>
      <c r="J715" s="104" t="n">
        <v>9</v>
      </c>
      <c r="K715" s="104" t="n">
        <v>9</v>
      </c>
      <c r="L715" s="104" t="n">
        <v>10</v>
      </c>
      <c r="M715" s="104" t="n">
        <v>7</v>
      </c>
      <c r="N715" s="104" t="n"/>
      <c r="O715" s="104">
        <f>SUM(J715:N715)</f>
        <v/>
      </c>
      <c r="P715" s="12">
        <f>O715/IF(H715="L",20,IF(H715="U",30,IF(H715="O",40,IF(H715="I",20,""))))</f>
        <v/>
      </c>
      <c r="Q715" s="132">
        <f>IF(AND(H715="L", P715&gt;=50%), "Pass",
IF(AND(H715="U", P715&gt;=60%), "Pass",
IF(AND(H715="O", P715&gt;=75%), "Pass", "Fail")))</f>
        <v/>
      </c>
      <c r="R715" s="104" t="n"/>
      <c r="S715" s="104" t="n">
        <v>16</v>
      </c>
      <c r="T715" s="104" t="n">
        <v>12</v>
      </c>
      <c r="U715" s="104">
        <f>SUM(S715:T715)</f>
        <v/>
      </c>
      <c r="V715" s="12">
        <f>U715/IF(H715="L",35,IF(H715="U",35,IF(H715="O",35,IF(H715="I",35,""))))</f>
        <v/>
      </c>
      <c r="W715" s="132">
        <f>IF(AND(H715="L", V715&gt;=50%), "Pass",
IF(AND(H715="U", V715&gt;=60%), "Pass",
IF(AND(H715="O", V715&gt;=75%), "Pass", "Fail")))</f>
        <v/>
      </c>
      <c r="X715" s="132">
        <f>IF(AND(Q715="Pass", W715="Pass"), "Pass", "Fail")</f>
        <v/>
      </c>
      <c r="Y715" s="15">
        <f>IF($X715="Pass",$H715,
IF(H715="L","I",
IF(H715="U","L",
IF(H715="O","U",
"I"))))</f>
        <v/>
      </c>
    </row>
    <row r="716">
      <c r="A716" s="147">
        <f>ROW()-2</f>
        <v/>
      </c>
      <c r="B716" s="127" t="inlineStr">
        <is>
          <t>SR0733</t>
        </is>
      </c>
      <c r="C716" s="128" t="inlineStr">
        <is>
          <t>MANIKANDAN B</t>
        </is>
      </c>
      <c r="D716" s="127" t="inlineStr">
        <is>
          <t>PRODUCTION</t>
        </is>
      </c>
      <c r="E716" s="129" t="inlineStr">
        <is>
          <t>BAND BUILDING-P3</t>
        </is>
      </c>
      <c r="F716" s="130" t="n">
        <v>42926</v>
      </c>
      <c r="G716" s="131">
        <f>NOW()-F716</f>
        <v/>
      </c>
      <c r="H716" s="104" t="inlineStr">
        <is>
          <t>O</t>
        </is>
      </c>
      <c r="I716" s="104" t="inlineStr">
        <is>
          <t>U</t>
        </is>
      </c>
      <c r="J716" s="104" t="n">
        <v>10</v>
      </c>
      <c r="K716" s="104" t="n">
        <v>8</v>
      </c>
      <c r="L716" s="104" t="n">
        <v>7</v>
      </c>
      <c r="M716" s="104" t="n">
        <v>8</v>
      </c>
      <c r="N716" s="104" t="n"/>
      <c r="O716" s="104">
        <f>SUM(J716:N716)</f>
        <v/>
      </c>
      <c r="P716" s="12">
        <f>O716/IF(H716="L",20,IF(H716="U",30,IF(H716="O",40,IF(H716="I",20,""))))</f>
        <v/>
      </c>
      <c r="Q716" s="132">
        <f>IF(AND(H716="L", P716&gt;=50%), "Pass",
IF(AND(H716="U", P716&gt;=60%), "Pass",
IF(AND(H716="O", P716&gt;=75%), "Pass", "Fail")))</f>
        <v/>
      </c>
      <c r="R716" s="104" t="n"/>
      <c r="S716" s="104" t="n">
        <v>16</v>
      </c>
      <c r="T716" s="104" t="n">
        <v>12</v>
      </c>
      <c r="U716" s="104">
        <f>SUM(S716:T716)</f>
        <v/>
      </c>
      <c r="V716" s="12">
        <f>U716/IF(H716="L",35,IF(H716="U",35,IF(H716="O",35,IF(H716="I",35,""))))</f>
        <v/>
      </c>
      <c r="W716" s="132">
        <f>IF(AND(H716="L", V716&gt;=50%), "Pass",
IF(AND(H716="U", V716&gt;=60%), "Pass",
IF(AND(H716="O", V716&gt;=75%), "Pass", "Fail")))</f>
        <v/>
      </c>
      <c r="X716" s="132">
        <f>IF(AND(Q716="Pass", W716="Pass"), "Pass", "Fail")</f>
        <v/>
      </c>
      <c r="Y716" s="15">
        <f>IF($X716="Pass",$H716,
IF(H716="L","I",
IF(H716="U","L",
IF(H716="O","U",
"I"))))</f>
        <v/>
      </c>
    </row>
    <row r="717">
      <c r="A717" s="147">
        <f>ROW()-2</f>
        <v/>
      </c>
      <c r="B717" s="127" t="inlineStr">
        <is>
          <t>SR0735</t>
        </is>
      </c>
      <c r="C717" s="128" t="inlineStr">
        <is>
          <t>VELLA PANDI S</t>
        </is>
      </c>
      <c r="D717" s="127" t="inlineStr">
        <is>
          <t>PRODUCTION</t>
        </is>
      </c>
      <c r="E717" s="129" t="inlineStr">
        <is>
          <t>TYRE CURING</t>
        </is>
      </c>
      <c r="F717" s="130" t="n">
        <v>42926</v>
      </c>
      <c r="G717" s="131">
        <f>NOW()-F717</f>
        <v/>
      </c>
      <c r="H717" s="104" t="inlineStr">
        <is>
          <t>O</t>
        </is>
      </c>
      <c r="I717" s="104" t="inlineStr">
        <is>
          <t>O</t>
        </is>
      </c>
      <c r="J717" s="104" t="n">
        <v>10</v>
      </c>
      <c r="K717" s="104" t="n">
        <v>9</v>
      </c>
      <c r="L717" s="104" t="n">
        <v>9</v>
      </c>
      <c r="M717" s="104" t="n">
        <v>8</v>
      </c>
      <c r="N717" s="104" t="n"/>
      <c r="O717" s="104">
        <f>SUM(J717:N717)</f>
        <v/>
      </c>
      <c r="P717" s="12">
        <f>O717/IF(H717="L",20,IF(H717="U",30,IF(H717="O",40,IF(H717="I",20,""))))</f>
        <v/>
      </c>
      <c r="Q717" s="132">
        <f>IF(AND(H717="L", P717&gt;=50%), "Pass",
IF(AND(H717="U", P717&gt;=60%), "Pass",
IF(AND(H717="O", P717&gt;=75%), "Pass", "Fail")))</f>
        <v/>
      </c>
      <c r="R717" s="104" t="n"/>
      <c r="S717" s="104" t="n">
        <v>17</v>
      </c>
      <c r="T717" s="104" t="n">
        <v>12</v>
      </c>
      <c r="U717" s="104">
        <f>SUM(S717:T717)</f>
        <v/>
      </c>
      <c r="V717" s="12">
        <f>U717/IF(H717="L",35,IF(H717="U",35,IF(H717="O",35,IF(H717="I",35,""))))</f>
        <v/>
      </c>
      <c r="W717" s="132">
        <f>IF(AND(H717="L", V717&gt;=50%), "Pass",
IF(AND(H717="U", V717&gt;=60%), "Pass",
IF(AND(H717="O", V717&gt;=75%), "Pass", "Fail")))</f>
        <v/>
      </c>
      <c r="X717" s="132">
        <f>IF(AND(Q717="Pass", W717="Pass"), "Pass", "Fail")</f>
        <v/>
      </c>
      <c r="Y717" s="15">
        <f>IF($X717="Pass",$H717,
IF(H717="L","I",
IF(H717="U","L",
IF(H717="O","U",
"I"))))</f>
        <v/>
      </c>
    </row>
    <row r="718">
      <c r="A718" s="147">
        <f>ROW()-2</f>
        <v/>
      </c>
      <c r="B718" s="127" t="inlineStr">
        <is>
          <t>SR0740</t>
        </is>
      </c>
      <c r="C718" s="128" t="inlineStr">
        <is>
          <t>VENGADESA PERUMAL M</t>
        </is>
      </c>
      <c r="D718" s="127" t="inlineStr">
        <is>
          <t>PRODUCTION</t>
        </is>
      </c>
      <c r="E718" s="129" t="inlineStr">
        <is>
          <t>BIAS MARANGONI&amp;BESTRY</t>
        </is>
      </c>
      <c r="F718" s="130" t="n">
        <v>42929</v>
      </c>
      <c r="G718" s="131">
        <f>NOW()-F718</f>
        <v/>
      </c>
      <c r="H718" s="104" t="inlineStr">
        <is>
          <t>O</t>
        </is>
      </c>
      <c r="I718" s="104" t="inlineStr">
        <is>
          <t>O</t>
        </is>
      </c>
      <c r="J718" s="104" t="n">
        <v>9</v>
      </c>
      <c r="K718" s="104" t="n">
        <v>9</v>
      </c>
      <c r="L718" s="104" t="n">
        <v>9</v>
      </c>
      <c r="M718" s="104" t="n">
        <v>9</v>
      </c>
      <c r="N718" s="104" t="n"/>
      <c r="O718" s="104">
        <f>SUM(J718:N718)</f>
        <v/>
      </c>
      <c r="P718" s="12">
        <f>O718/IF(H718="L",20,IF(H718="U",30,IF(H718="O",40,IF(H718="I",20,""))))</f>
        <v/>
      </c>
      <c r="Q718" s="132">
        <f>IF(AND(H718="L", P718&gt;=50%), "Pass",
IF(AND(H718="U", P718&gt;=60%), "Pass",
IF(AND(H718="O", P718&gt;=75%), "Pass", "Fail")))</f>
        <v/>
      </c>
      <c r="R718" s="104" t="n"/>
      <c r="S718" s="104" t="n">
        <v>16</v>
      </c>
      <c r="T718" s="104" t="n">
        <v>12</v>
      </c>
      <c r="U718" s="104">
        <f>SUM(S718:T718)</f>
        <v/>
      </c>
      <c r="V718" s="12">
        <f>U718/IF(H718="L",35,IF(H718="U",35,IF(H718="O",35,IF(H718="I",35,""))))</f>
        <v/>
      </c>
      <c r="W718" s="132">
        <f>IF(AND(H718="L", V718&gt;=50%), "Pass",
IF(AND(H718="U", V718&gt;=60%), "Pass",
IF(AND(H718="O", V718&gt;=75%), "Pass", "Fail")))</f>
        <v/>
      </c>
      <c r="X718" s="132">
        <f>IF(AND(Q718="Pass", W718="Pass"), "Pass", "Fail")</f>
        <v/>
      </c>
      <c r="Y718" s="15">
        <f>IF($X718="Pass",$H718,
IF(H718="L","I",
IF(H718="U","L",
IF(H718="O","U",
"I"))))</f>
        <v/>
      </c>
    </row>
    <row r="719">
      <c r="A719" s="147">
        <f>ROW()-2</f>
        <v/>
      </c>
      <c r="B719" s="127" t="inlineStr">
        <is>
          <t>SK2551</t>
        </is>
      </c>
      <c r="C719" s="128" t="inlineStr">
        <is>
          <t>VINOD PASWAN</t>
        </is>
      </c>
      <c r="D719" s="127" t="inlineStr">
        <is>
          <t>PRODUCTION</t>
        </is>
      </c>
      <c r="E719" s="129" t="inlineStr">
        <is>
          <t>TYRE BUILDING-P2</t>
        </is>
      </c>
      <c r="F719" s="130" t="n">
        <v>42930</v>
      </c>
      <c r="G719" s="131">
        <f>NOW()-F719</f>
        <v/>
      </c>
      <c r="H719" s="104" t="inlineStr">
        <is>
          <t>O</t>
        </is>
      </c>
      <c r="I719" s="104" t="inlineStr">
        <is>
          <t>U</t>
        </is>
      </c>
      <c r="J719" s="104" t="n">
        <v>2</v>
      </c>
      <c r="K719" s="104" t="n">
        <v>6</v>
      </c>
      <c r="L719" s="104" t="n">
        <v>3</v>
      </c>
      <c r="M719" s="104" t="n">
        <v>3</v>
      </c>
      <c r="N719" s="104" t="n"/>
      <c r="O719" s="104">
        <f>SUM(J719:N719)</f>
        <v/>
      </c>
      <c r="P719" s="12">
        <f>O719/IF(H719="L",20,IF(H719="U",30,IF(H719="O",40,IF(H719="I",20,""))))</f>
        <v/>
      </c>
      <c r="Q719" s="132">
        <f>IF(AND(H719="L", P719&gt;=50%), "Pass",
IF(AND(H719="U", P719&gt;=60%), "Pass",
IF(AND(H719="O", P719&gt;=75%), "Pass", "Fail")))</f>
        <v/>
      </c>
      <c r="R719" s="104" t="n"/>
      <c r="S719" s="104" t="n">
        <v>5</v>
      </c>
      <c r="T719" s="104" t="n">
        <v>4</v>
      </c>
      <c r="U719" s="104">
        <f>SUM(S719:T719)</f>
        <v/>
      </c>
      <c r="V719" s="12">
        <f>U719/IF(H719="L",35,IF(H719="U",35,IF(H719="O",35,IF(H719="I",35,""))))</f>
        <v/>
      </c>
      <c r="W719" s="132">
        <f>IF(AND(H719="L", V719&gt;=50%), "Pass",
IF(AND(H719="U", V719&gt;=60%), "Pass",
IF(AND(H719="O", V719&gt;=75%), "Pass", "Fail")))</f>
        <v/>
      </c>
      <c r="X719" s="132">
        <f>IF(AND(Q719="Pass", W719="Pass"), "Pass", "Fail")</f>
        <v/>
      </c>
      <c r="Y719" s="15">
        <f>IF($X719="Pass",$H719,
IF(H719="L","I",
IF(H719="U","L",
IF(H719="O","U",
"I"))))</f>
        <v/>
      </c>
      <c r="Z719" s="82" t="n"/>
    </row>
    <row r="720">
      <c r="A720" s="147">
        <f>ROW()-2</f>
        <v/>
      </c>
      <c r="B720" s="127" t="inlineStr">
        <is>
          <t>SR0742</t>
        </is>
      </c>
      <c r="C720" s="128" t="inlineStr">
        <is>
          <t>THIRUVALI M</t>
        </is>
      </c>
      <c r="D720" s="127" t="inlineStr">
        <is>
          <t>PRODUCTION</t>
        </is>
      </c>
      <c r="E720" s="129" t="inlineStr">
        <is>
          <t>TYRE BUILDING-P3</t>
        </is>
      </c>
      <c r="F720" s="130" t="n">
        <v>42934</v>
      </c>
      <c r="G720" s="131">
        <f>NOW()-F720</f>
        <v/>
      </c>
      <c r="H720" s="104" t="inlineStr">
        <is>
          <t>O</t>
        </is>
      </c>
      <c r="I720" s="104" t="inlineStr">
        <is>
          <t>U</t>
        </is>
      </c>
      <c r="J720" s="104" t="n">
        <v>8</v>
      </c>
      <c r="K720" s="104" t="n">
        <v>5</v>
      </c>
      <c r="L720" s="104" t="n">
        <v>6</v>
      </c>
      <c r="M720" s="104" t="n">
        <v>5</v>
      </c>
      <c r="N720" s="104" t="n"/>
      <c r="O720" s="104">
        <f>SUM(J720:N720)</f>
        <v/>
      </c>
      <c r="P720" s="12">
        <f>O720/IF(H720="L",20,IF(H720="U",30,IF(H720="O",40,IF(H720="I",20,""))))</f>
        <v/>
      </c>
      <c r="Q720" s="132">
        <f>IF(AND(H720="L", P720&gt;=50%), "Pass",
IF(AND(H720="U", P720&gt;=60%), "Pass",
IF(AND(H720="O", P720&gt;=75%), "Pass", "Fail")))</f>
        <v/>
      </c>
      <c r="R720" s="104" t="n"/>
      <c r="S720" s="104" t="n">
        <v>18</v>
      </c>
      <c r="T720" s="104" t="n">
        <v>14</v>
      </c>
      <c r="U720" s="104">
        <f>SUM(S720:T720)</f>
        <v/>
      </c>
      <c r="V720" s="12">
        <f>U720/IF(H720="L",35,IF(H720="U",35,IF(H720="O",35,IF(H720="I",35,""))))</f>
        <v/>
      </c>
      <c r="W720" s="132">
        <f>IF(AND(H720="L", V720&gt;=50%), "Pass",
IF(AND(H720="U", V720&gt;=60%), "Pass",
IF(AND(H720="O", V720&gt;=75%), "Pass", "Fail")))</f>
        <v/>
      </c>
      <c r="X720" s="132">
        <f>IF(AND(Q720="Pass", W720="Pass"), "Pass", "Fail")</f>
        <v/>
      </c>
      <c r="Y720" s="15">
        <f>IF($X720="Pass",$H720,
IF(H720="L","I",
IF(H720="U","L",
IF(H720="O","U",
"I"))))</f>
        <v/>
      </c>
    </row>
    <row r="721">
      <c r="A721" s="147">
        <f>ROW()-2</f>
        <v/>
      </c>
      <c r="B721" s="127" t="inlineStr">
        <is>
          <t>AK0613</t>
        </is>
      </c>
      <c r="C721" s="128" t="inlineStr">
        <is>
          <t>MARIAPPAN K</t>
        </is>
      </c>
      <c r="D721" s="127" t="inlineStr">
        <is>
          <t>PRODUCTION</t>
        </is>
      </c>
      <c r="E721" s="129" t="inlineStr">
        <is>
          <t>BIAS CUTTING-2</t>
        </is>
      </c>
      <c r="F721" s="130" t="n">
        <v>42955</v>
      </c>
      <c r="G721" s="131">
        <f>NOW()-F721</f>
        <v/>
      </c>
      <c r="H721" s="104" t="inlineStr">
        <is>
          <t>O</t>
        </is>
      </c>
      <c r="I721" s="104" t="inlineStr">
        <is>
          <t>U</t>
        </is>
      </c>
      <c r="J721" s="104" t="n">
        <v>4</v>
      </c>
      <c r="K721" s="104" t="n">
        <v>1</v>
      </c>
      <c r="L721" s="104" t="n">
        <v>1</v>
      </c>
      <c r="M721" s="104" t="n">
        <v>2</v>
      </c>
      <c r="N721" s="104" t="n"/>
      <c r="O721" s="104">
        <f>SUM(J721:N721)</f>
        <v/>
      </c>
      <c r="P721" s="12">
        <f>O721/IF(H721="L",20,IF(H721="U",30,IF(H721="O",40,IF(H721="I",20,""))))</f>
        <v/>
      </c>
      <c r="Q721" s="132">
        <f>IF(AND(H721="L", P721&gt;=50%), "Pass",
IF(AND(H721="U", P721&gt;=60%), "Pass",
IF(AND(H721="O", P721&gt;=75%), "Pass", "Fail")))</f>
        <v/>
      </c>
      <c r="R721" s="104" t="n"/>
      <c r="S721" s="104" t="n">
        <v>15</v>
      </c>
      <c r="T721" s="104" t="n">
        <v>12</v>
      </c>
      <c r="U721" s="104">
        <f>SUM(S721:T721)</f>
        <v/>
      </c>
      <c r="V721" s="12">
        <f>U721/IF(H721="L",35,IF(H721="U",35,IF(H721="O",35,IF(H721="I",35,""))))</f>
        <v/>
      </c>
      <c r="W721" s="132">
        <f>IF(AND(H721="L", V721&gt;=50%), "Pass",
IF(AND(H721="U", V721&gt;=60%), "Pass",
IF(AND(H721="O", V721&gt;=75%), "Pass", "Fail")))</f>
        <v/>
      </c>
      <c r="X721" s="132">
        <f>IF(AND(Q721="Pass", W721="Pass"), "Pass", "Fail")</f>
        <v/>
      </c>
      <c r="Y721" s="15">
        <f>IF($X721="Pass",$H721,
IF(H721="L","I",
IF(H721="U","L",
IF(H721="O","U",
"I"))))</f>
        <v/>
      </c>
    </row>
    <row r="722">
      <c r="A722" s="147">
        <f>ROW()-2</f>
        <v/>
      </c>
      <c r="B722" s="127" t="inlineStr">
        <is>
          <t>PK0789</t>
        </is>
      </c>
      <c r="C722" s="128" t="inlineStr">
        <is>
          <t>SARAVANAN K</t>
        </is>
      </c>
      <c r="D722" s="127" t="inlineStr">
        <is>
          <t>PRODUCTION</t>
        </is>
      </c>
      <c r="E722" s="129" t="inlineStr">
        <is>
          <t>TYRE BUILDING-P3</t>
        </is>
      </c>
      <c r="F722" s="130" t="n">
        <v>42964</v>
      </c>
      <c r="G722" s="131">
        <f>NOW()-F722</f>
        <v/>
      </c>
      <c r="H722" s="104" t="inlineStr">
        <is>
          <t>O</t>
        </is>
      </c>
      <c r="I722" s="104" t="inlineStr">
        <is>
          <t>O</t>
        </is>
      </c>
      <c r="J722" s="104" t="n">
        <v>10</v>
      </c>
      <c r="K722" s="104" t="n">
        <v>9</v>
      </c>
      <c r="L722" s="104" t="n">
        <v>4</v>
      </c>
      <c r="M722" s="104" t="n">
        <v>9</v>
      </c>
      <c r="N722" s="104" t="n"/>
      <c r="O722" s="104">
        <f>SUM(J722:N722)</f>
        <v/>
      </c>
      <c r="P722" s="12">
        <f>O722/IF(H722="L",20,IF(H722="U",30,IF(H722="O",40,IF(H722="I",20,""))))</f>
        <v/>
      </c>
      <c r="Q722" s="132">
        <f>IF(AND(H722="L", P722&gt;=50%), "Pass",
IF(AND(H722="U", P722&gt;=60%), "Pass",
IF(AND(H722="O", P722&gt;=75%), "Pass", "Fail")))</f>
        <v/>
      </c>
      <c r="R722" s="104" t="n"/>
      <c r="S722" s="104" t="n">
        <v>19</v>
      </c>
      <c r="T722" s="104" t="n">
        <v>15</v>
      </c>
      <c r="U722" s="104">
        <f>SUM(S722:T722)</f>
        <v/>
      </c>
      <c r="V722" s="12">
        <f>U722/IF(H722="L",35,IF(H722="U",35,IF(H722="O",35,IF(H722="I",35,""))))</f>
        <v/>
      </c>
      <c r="W722" s="132">
        <f>IF(AND(H722="L", V722&gt;=50%), "Pass",
IF(AND(H722="U", V722&gt;=60%), "Pass",
IF(AND(H722="O", V722&gt;=75%), "Pass", "Fail")))</f>
        <v/>
      </c>
      <c r="X722" s="132">
        <f>IF(AND(Q722="Pass", W722="Pass"), "Pass", "Fail")</f>
        <v/>
      </c>
      <c r="Y722" s="15">
        <f>IF($X722="Pass",$H722,
IF(H722="L","I",
IF(H722="U","L",
IF(H722="O","U",
"I"))))</f>
        <v/>
      </c>
      <c r="Z722" s="82" t="n"/>
    </row>
    <row r="723">
      <c r="A723" s="147">
        <f>ROW()-2</f>
        <v/>
      </c>
      <c r="B723" s="127" t="inlineStr">
        <is>
          <t>SR0753</t>
        </is>
      </c>
      <c r="C723" s="128" t="inlineStr">
        <is>
          <t>THERI PANDI C</t>
        </is>
      </c>
      <c r="D723" s="127" t="inlineStr">
        <is>
          <t>PRODUCTION</t>
        </is>
      </c>
      <c r="E723" s="129" t="inlineStr">
        <is>
          <t>BIAS MARANGONI&amp;BESTRY</t>
        </is>
      </c>
      <c r="F723" s="130" t="n">
        <v>42964</v>
      </c>
      <c r="G723" s="131">
        <f>NOW()-F723</f>
        <v/>
      </c>
      <c r="H723" s="104" t="inlineStr">
        <is>
          <t>O</t>
        </is>
      </c>
      <c r="I723" s="104" t="inlineStr">
        <is>
          <t>U</t>
        </is>
      </c>
      <c r="J723" s="104" t="n">
        <v>9</v>
      </c>
      <c r="K723" s="104" t="n">
        <v>7</v>
      </c>
      <c r="L723" s="104" t="n">
        <v>8</v>
      </c>
      <c r="M723" s="104" t="n">
        <v>9</v>
      </c>
      <c r="N723" s="104" t="n"/>
      <c r="O723" s="104">
        <f>SUM(J723:N723)</f>
        <v/>
      </c>
      <c r="P723" s="12">
        <f>O723/IF(H723="L",20,IF(H723="U",30,IF(H723="O",40,IF(H723="I",20,""))))</f>
        <v/>
      </c>
      <c r="Q723" s="132">
        <f>IF(AND(H723="L", P723&gt;=50%), "Pass",
IF(AND(H723="U", P723&gt;=60%), "Pass",
IF(AND(H723="O", P723&gt;=75%), "Pass", "Fail")))</f>
        <v/>
      </c>
      <c r="R723" s="104" t="n"/>
      <c r="S723" s="104" t="n">
        <v>16</v>
      </c>
      <c r="T723" s="104" t="n">
        <v>12</v>
      </c>
      <c r="U723" s="104">
        <f>SUM(S723:T723)</f>
        <v/>
      </c>
      <c r="V723" s="12">
        <f>U723/IF(H723="L",35,IF(H723="U",35,IF(H723="O",35,IF(H723="I",35,""))))</f>
        <v/>
      </c>
      <c r="W723" s="132">
        <f>IF(AND(H723="L", V723&gt;=50%), "Pass",
IF(AND(H723="U", V723&gt;=60%), "Pass",
IF(AND(H723="O", V723&gt;=75%), "Pass", "Fail")))</f>
        <v/>
      </c>
      <c r="X723" s="132">
        <f>IF(AND(Q723="Pass", W723="Pass"), "Pass", "Fail")</f>
        <v/>
      </c>
      <c r="Y723" s="15">
        <f>IF($X723="Pass",$H723,
IF(H723="L","I",
IF(H723="U","L",
IF(H723="O","U",
"I"))))</f>
        <v/>
      </c>
    </row>
    <row r="724">
      <c r="A724" s="147">
        <f>ROW()-2</f>
        <v/>
      </c>
      <c r="B724" s="127" t="inlineStr">
        <is>
          <t>MG1106</t>
        </is>
      </c>
      <c r="C724" s="128" t="inlineStr">
        <is>
          <t>MICHEAL RAJ S</t>
        </is>
      </c>
      <c r="D724" s="127" t="inlineStr">
        <is>
          <t>PRODUCTION</t>
        </is>
      </c>
      <c r="E724" s="129" t="inlineStr">
        <is>
          <t>TYRE BUILDING-P2</t>
        </is>
      </c>
      <c r="F724" s="130" t="n">
        <v>42966</v>
      </c>
      <c r="G724" s="131">
        <f>NOW()-F724</f>
        <v/>
      </c>
      <c r="H724" s="104" t="inlineStr">
        <is>
          <t>O</t>
        </is>
      </c>
      <c r="I724" s="104" t="inlineStr">
        <is>
          <t>U</t>
        </is>
      </c>
      <c r="J724" s="104" t="n">
        <v>10</v>
      </c>
      <c r="K724" s="104" t="n">
        <v>8</v>
      </c>
      <c r="L724" s="104" t="n">
        <v>8</v>
      </c>
      <c r="M724" s="104" t="n">
        <v>10</v>
      </c>
      <c r="N724" s="104" t="n"/>
      <c r="O724" s="104">
        <f>SUM(J724:N724)</f>
        <v/>
      </c>
      <c r="P724" s="12">
        <f>O724/IF(H724="L",20,IF(H724="U",30,IF(H724="O",40,IF(H724="I",20,""))))</f>
        <v/>
      </c>
      <c r="Q724" s="132">
        <f>IF(AND(H724="L", P724&gt;=50%), "Pass",
IF(AND(H724="U", P724&gt;=60%), "Pass",
IF(AND(H724="O", P724&gt;=75%), "Pass", "Fail")))</f>
        <v/>
      </c>
      <c r="R724" s="104" t="n"/>
      <c r="S724" s="104" t="n">
        <v>11</v>
      </c>
      <c r="T724" s="104" t="n">
        <v>10</v>
      </c>
      <c r="U724" s="104">
        <f>SUM(S724:T724)</f>
        <v/>
      </c>
      <c r="V724" s="12">
        <f>U724/IF(H724="L",35,IF(H724="U",35,IF(H724="O",35,IF(H724="I",35,""))))</f>
        <v/>
      </c>
      <c r="W724" s="132">
        <f>IF(AND(H724="L", V724&gt;=50%), "Pass",
IF(AND(H724="U", V724&gt;=60%), "Pass",
IF(AND(H724="O", V724&gt;=75%), "Pass", "Fail")))</f>
        <v/>
      </c>
      <c r="X724" s="132">
        <f>IF(AND(Q724="Pass", W724="Pass"), "Pass", "Fail")</f>
        <v/>
      </c>
      <c r="Y724" s="15">
        <f>IF($X724="Pass",$H724,
IF(H724="L","I",
IF(H724="U","L",
IF(H724="O","U",
"I"))))</f>
        <v/>
      </c>
    </row>
    <row r="725">
      <c r="A725" s="147">
        <f>ROW()-2</f>
        <v/>
      </c>
      <c r="B725" s="127" t="inlineStr">
        <is>
          <t>SK2585</t>
        </is>
      </c>
      <c r="C725" s="128" t="inlineStr">
        <is>
          <t>SORNAMAYILRAJ N</t>
        </is>
      </c>
      <c r="D725" s="127" t="inlineStr">
        <is>
          <t>PRODUCTION</t>
        </is>
      </c>
      <c r="E725" s="129" t="inlineStr">
        <is>
          <t>TYRE BUILDING-P2</t>
        </is>
      </c>
      <c r="F725" s="130" t="n">
        <v>42966</v>
      </c>
      <c r="G725" s="131">
        <f>NOW()-F725</f>
        <v/>
      </c>
      <c r="H725" s="104" t="inlineStr">
        <is>
          <t>O</t>
        </is>
      </c>
      <c r="I725" s="104" t="inlineStr">
        <is>
          <t>U</t>
        </is>
      </c>
      <c r="J725" s="104" t="n">
        <v>10</v>
      </c>
      <c r="K725" s="104" t="n">
        <v>9</v>
      </c>
      <c r="L725" s="104" t="n">
        <v>8</v>
      </c>
      <c r="M725" s="104" t="n">
        <v>10</v>
      </c>
      <c r="N725" s="104" t="n"/>
      <c r="O725" s="104">
        <f>SUM(J725:N725)</f>
        <v/>
      </c>
      <c r="P725" s="12">
        <f>O725/IF(H725="L",20,IF(H725="U",30,IF(H725="O",40,IF(H725="I",20,""))))</f>
        <v/>
      </c>
      <c r="Q725" s="132">
        <f>IF(AND(H725="L", P725&gt;=50%), "Pass",
IF(AND(H725="U", P725&gt;=60%), "Pass",
IF(AND(H725="O", P725&gt;=75%), "Pass", "Fail")))</f>
        <v/>
      </c>
      <c r="R725" s="104" t="n"/>
      <c r="S725" s="104" t="n">
        <v>9</v>
      </c>
      <c r="T725" s="104" t="n">
        <v>6</v>
      </c>
      <c r="U725" s="104">
        <f>SUM(S725:T725)</f>
        <v/>
      </c>
      <c r="V725" s="12">
        <f>U725/IF(H725="L",35,IF(H725="U",35,IF(H725="O",35,IF(H725="I",35,""))))</f>
        <v/>
      </c>
      <c r="W725" s="132">
        <f>IF(AND(H725="L", V725&gt;=50%), "Pass",
IF(AND(H725="U", V725&gt;=60%), "Pass",
IF(AND(H725="O", V725&gt;=75%), "Pass", "Fail")))</f>
        <v/>
      </c>
      <c r="X725" s="132">
        <f>IF(AND(Q725="Pass", W725="Pass"), "Pass", "Fail")</f>
        <v/>
      </c>
      <c r="Y725" s="15">
        <f>IF($X725="Pass",$H725,
IF(H725="L","I",
IF(H725="U","L",
IF(H725="O","U",
"I"))))</f>
        <v/>
      </c>
    </row>
    <row r="726">
      <c r="A726" s="147">
        <f>ROW()-2</f>
        <v/>
      </c>
      <c r="B726" s="127" t="inlineStr">
        <is>
          <t>SK2590</t>
        </is>
      </c>
      <c r="C726" s="128" t="inlineStr">
        <is>
          <t>KALAIARASAN S</t>
        </is>
      </c>
      <c r="D726" s="127" t="inlineStr">
        <is>
          <t>PRODUCTION</t>
        </is>
      </c>
      <c r="E726" s="129" t="inlineStr">
        <is>
          <t>TYRE BUILDING-P3</t>
        </is>
      </c>
      <c r="F726" s="130" t="n">
        <v>42979</v>
      </c>
      <c r="G726" s="131">
        <f>NOW()-F726</f>
        <v/>
      </c>
      <c r="H726" s="104" t="inlineStr">
        <is>
          <t>O</t>
        </is>
      </c>
      <c r="I726" s="104" t="inlineStr">
        <is>
          <t>O</t>
        </is>
      </c>
      <c r="J726" s="104" t="n">
        <v>10</v>
      </c>
      <c r="K726" s="104" t="n">
        <v>8</v>
      </c>
      <c r="L726" s="104" t="n">
        <v>7</v>
      </c>
      <c r="M726" s="104" t="n">
        <v>10</v>
      </c>
      <c r="N726" s="104" t="n"/>
      <c r="O726" s="104">
        <f>SUM(J726:N726)</f>
        <v/>
      </c>
      <c r="P726" s="12">
        <f>O726/IF(H726="L",20,IF(H726="U",30,IF(H726="O",40,IF(H726="I",20,""))))</f>
        <v/>
      </c>
      <c r="Q726" s="132">
        <f>IF(AND(H726="L", P726&gt;=50%), "Pass",
IF(AND(H726="U", P726&gt;=60%), "Pass",
IF(AND(H726="O", P726&gt;=75%), "Pass", "Fail")))</f>
        <v/>
      </c>
      <c r="R726" s="104" t="n"/>
      <c r="S726" s="104" t="n">
        <v>18</v>
      </c>
      <c r="T726" s="104" t="n">
        <v>15</v>
      </c>
      <c r="U726" s="104">
        <f>SUM(S726:T726)</f>
        <v/>
      </c>
      <c r="V726" s="12">
        <f>U726/IF(H726="L",35,IF(H726="U",35,IF(H726="O",35,IF(H726="I",35,""))))</f>
        <v/>
      </c>
      <c r="W726" s="132">
        <f>IF(AND(H726="L", V726&gt;=50%), "Pass",
IF(AND(H726="U", V726&gt;=60%), "Pass",
IF(AND(H726="O", V726&gt;=75%), "Pass", "Fail")))</f>
        <v/>
      </c>
      <c r="X726" s="132">
        <f>IF(AND(Q726="Pass", W726="Pass"), "Pass", "Fail")</f>
        <v/>
      </c>
      <c r="Y726" s="15">
        <f>IF($X726="Pass",$H726,
IF(H726="L","I",
IF(H726="U","L",
IF(H726="O","U",
"I"))))</f>
        <v/>
      </c>
    </row>
    <row r="727">
      <c r="A727" s="147">
        <f>ROW()-2</f>
        <v/>
      </c>
      <c r="B727" s="127" t="inlineStr">
        <is>
          <t>MG1113</t>
        </is>
      </c>
      <c r="C727" s="128" t="inlineStr">
        <is>
          <t>POOL PANDIAN R</t>
        </is>
      </c>
      <c r="D727" s="127" t="inlineStr">
        <is>
          <t>PRODUCTION</t>
        </is>
      </c>
      <c r="E727" s="129" t="inlineStr">
        <is>
          <t>TYRE BUILDING-P2</t>
        </is>
      </c>
      <c r="F727" s="130" t="n">
        <v>42982</v>
      </c>
      <c r="G727" s="131">
        <f>NOW()-F727</f>
        <v/>
      </c>
      <c r="H727" s="104" t="inlineStr">
        <is>
          <t>O</t>
        </is>
      </c>
      <c r="I727" s="104" t="inlineStr">
        <is>
          <t>O</t>
        </is>
      </c>
      <c r="J727" s="104" t="n">
        <v>10</v>
      </c>
      <c r="K727" s="104" t="n">
        <v>9</v>
      </c>
      <c r="L727" s="104" t="n">
        <v>9</v>
      </c>
      <c r="M727" s="104" t="n">
        <v>8</v>
      </c>
      <c r="N727" s="104" t="n"/>
      <c r="O727" s="104">
        <f>SUM(J727:N727)</f>
        <v/>
      </c>
      <c r="P727" s="12">
        <f>O727/IF(H727="L",20,IF(H727="U",30,IF(H727="O",40,IF(H727="I",20,""))))</f>
        <v/>
      </c>
      <c r="Q727" s="132">
        <f>IF(AND(H727="L", P727&gt;=50%), "Pass",
IF(AND(H727="U", P727&gt;=60%), "Pass",
IF(AND(H727="O", P727&gt;=75%), "Pass", "Fail")))</f>
        <v/>
      </c>
      <c r="R727" s="104" t="n"/>
      <c r="S727" s="104" t="n">
        <v>14</v>
      </c>
      <c r="T727" s="104" t="n">
        <v>11</v>
      </c>
      <c r="U727" s="104">
        <f>SUM(S727:T727)</f>
        <v/>
      </c>
      <c r="V727" s="12">
        <f>U727/IF(H727="L",35,IF(H727="U",35,IF(H727="O",35,IF(H727="I",35,""))))</f>
        <v/>
      </c>
      <c r="W727" s="132">
        <f>IF(AND(H727="L", V727&gt;=50%), "Pass",
IF(AND(H727="U", V727&gt;=60%), "Pass",
IF(AND(H727="O", V727&gt;=75%), "Pass", "Fail")))</f>
        <v/>
      </c>
      <c r="X727" s="132">
        <f>IF(AND(Q727="Pass", W727="Pass"), "Pass", "Fail")</f>
        <v/>
      </c>
      <c r="Y727" s="15">
        <f>IF($X727="Pass",$H727,
IF(H727="L","I",
IF(H727="U","L",
IF(H727="O","U",
"I"))))</f>
        <v/>
      </c>
    </row>
    <row r="728">
      <c r="A728" s="147">
        <f>ROW()-2</f>
        <v/>
      </c>
      <c r="B728" s="127" t="inlineStr">
        <is>
          <t>SK2596</t>
        </is>
      </c>
      <c r="C728" s="128" t="inlineStr">
        <is>
          <t>SURESH KUTTI M</t>
        </is>
      </c>
      <c r="D728" s="127" t="inlineStr">
        <is>
          <t>PRODUCTION</t>
        </is>
      </c>
      <c r="E728" s="129" t="inlineStr">
        <is>
          <t>TYRE CURING</t>
        </is>
      </c>
      <c r="F728" s="130" t="n">
        <v>42982</v>
      </c>
      <c r="G728" s="131">
        <f>NOW()-F728</f>
        <v/>
      </c>
      <c r="H728" s="104" t="inlineStr">
        <is>
          <t>O</t>
        </is>
      </c>
      <c r="I728" s="104" t="inlineStr">
        <is>
          <t>O</t>
        </is>
      </c>
      <c r="J728" s="104" t="n">
        <v>9</v>
      </c>
      <c r="K728" s="104" t="n">
        <v>9</v>
      </c>
      <c r="L728" s="104" t="n">
        <v>9</v>
      </c>
      <c r="M728" s="104" t="n">
        <v>9</v>
      </c>
      <c r="N728" s="104" t="n"/>
      <c r="O728" s="104">
        <f>SUM(J728:N728)</f>
        <v/>
      </c>
      <c r="P728" s="12">
        <f>O728/IF(H728="L",20,IF(H728="U",30,IF(H728="O",40,IF(H728="I",20,""))))</f>
        <v/>
      </c>
      <c r="Q728" s="132">
        <f>IF(AND(H728="L", P728&gt;=50%), "Pass",
IF(AND(H728="U", P728&gt;=60%), "Pass",
IF(AND(H728="O", P728&gt;=75%), "Pass", "Fail")))</f>
        <v/>
      </c>
      <c r="R728" s="104" t="n"/>
      <c r="S728" s="104" t="n">
        <v>14</v>
      </c>
      <c r="T728" s="104" t="n">
        <v>13</v>
      </c>
      <c r="U728" s="104">
        <f>SUM(S728:T728)</f>
        <v/>
      </c>
      <c r="V728" s="12">
        <f>U728/IF(H728="L",35,IF(H728="U",35,IF(H728="O",35,IF(H728="I",35,""))))</f>
        <v/>
      </c>
      <c r="W728" s="132">
        <f>IF(AND(H728="L", V728&gt;=50%), "Pass",
IF(AND(H728="U", V728&gt;=60%), "Pass",
IF(AND(H728="O", V728&gt;=75%), "Pass", "Fail")))</f>
        <v/>
      </c>
      <c r="X728" s="132">
        <f>IF(AND(Q728="Pass", W728="Pass"), "Pass", "Fail")</f>
        <v/>
      </c>
      <c r="Y728" s="15">
        <f>IF($X728="Pass",$H728,
IF(H728="L","I",
IF(H728="U","L",
IF(H728="O","U",
"I"))))</f>
        <v/>
      </c>
    </row>
    <row r="729">
      <c r="A729" s="147">
        <f>ROW()-2</f>
        <v/>
      </c>
      <c r="B729" s="127" t="inlineStr">
        <is>
          <t>SR0762</t>
        </is>
      </c>
      <c r="C729" s="128" t="inlineStr">
        <is>
          <t>KRISHNA MOORTHY M</t>
        </is>
      </c>
      <c r="D729" s="127" t="inlineStr">
        <is>
          <t>PRODUCTION</t>
        </is>
      </c>
      <c r="E729" s="129" t="inlineStr">
        <is>
          <t>TYRE BUILDING-P2</t>
        </is>
      </c>
      <c r="F729" s="130" t="n">
        <v>42982</v>
      </c>
      <c r="G729" s="131">
        <f>NOW()-F729</f>
        <v/>
      </c>
      <c r="H729" s="104" t="inlineStr">
        <is>
          <t>O</t>
        </is>
      </c>
      <c r="I729" s="104" t="inlineStr">
        <is>
          <t>U</t>
        </is>
      </c>
      <c r="J729" s="104" t="n">
        <v>10</v>
      </c>
      <c r="K729" s="104" t="n">
        <v>10</v>
      </c>
      <c r="L729" s="104" t="n">
        <v>8</v>
      </c>
      <c r="M729" s="104" t="n">
        <v>7</v>
      </c>
      <c r="N729" s="104" t="n"/>
      <c r="O729" s="104">
        <f>SUM(J729:N729)</f>
        <v/>
      </c>
      <c r="P729" s="12">
        <f>O729/IF(H729="L",20,IF(H729="U",30,IF(H729="O",40,IF(H729="I",20,""))))</f>
        <v/>
      </c>
      <c r="Q729" s="132">
        <f>IF(AND(H729="L", P729&gt;=50%), "Pass",
IF(AND(H729="U", P729&gt;=60%), "Pass",
IF(AND(H729="O", P729&gt;=75%), "Pass", "Fail")))</f>
        <v/>
      </c>
      <c r="R729" s="104" t="n"/>
      <c r="S729" s="104" t="n">
        <v>12</v>
      </c>
      <c r="T729" s="104" t="n">
        <v>8</v>
      </c>
      <c r="U729" s="104">
        <f>SUM(S729:T729)</f>
        <v/>
      </c>
      <c r="V729" s="12">
        <f>U729/IF(H729="L",35,IF(H729="U",35,IF(H729="O",35,IF(H729="I",35,""))))</f>
        <v/>
      </c>
      <c r="W729" s="132">
        <f>IF(AND(H729="L", V729&gt;=50%), "Pass",
IF(AND(H729="U", V729&gt;=60%), "Pass",
IF(AND(H729="O", V729&gt;=75%), "Pass", "Fail")))</f>
        <v/>
      </c>
      <c r="X729" s="132">
        <f>IF(AND(Q729="Pass", W729="Pass"), "Pass", "Fail")</f>
        <v/>
      </c>
      <c r="Y729" s="15">
        <f>IF($X729="Pass",$H729,
IF(H729="L","I",
IF(H729="U","L",
IF(H729="O","U",
"I"))))</f>
        <v/>
      </c>
    </row>
    <row r="730">
      <c r="A730" s="147">
        <f>ROW()-2</f>
        <v/>
      </c>
      <c r="B730" s="127" t="inlineStr">
        <is>
          <t>PK0852</t>
        </is>
      </c>
      <c r="C730" s="128" t="inlineStr">
        <is>
          <t>JOGENDRA ORAON</t>
        </is>
      </c>
      <c r="D730" s="127" t="inlineStr">
        <is>
          <t>PRODUCTION</t>
        </is>
      </c>
      <c r="E730" s="129" t="inlineStr">
        <is>
          <t>YANTHAI</t>
        </is>
      </c>
      <c r="F730" s="130" t="n">
        <v>43014</v>
      </c>
      <c r="G730" s="131">
        <f>NOW()-F730</f>
        <v/>
      </c>
      <c r="H730" s="104" t="inlineStr">
        <is>
          <t>O</t>
        </is>
      </c>
      <c r="I730" s="104" t="inlineStr">
        <is>
          <t>O</t>
        </is>
      </c>
      <c r="J730" s="104" t="n">
        <v>10</v>
      </c>
      <c r="K730" s="104" t="n">
        <v>8</v>
      </c>
      <c r="L730" s="104" t="n">
        <v>8</v>
      </c>
      <c r="M730" s="104" t="n">
        <v>6</v>
      </c>
      <c r="N730" s="104" t="n"/>
      <c r="O730" s="104">
        <f>SUM(J730:N730)</f>
        <v/>
      </c>
      <c r="P730" s="12">
        <f>O730/IF(H730="L",20,IF(H730="U",30,IF(H730="O",40,IF(H730="I",20,""))))</f>
        <v/>
      </c>
      <c r="Q730" s="132">
        <f>IF(AND(H730="L", P730&gt;=50%), "Pass",
IF(AND(H730="U", P730&gt;=60%), "Pass",
IF(AND(H730="O", P730&gt;=75%), "Pass", "Fail")))</f>
        <v/>
      </c>
      <c r="R730" s="104" t="n"/>
      <c r="S730" s="43" t="n">
        <v>16</v>
      </c>
      <c r="T730" s="43" t="n">
        <v>14</v>
      </c>
      <c r="U730" s="104">
        <f>SUM(S730:T730)</f>
        <v/>
      </c>
      <c r="V730" s="12">
        <f>U730/IF(H730="L",35,IF(H730="U",35,IF(H730="O",35,IF(H730="I",35,""))))</f>
        <v/>
      </c>
      <c r="W730" s="132">
        <f>IF(AND(H730="L", V730&gt;=50%), "Pass",
IF(AND(H730="U", V730&gt;=60%), "Pass",
IF(AND(H730="O", V730&gt;=75%), "Pass", "Fail")))</f>
        <v/>
      </c>
      <c r="X730" s="132">
        <f>IF(AND(Q730="Pass", W730="Pass"), "Pass", "Fail")</f>
        <v/>
      </c>
      <c r="Y730" s="15">
        <f>IF($X730="Pass",$H730,
IF(H730="L","I",
IF(H730="U","L",
IF(H730="O","U",
"I"))))</f>
        <v/>
      </c>
    </row>
    <row r="731">
      <c r="A731" s="147">
        <f>ROW()-2</f>
        <v/>
      </c>
      <c r="B731" s="127" t="inlineStr">
        <is>
          <t>SK2611</t>
        </is>
      </c>
      <c r="C731" s="128" t="inlineStr">
        <is>
          <t>LAVKUSH KUMAR</t>
        </is>
      </c>
      <c r="D731" s="127" t="inlineStr">
        <is>
          <t>PRODUCTION</t>
        </is>
      </c>
      <c r="E731" s="129" t="inlineStr">
        <is>
          <t>TYRE BUILDING-P3</t>
        </is>
      </c>
      <c r="F731" s="130" t="n">
        <v>43033</v>
      </c>
      <c r="G731" s="131">
        <f>NOW()-F731</f>
        <v/>
      </c>
      <c r="H731" s="104" t="inlineStr">
        <is>
          <t>O</t>
        </is>
      </c>
      <c r="I731" s="104" t="inlineStr">
        <is>
          <t>O</t>
        </is>
      </c>
      <c r="J731" s="104" t="n">
        <v>3</v>
      </c>
      <c r="K731" s="104" t="n">
        <v>4</v>
      </c>
      <c r="L731" s="104" t="n">
        <v>1</v>
      </c>
      <c r="M731" s="104" t="n">
        <v>2</v>
      </c>
      <c r="N731" s="104" t="n"/>
      <c r="O731" s="104">
        <f>SUM(J731:N731)</f>
        <v/>
      </c>
      <c r="P731" s="12">
        <f>O731/IF(H731="L",20,IF(H731="U",30,IF(H731="O",40,IF(H731="I",20,""))))</f>
        <v/>
      </c>
      <c r="Q731" s="132">
        <f>IF(AND(H731="L", P731&gt;=50%), "Pass",
IF(AND(H731="U", P731&gt;=60%), "Pass",
IF(AND(H731="O", P731&gt;=75%), "Pass", "Fail")))</f>
        <v/>
      </c>
      <c r="R731" s="104" t="n"/>
      <c r="S731" s="104" t="n">
        <v>19</v>
      </c>
      <c r="T731" s="104" t="n">
        <v>14</v>
      </c>
      <c r="U731" s="104">
        <f>SUM(S731:T731)</f>
        <v/>
      </c>
      <c r="V731" s="12">
        <f>U731/IF(H731="L",35,IF(H731="U",35,IF(H731="O",35,IF(H731="I",35,""))))</f>
        <v/>
      </c>
      <c r="W731" s="132">
        <f>IF(AND(H731="L", V731&gt;=50%), "Pass",
IF(AND(H731="U", V731&gt;=60%), "Pass",
IF(AND(H731="O", V731&gt;=75%), "Pass", "Fail")))</f>
        <v/>
      </c>
      <c r="X731" s="132">
        <f>IF(AND(Q731="Pass", W731="Pass"), "Pass", "Fail")</f>
        <v/>
      </c>
      <c r="Y731" s="15">
        <f>IF($X731="Pass",$H731,
IF(H731="L","I",
IF(H731="U","L",
IF(H731="O","U",
"I"))))</f>
        <v/>
      </c>
    </row>
    <row r="732">
      <c r="A732" s="147">
        <f>ROW()-2</f>
        <v/>
      </c>
      <c r="B732" s="127" t="inlineStr">
        <is>
          <t>AK0693</t>
        </is>
      </c>
      <c r="C732" s="128" t="inlineStr">
        <is>
          <t>KALIMUTHU K</t>
        </is>
      </c>
      <c r="D732" s="127" t="inlineStr">
        <is>
          <t>PRODUCTION</t>
        </is>
      </c>
      <c r="E732" s="129" t="inlineStr">
        <is>
          <t>BEAD WINDING</t>
        </is>
      </c>
      <c r="F732" s="130" t="n">
        <v>43035</v>
      </c>
      <c r="G732" s="131">
        <f>NOW()-F732</f>
        <v/>
      </c>
      <c r="H732" s="104" t="inlineStr">
        <is>
          <t>O</t>
        </is>
      </c>
      <c r="I732" s="104" t="inlineStr">
        <is>
          <t>U</t>
        </is>
      </c>
      <c r="J732" s="104" t="n">
        <v>6</v>
      </c>
      <c r="K732" s="104" t="n">
        <v>5</v>
      </c>
      <c r="L732" s="104" t="n">
        <v>6</v>
      </c>
      <c r="M732" s="104" t="n">
        <v>7</v>
      </c>
      <c r="N732" s="104" t="n"/>
      <c r="O732" s="104">
        <f>SUM(J732:N732)</f>
        <v/>
      </c>
      <c r="P732" s="12">
        <f>O732/IF(H732="L",20,IF(H732="U",30,IF(H732="O",40,IF(H732="I",20,""))))</f>
        <v/>
      </c>
      <c r="Q732" s="132">
        <f>IF(AND(H732="L", P732&gt;=50%), "Pass",
IF(AND(H732="U", P732&gt;=60%), "Pass",
IF(AND(H732="O", P732&gt;=75%), "Pass", "Fail")))</f>
        <v/>
      </c>
      <c r="R732" s="104" t="n"/>
      <c r="S732" s="104" t="n">
        <v>15</v>
      </c>
      <c r="T732" s="104" t="n">
        <v>8</v>
      </c>
      <c r="U732" s="104">
        <f>SUM(S732:T732)</f>
        <v/>
      </c>
      <c r="V732" s="12">
        <f>U732/IF(H732="L",35,IF(H732="U",35,IF(H732="O",35,IF(H732="I",35,""))))</f>
        <v/>
      </c>
      <c r="W732" s="132">
        <f>IF(AND(H732="L", V732&gt;=50%), "Pass",
IF(AND(H732="U", V732&gt;=60%), "Pass",
IF(AND(H732="O", V732&gt;=75%), "Pass", "Fail")))</f>
        <v/>
      </c>
      <c r="X732" s="132">
        <f>IF(AND(Q732="Pass", W732="Pass"), "Pass", "Fail")</f>
        <v/>
      </c>
      <c r="Y732" s="15">
        <f>IF($X732="Pass",$H732,
IF(H732="L","I",
IF(H732="U","L",
IF(H732="O","U",
"I"))))</f>
        <v/>
      </c>
    </row>
    <row r="733">
      <c r="A733" s="147">
        <f>ROW()-2</f>
        <v/>
      </c>
      <c r="B733" s="127" t="inlineStr">
        <is>
          <t>MG1130</t>
        </is>
      </c>
      <c r="C733" s="128" t="inlineStr">
        <is>
          <t>MAYANDI M</t>
        </is>
      </c>
      <c r="D733" s="127" t="inlineStr">
        <is>
          <t>PRODUCTION</t>
        </is>
      </c>
      <c r="E733" s="129" t="inlineStr">
        <is>
          <t>BAND BUILDING-P2</t>
        </is>
      </c>
      <c r="F733" s="130" t="n">
        <v>43042</v>
      </c>
      <c r="G733" s="131">
        <f>NOW()-F733</f>
        <v/>
      </c>
      <c r="H733" s="104" t="inlineStr">
        <is>
          <t>O</t>
        </is>
      </c>
      <c r="I733" s="104" t="inlineStr">
        <is>
          <t>U</t>
        </is>
      </c>
      <c r="J733" s="104" t="n">
        <v>7</v>
      </c>
      <c r="K733" s="104" t="n">
        <v>6</v>
      </c>
      <c r="L733" s="104" t="n">
        <v>10</v>
      </c>
      <c r="M733" s="104" t="n">
        <v>6</v>
      </c>
      <c r="N733" s="104" t="n"/>
      <c r="O733" s="104">
        <f>SUM(J733:N733)</f>
        <v/>
      </c>
      <c r="P733" s="12">
        <f>O733/IF(H733="L",20,IF(H733="U",30,IF(H733="O",40,IF(H733="I",20,""))))</f>
        <v/>
      </c>
      <c r="Q733" s="132">
        <f>IF(AND(H733="L", P733&gt;=50%), "Pass",
IF(AND(H733="U", P733&gt;=60%), "Pass",
IF(AND(H733="O", P733&gt;=75%), "Pass", "Fail")))</f>
        <v/>
      </c>
      <c r="R733" s="104" t="n"/>
      <c r="S733" s="104" t="n">
        <v>13</v>
      </c>
      <c r="T733" s="104" t="n">
        <v>9</v>
      </c>
      <c r="U733" s="104">
        <f>SUM(S733:T733)</f>
        <v/>
      </c>
      <c r="V733" s="12">
        <f>U733/IF(H733="L",35,IF(H733="U",35,IF(H733="O",35,IF(H733="I",35,""))))</f>
        <v/>
      </c>
      <c r="W733" s="132">
        <f>IF(AND(H733="L", V733&gt;=50%), "Pass",
IF(AND(H733="U", V733&gt;=60%), "Pass",
IF(AND(H733="O", V733&gt;=75%), "Pass", "Fail")))</f>
        <v/>
      </c>
      <c r="X733" s="132">
        <f>IF(AND(Q733="Pass", W733="Pass"), "Pass", "Fail")</f>
        <v/>
      </c>
      <c r="Y733" s="15">
        <f>IF($X733="Pass",$H733,
IF(H733="L","I",
IF(H733="U","L",
IF(H733="O","U",
"I"))))</f>
        <v/>
      </c>
    </row>
    <row r="734">
      <c r="A734" s="147">
        <f>ROW()-2</f>
        <v/>
      </c>
      <c r="B734" s="127" t="inlineStr">
        <is>
          <t>SR0773</t>
        </is>
      </c>
      <c r="C734" s="128" t="inlineStr">
        <is>
          <t>ESAKKI S</t>
        </is>
      </c>
      <c r="D734" s="127" t="inlineStr">
        <is>
          <t>PRODUCTION</t>
        </is>
      </c>
      <c r="E734" s="129" t="inlineStr">
        <is>
          <t>BIAS MARANGONI&amp;BESTRY</t>
        </is>
      </c>
      <c r="F734" s="130" t="n">
        <v>43042</v>
      </c>
      <c r="G734" s="131">
        <f>NOW()-F734</f>
        <v/>
      </c>
      <c r="H734" s="104" t="inlineStr">
        <is>
          <t>O</t>
        </is>
      </c>
      <c r="I734" s="104" t="inlineStr">
        <is>
          <t>U</t>
        </is>
      </c>
      <c r="J734" s="104" t="n">
        <v>9</v>
      </c>
      <c r="K734" s="104" t="n">
        <v>9</v>
      </c>
      <c r="L734" s="104" t="n">
        <v>9</v>
      </c>
      <c r="M734" s="104" t="n">
        <v>6</v>
      </c>
      <c r="N734" s="104" t="n"/>
      <c r="O734" s="104">
        <f>SUM(J734:N734)</f>
        <v/>
      </c>
      <c r="P734" s="12">
        <f>O734/IF(H734="L",20,IF(H734="U",30,IF(H734="O",40,IF(H734="I",20,""))))</f>
        <v/>
      </c>
      <c r="Q734" s="132">
        <f>IF(AND(H734="L", P734&gt;=50%), "Pass",
IF(AND(H734="U", P734&gt;=60%), "Pass",
IF(AND(H734="O", P734&gt;=75%), "Pass", "Fail")))</f>
        <v/>
      </c>
      <c r="R734" s="104" t="n"/>
      <c r="S734" s="104" t="n">
        <v>11</v>
      </c>
      <c r="T734" s="104" t="n">
        <v>8</v>
      </c>
      <c r="U734" s="104">
        <f>SUM(S734:T734)</f>
        <v/>
      </c>
      <c r="V734" s="12">
        <f>U734/IF(H734="L",35,IF(H734="U",35,IF(H734="O",35,IF(H734="I",35,""))))</f>
        <v/>
      </c>
      <c r="W734" s="132">
        <f>IF(AND(H734="L", V734&gt;=50%), "Pass",
IF(AND(H734="U", V734&gt;=60%), "Pass",
IF(AND(H734="O", V734&gt;=75%), "Pass", "Fail")))</f>
        <v/>
      </c>
      <c r="X734" s="132">
        <f>IF(AND(Q734="Pass", W734="Pass"), "Pass", "Fail")</f>
        <v/>
      </c>
      <c r="Y734" s="15">
        <f>IF($X734="Pass",$H734,
IF(H734="L","I",
IF(H734="U","L",
IF(H734="O","U",
"I"))))</f>
        <v/>
      </c>
      <c r="Z734" s="82" t="n"/>
    </row>
    <row r="735">
      <c r="A735" s="147">
        <f>ROW()-2</f>
        <v/>
      </c>
      <c r="B735" s="127" t="inlineStr">
        <is>
          <t>KK0855</t>
        </is>
      </c>
      <c r="C735" s="128" t="inlineStr">
        <is>
          <t>MANIKANDAN M</t>
        </is>
      </c>
      <c r="D735" s="127" t="inlineStr">
        <is>
          <t>PRODUCTION</t>
        </is>
      </c>
      <c r="E735" s="129" t="inlineStr">
        <is>
          <t>BIAS MARANGONI&amp;BESTRY</t>
        </is>
      </c>
      <c r="F735" s="130" t="n">
        <v>43043</v>
      </c>
      <c r="G735" s="131">
        <f>NOW()-F735</f>
        <v/>
      </c>
      <c r="H735" s="104" t="inlineStr">
        <is>
          <t>O</t>
        </is>
      </c>
      <c r="I735" s="104" t="inlineStr">
        <is>
          <t>O</t>
        </is>
      </c>
      <c r="J735" s="104" t="n">
        <v>9</v>
      </c>
      <c r="K735" s="104" t="n">
        <v>9</v>
      </c>
      <c r="L735" s="104" t="n">
        <v>9</v>
      </c>
      <c r="M735" s="104" t="n">
        <v>7</v>
      </c>
      <c r="N735" s="104" t="n"/>
      <c r="O735" s="104">
        <f>SUM(J735:N735)</f>
        <v/>
      </c>
      <c r="P735" s="12">
        <f>O735/IF(H735="L",20,IF(H735="U",30,IF(H735="O",40,IF(H735="I",20,""))))</f>
        <v/>
      </c>
      <c r="Q735" s="132">
        <f>IF(AND(H735="L", P735&gt;=50%), "Pass",
IF(AND(H735="U", P735&gt;=60%), "Pass",
IF(AND(H735="O", P735&gt;=75%), "Pass", "Fail")))</f>
        <v/>
      </c>
      <c r="R735" s="104" t="n"/>
      <c r="S735" s="104" t="n">
        <v>16</v>
      </c>
      <c r="T735" s="104" t="n">
        <v>12</v>
      </c>
      <c r="U735" s="104">
        <f>SUM(S735:T735)</f>
        <v/>
      </c>
      <c r="V735" s="12">
        <f>U735/IF(H735="L",35,IF(H735="U",35,IF(H735="O",35,IF(H735="I",35,""))))</f>
        <v/>
      </c>
      <c r="W735" s="132">
        <f>IF(AND(H735="L", V735&gt;=50%), "Pass",
IF(AND(H735="U", V735&gt;=60%), "Pass",
IF(AND(H735="O", V735&gt;=75%), "Pass", "Fail")))</f>
        <v/>
      </c>
      <c r="X735" s="132">
        <f>IF(AND(Q735="Pass", W735="Pass"), "Pass", "Fail")</f>
        <v/>
      </c>
      <c r="Y735" s="15">
        <f>IF($X735="Pass",$H735,
IF(H735="L","I",
IF(H735="U","L",
IF(H735="O","U",
"I"))))</f>
        <v/>
      </c>
      <c r="Z735" s="82" t="n"/>
    </row>
    <row r="736">
      <c r="A736" s="147">
        <f>ROW()-2</f>
        <v/>
      </c>
      <c r="B736" s="127" t="inlineStr">
        <is>
          <t>MG1135</t>
        </is>
      </c>
      <c r="C736" s="128" t="inlineStr">
        <is>
          <t>ANAND S</t>
        </is>
      </c>
      <c r="D736" s="127" t="inlineStr">
        <is>
          <t>PRODUCTION</t>
        </is>
      </c>
      <c r="E736" s="129" t="inlineStr">
        <is>
          <t>BAND BUILDING-P2</t>
        </is>
      </c>
      <c r="F736" s="130" t="n">
        <v>43046</v>
      </c>
      <c r="G736" s="131">
        <f>NOW()-F736</f>
        <v/>
      </c>
      <c r="H736" s="104" t="inlineStr">
        <is>
          <t>O</t>
        </is>
      </c>
      <c r="I736" s="104" t="inlineStr">
        <is>
          <t>U</t>
        </is>
      </c>
      <c r="J736" s="104" t="n">
        <v>9</v>
      </c>
      <c r="K736" s="104" t="n">
        <v>6</v>
      </c>
      <c r="L736" s="104" t="n">
        <v>5</v>
      </c>
      <c r="M736" s="104" t="n">
        <v>7</v>
      </c>
      <c r="N736" s="104" t="n"/>
      <c r="O736" s="104">
        <f>SUM(J736:N736)</f>
        <v/>
      </c>
      <c r="P736" s="12">
        <f>O736/IF(H736="L",20,IF(H736="U",30,IF(H736="O",40,IF(H736="I",20,""))))</f>
        <v/>
      </c>
      <c r="Q736" s="132">
        <f>IF(AND(H736="L", P736&gt;=50%), "Pass",
IF(AND(H736="U", P736&gt;=60%), "Pass",
IF(AND(H736="O", P736&gt;=75%), "Pass", "Fail")))</f>
        <v/>
      </c>
      <c r="R736" s="104" t="n"/>
      <c r="S736" s="104" t="n">
        <v>13</v>
      </c>
      <c r="T736" s="104" t="n">
        <v>9</v>
      </c>
      <c r="U736" s="104">
        <f>SUM(S736:T736)</f>
        <v/>
      </c>
      <c r="V736" s="12">
        <f>U736/IF(H736="L",35,IF(H736="U",35,IF(H736="O",35,IF(H736="I",35,""))))</f>
        <v/>
      </c>
      <c r="W736" s="132">
        <f>IF(AND(H736="L", V736&gt;=50%), "Pass",
IF(AND(H736="U", V736&gt;=60%), "Pass",
IF(AND(H736="O", V736&gt;=75%), "Pass", "Fail")))</f>
        <v/>
      </c>
      <c r="X736" s="132">
        <f>IF(AND(Q736="Pass", W736="Pass"), "Pass", "Fail")</f>
        <v/>
      </c>
      <c r="Y736" s="15">
        <f>IF($X736="Pass",$H736,
IF(H736="L","I",
IF(H736="U","L",
IF(H736="O","U",
"I"))))</f>
        <v/>
      </c>
    </row>
    <row r="737">
      <c r="A737" s="147">
        <f>ROW()-2</f>
        <v/>
      </c>
      <c r="B737" s="127" t="inlineStr">
        <is>
          <t>MG1137</t>
        </is>
      </c>
      <c r="C737" s="128" t="inlineStr">
        <is>
          <t>VENKATESH S</t>
        </is>
      </c>
      <c r="D737" s="127" t="inlineStr">
        <is>
          <t>PRODUCTION</t>
        </is>
      </c>
      <c r="E737" s="129" t="inlineStr">
        <is>
          <t>TYRE BUILDING-P3</t>
        </is>
      </c>
      <c r="F737" s="130" t="n">
        <v>43046</v>
      </c>
      <c r="G737" s="131">
        <f>NOW()-F737</f>
        <v/>
      </c>
      <c r="H737" s="104" t="inlineStr">
        <is>
          <t>O</t>
        </is>
      </c>
      <c r="I737" s="104" t="inlineStr">
        <is>
          <t>O</t>
        </is>
      </c>
      <c r="J737" s="104" t="n">
        <v>8</v>
      </c>
      <c r="K737" s="104" t="n">
        <v>8</v>
      </c>
      <c r="L737" s="104" t="n">
        <v>7</v>
      </c>
      <c r="M737" s="104" t="n">
        <v>7</v>
      </c>
      <c r="N737" s="104" t="n"/>
      <c r="O737" s="104">
        <f>SUM(J737:N737)</f>
        <v/>
      </c>
      <c r="P737" s="12">
        <f>O737/IF(H737="L",20,IF(H737="U",30,IF(H737="O",40,IF(H737="I",20,""))))</f>
        <v/>
      </c>
      <c r="Q737" s="132">
        <f>IF(AND(H737="L", P737&gt;=50%), "Pass",
IF(AND(H737="U", P737&gt;=60%), "Pass",
IF(AND(H737="O", P737&gt;=75%), "Pass", "Fail")))</f>
        <v/>
      </c>
      <c r="R737" s="104" t="n"/>
      <c r="S737" s="104" t="n">
        <v>19</v>
      </c>
      <c r="T737" s="104" t="n">
        <v>15</v>
      </c>
      <c r="U737" s="104">
        <f>SUM(S737:T737)</f>
        <v/>
      </c>
      <c r="V737" s="12">
        <f>U737/IF(H737="L",35,IF(H737="U",35,IF(H737="O",35,IF(H737="I",35,""))))</f>
        <v/>
      </c>
      <c r="W737" s="132">
        <f>IF(AND(H737="L", V737&gt;=50%), "Pass",
IF(AND(H737="U", V737&gt;=60%), "Pass",
IF(AND(H737="O", V737&gt;=75%), "Pass", "Fail")))</f>
        <v/>
      </c>
      <c r="X737" s="132">
        <f>IF(AND(Q737="Pass", W737="Pass"), "Pass", "Fail")</f>
        <v/>
      </c>
      <c r="Y737" s="15">
        <f>IF($X737="Pass",$H737,
IF(H737="L","I",
IF(H737="U","L",
IF(H737="O","U",
"I"))))</f>
        <v/>
      </c>
    </row>
    <row r="738">
      <c r="A738" s="147">
        <f>ROW()-2</f>
        <v/>
      </c>
      <c r="B738" s="127" t="inlineStr">
        <is>
          <t>PK0860</t>
        </is>
      </c>
      <c r="C738" s="128" t="inlineStr">
        <is>
          <t>KUMARESAN A</t>
        </is>
      </c>
      <c r="D738" s="127" t="inlineStr">
        <is>
          <t>PRODUCTION</t>
        </is>
      </c>
      <c r="E738" s="129" t="inlineStr">
        <is>
          <t>RADIAL MARANGONI</t>
        </is>
      </c>
      <c r="F738" s="130" t="n">
        <v>43048</v>
      </c>
      <c r="G738" s="131">
        <f>NOW()-F738</f>
        <v/>
      </c>
      <c r="H738" s="104" t="inlineStr">
        <is>
          <t>O</t>
        </is>
      </c>
      <c r="I738" s="104" t="inlineStr">
        <is>
          <t>O</t>
        </is>
      </c>
      <c r="J738" s="104" t="n">
        <v>8</v>
      </c>
      <c r="K738" s="104" t="n">
        <v>9</v>
      </c>
      <c r="L738" s="104" t="n">
        <v>9</v>
      </c>
      <c r="M738" s="104" t="n">
        <v>9</v>
      </c>
      <c r="N738" s="104" t="n"/>
      <c r="O738" s="104">
        <f>SUM(J738:N738)</f>
        <v/>
      </c>
      <c r="P738" s="12">
        <f>O738/IF(H738="L",20,IF(H738="U",30,IF(H738="O",40,IF(H738="I",20,""))))</f>
        <v/>
      </c>
      <c r="Q738" s="132">
        <f>IF(AND(H738="L", P738&gt;=50%), "Pass",
IF(AND(H738="U", P738&gt;=60%), "Pass",
IF(AND(H738="O", P738&gt;=75%), "Pass", "Fail")))</f>
        <v/>
      </c>
      <c r="R738" s="104" t="n"/>
      <c r="S738" s="104" t="n">
        <v>16</v>
      </c>
      <c r="T738" s="104" t="n">
        <v>12</v>
      </c>
      <c r="U738" s="104">
        <f>SUM(S738:T738)</f>
        <v/>
      </c>
      <c r="V738" s="12">
        <f>U738/IF(H738="L",35,IF(H738="U",35,IF(H738="O",35,IF(H738="I",35,""))))</f>
        <v/>
      </c>
      <c r="W738" s="132">
        <f>IF(AND(H738="L", V738&gt;=50%), "Pass",
IF(AND(H738="U", V738&gt;=60%), "Pass",
IF(AND(H738="O", V738&gt;=75%), "Pass", "Fail")))</f>
        <v/>
      </c>
      <c r="X738" s="132">
        <f>IF(AND(Q738="Pass", W738="Pass"), "Pass", "Fail")</f>
        <v/>
      </c>
      <c r="Y738" s="15">
        <f>IF($X738="Pass",$H738,
IF(H738="L","I",
IF(H738="U","L",
IF(H738="O","U",
"I"))))</f>
        <v/>
      </c>
      <c r="Z738" s="81">
        <f>V738-75%</f>
        <v/>
      </c>
    </row>
    <row r="739">
      <c r="A739" s="147">
        <f>ROW()-2</f>
        <v/>
      </c>
      <c r="B739" s="127" t="inlineStr">
        <is>
          <t>PK0861</t>
        </is>
      </c>
      <c r="C739" s="138" t="inlineStr">
        <is>
          <t>KARPAGA ARASAN S</t>
        </is>
      </c>
      <c r="D739" s="127" t="inlineStr">
        <is>
          <t>PRODUCTION</t>
        </is>
      </c>
      <c r="E739" s="129" t="inlineStr">
        <is>
          <t>TYRE BUILDING-P1</t>
        </is>
      </c>
      <c r="F739" s="130" t="n">
        <v>43048</v>
      </c>
      <c r="G739" s="131">
        <f>NOW()-F739</f>
        <v/>
      </c>
      <c r="H739" s="104" t="inlineStr">
        <is>
          <t>O</t>
        </is>
      </c>
      <c r="I739" s="104" t="inlineStr">
        <is>
          <t>U</t>
        </is>
      </c>
      <c r="J739" s="104" t="n">
        <v>9</v>
      </c>
      <c r="K739" s="104" t="n">
        <v>10</v>
      </c>
      <c r="L739" s="104" t="n">
        <v>6</v>
      </c>
      <c r="M739" s="104" t="n">
        <v>7</v>
      </c>
      <c r="N739" s="104" t="n"/>
      <c r="O739" s="104">
        <f>SUM(J739:N739)</f>
        <v/>
      </c>
      <c r="P739" s="12">
        <f>O739/IF(H739="L",20,IF(H739="U",30,IF(H739="O",40,IF(H739="I",20,""))))</f>
        <v/>
      </c>
      <c r="Q739" s="132">
        <f>IF(AND(H739="L", P739&gt;=50%), "Pass",
IF(AND(H739="U", P739&gt;=60%), "Pass",
IF(AND(H739="O", P739&gt;=75%), "Pass", "Fail")))</f>
        <v/>
      </c>
      <c r="R739" s="104" t="n"/>
      <c r="S739" s="104" t="n">
        <v>12</v>
      </c>
      <c r="T739" s="104" t="n">
        <v>12</v>
      </c>
      <c r="U739" s="104">
        <f>SUM(S739:T739)</f>
        <v/>
      </c>
      <c r="V739" s="12">
        <f>U739/IF(H739="L",35,IF(H739="U",35,IF(H739="O",35,IF(H739="I",35,""))))</f>
        <v/>
      </c>
      <c r="W739" s="132">
        <f>IF(AND(H739="L", V739&gt;=50%), "Pass",
IF(AND(H739="U", V739&gt;=60%), "Pass",
IF(AND(H739="O", V739&gt;=75%), "Pass", "Fail")))</f>
        <v/>
      </c>
      <c r="X739" s="132">
        <f>IF(AND(Q739="Pass", W739="Pass"), "Pass", "Fail")</f>
        <v/>
      </c>
      <c r="Y739" s="15">
        <f>IF($X739="Pass",$H739,
IF(H739="L","I",
IF(H739="U","L",
IF(H739="O","U",
"I"))))</f>
        <v/>
      </c>
    </row>
    <row r="740">
      <c r="A740" s="147">
        <f>ROW()-2</f>
        <v/>
      </c>
      <c r="B740" s="127" t="inlineStr">
        <is>
          <t>SK2627</t>
        </is>
      </c>
      <c r="C740" s="128" t="inlineStr">
        <is>
          <t>KALAISELVAM A</t>
        </is>
      </c>
      <c r="D740" s="127" t="inlineStr">
        <is>
          <t>PRODUCTION</t>
        </is>
      </c>
      <c r="E740" s="129" t="inlineStr">
        <is>
          <t>TYRE BUILDING-P1</t>
        </is>
      </c>
      <c r="F740" s="130" t="n">
        <v>43048</v>
      </c>
      <c r="G740" s="131">
        <f>NOW()-F740</f>
        <v/>
      </c>
      <c r="H740" s="104" t="inlineStr">
        <is>
          <t>O</t>
        </is>
      </c>
      <c r="I740" s="104" t="inlineStr">
        <is>
          <t>U</t>
        </is>
      </c>
      <c r="J740" s="104" t="n">
        <v>5</v>
      </c>
      <c r="K740" s="104" t="n">
        <v>0</v>
      </c>
      <c r="L740" s="104" t="n">
        <v>0</v>
      </c>
      <c r="M740" s="104" t="n">
        <v>1</v>
      </c>
      <c r="N740" s="104" t="n"/>
      <c r="O740" s="104">
        <f>SUM(J740:N740)</f>
        <v/>
      </c>
      <c r="P740" s="12">
        <f>O740/IF(H740="L",20,IF(H740="U",30,IF(H740="O",40,IF(H740="I",20,""))))</f>
        <v/>
      </c>
      <c r="Q740" s="132">
        <f>IF(AND(H740="L", P740&gt;=50%), "Pass",
IF(AND(H740="U", P740&gt;=60%), "Pass",
IF(AND(H740="O", P740&gt;=75%), "Pass", "Fail")))</f>
        <v/>
      </c>
      <c r="R740" s="104" t="n"/>
      <c r="S740" s="104" t="n">
        <v>14</v>
      </c>
      <c r="T740" s="104" t="n">
        <v>12</v>
      </c>
      <c r="U740" s="104">
        <f>SUM(S740:T740)</f>
        <v/>
      </c>
      <c r="V740" s="12">
        <f>U740/IF(H740="L",35,IF(H740="U",35,IF(H740="O",35,IF(H740="I",35,""))))</f>
        <v/>
      </c>
      <c r="W740" s="132">
        <f>IF(AND(H740="L", V740&gt;=50%), "Pass",
IF(AND(H740="U", V740&gt;=60%), "Pass",
IF(AND(H740="O", V740&gt;=75%), "Pass", "Fail")))</f>
        <v/>
      </c>
      <c r="X740" s="132">
        <f>IF(AND(Q740="Pass", W740="Pass"), "Pass", "Fail")</f>
        <v/>
      </c>
      <c r="Y740" s="15">
        <f>IF($X740="Pass",$H740,
IF(H740="L","I",
IF(H740="U","L",
IF(H740="O","U",
"I"))))</f>
        <v/>
      </c>
    </row>
    <row r="741">
      <c r="A741" s="147">
        <f>ROW()-2</f>
        <v/>
      </c>
      <c r="B741" s="127" t="inlineStr">
        <is>
          <t>AK0714</t>
        </is>
      </c>
      <c r="C741" s="128" t="inlineStr">
        <is>
          <t>THANGAPANDI M</t>
        </is>
      </c>
      <c r="D741" s="127" t="inlineStr">
        <is>
          <t>PRODUCTION</t>
        </is>
      </c>
      <c r="E741" s="129" t="inlineStr">
        <is>
          <t>TYRE CURING</t>
        </is>
      </c>
      <c r="F741" s="130" t="n">
        <v>43053</v>
      </c>
      <c r="G741" s="131">
        <f>NOW()-F741</f>
        <v/>
      </c>
      <c r="H741" s="104" t="inlineStr">
        <is>
          <t>O</t>
        </is>
      </c>
      <c r="I741" s="104" t="inlineStr">
        <is>
          <t>U</t>
        </is>
      </c>
      <c r="J741" s="104" t="n">
        <v>10</v>
      </c>
      <c r="K741" s="104" t="n">
        <v>8</v>
      </c>
      <c r="L741" s="104" t="n">
        <v>8</v>
      </c>
      <c r="M741" s="104" t="n">
        <v>9</v>
      </c>
      <c r="N741" s="104" t="n"/>
      <c r="O741" s="104">
        <f>SUM(J741:N741)</f>
        <v/>
      </c>
      <c r="P741" s="12">
        <f>O741/IF(H741="L",20,IF(H741="U",30,IF(H741="O",40,IF(H741="I",20,""))))</f>
        <v/>
      </c>
      <c r="Q741" s="132">
        <f>IF(AND(H741="L", P741&gt;=50%), "Pass",
IF(AND(H741="U", P741&gt;=60%), "Pass",
IF(AND(H741="O", P741&gt;=75%), "Pass", "Fail")))</f>
        <v/>
      </c>
      <c r="R741" s="104" t="n"/>
      <c r="S741" s="104" t="n">
        <v>18</v>
      </c>
      <c r="T741" s="104" t="n">
        <v>12</v>
      </c>
      <c r="U741" s="104">
        <f>SUM(S741:T741)</f>
        <v/>
      </c>
      <c r="V741" s="12">
        <f>U741/IF(H741="L",35,IF(H741="U",35,IF(H741="O",35,IF(H741="I",35,""))))</f>
        <v/>
      </c>
      <c r="W741" s="132">
        <f>IF(AND(H741="L", V741&gt;=50%), "Pass",
IF(AND(H741="U", V741&gt;=60%), "Pass",
IF(AND(H741="O", V741&gt;=75%), "Pass", "Fail")))</f>
        <v/>
      </c>
      <c r="X741" s="132">
        <f>IF(AND(Q741="Pass", W741="Pass"), "Pass", "Fail")</f>
        <v/>
      </c>
      <c r="Y741" s="15">
        <f>IF($X741="Pass",$H741,
IF(H741="L","I",
IF(H741="U","L",
IF(H741="O","U",
"I"))))</f>
        <v/>
      </c>
    </row>
    <row r="742">
      <c r="A742" s="147">
        <f>ROW()-2</f>
        <v/>
      </c>
      <c r="B742" s="127" t="inlineStr">
        <is>
          <t>AK0724</t>
        </is>
      </c>
      <c r="C742" s="128" t="inlineStr">
        <is>
          <t>SUBBUDURAI</t>
        </is>
      </c>
      <c r="D742" s="127" t="inlineStr">
        <is>
          <t>PRODUCTION</t>
        </is>
      </c>
      <c r="E742" s="129" t="inlineStr">
        <is>
          <t>TYRE BUILDING-P1</t>
        </is>
      </c>
      <c r="F742" s="130" t="n">
        <v>43074</v>
      </c>
      <c r="G742" s="131">
        <f>NOW()-F742</f>
        <v/>
      </c>
      <c r="H742" s="104" t="inlineStr">
        <is>
          <t>O</t>
        </is>
      </c>
      <c r="I742" s="104" t="inlineStr">
        <is>
          <t>U</t>
        </is>
      </c>
      <c r="J742" s="104" t="n">
        <v>8</v>
      </c>
      <c r="K742" s="104" t="n">
        <v>6</v>
      </c>
      <c r="L742" s="104" t="n">
        <v>8</v>
      </c>
      <c r="M742" s="104" t="n">
        <v>5</v>
      </c>
      <c r="N742" s="104" t="n"/>
      <c r="O742" s="104">
        <f>SUM(J742:N742)</f>
        <v/>
      </c>
      <c r="P742" s="12">
        <f>O742/IF(H742="L",20,IF(H742="U",30,IF(H742="O",40,IF(H742="I",20,""))))</f>
        <v/>
      </c>
      <c r="Q742" s="132">
        <f>IF(AND(H742="L", P742&gt;=50%), "Pass",
IF(AND(H742="U", P742&gt;=60%), "Pass",
IF(AND(H742="O", P742&gt;=75%), "Pass", "Fail")))</f>
        <v/>
      </c>
      <c r="R742" s="104" t="n"/>
      <c r="S742" s="104" t="n">
        <v>17</v>
      </c>
      <c r="T742" s="104" t="n">
        <v>15</v>
      </c>
      <c r="U742" s="104">
        <f>SUM(S742:T742)</f>
        <v/>
      </c>
      <c r="V742" s="12">
        <f>U742/IF(H742="L",35,IF(H742="U",35,IF(H742="O",35,IF(H742="I",35,""))))</f>
        <v/>
      </c>
      <c r="W742" s="132">
        <f>IF(AND(H742="L", V742&gt;=50%), "Pass",
IF(AND(H742="U", V742&gt;=60%), "Pass",
IF(AND(H742="O", V742&gt;=75%), "Pass", "Fail")))</f>
        <v/>
      </c>
      <c r="X742" s="132">
        <f>IF(AND(Q742="Pass", W742="Pass"), "Pass", "Fail")</f>
        <v/>
      </c>
      <c r="Y742" s="15">
        <f>IF($X742="Pass",$H742,
IF(H742="L","I",
IF(H742="U","L",
IF(H742="O","U",
"I"))))</f>
        <v/>
      </c>
    </row>
    <row r="743">
      <c r="A743" s="147">
        <f>ROW()-2</f>
        <v/>
      </c>
      <c r="B743" s="127" t="inlineStr">
        <is>
          <t>SR0814</t>
        </is>
      </c>
      <c r="C743" s="128" t="inlineStr">
        <is>
          <t>MALAIYAPPAN</t>
        </is>
      </c>
      <c r="D743" s="127" t="inlineStr">
        <is>
          <t>PRODUCTION</t>
        </is>
      </c>
      <c r="E743" s="129" t="inlineStr">
        <is>
          <t>TYRE BUILDING-P3</t>
        </is>
      </c>
      <c r="F743" s="130" t="n">
        <v>43085</v>
      </c>
      <c r="G743" s="131">
        <f>NOW()-F743</f>
        <v/>
      </c>
      <c r="H743" s="104" t="inlineStr">
        <is>
          <t>O</t>
        </is>
      </c>
      <c r="I743" s="104" t="inlineStr">
        <is>
          <t>U</t>
        </is>
      </c>
      <c r="J743" s="104" t="n">
        <v>10</v>
      </c>
      <c r="K743" s="104" t="n">
        <v>8</v>
      </c>
      <c r="L743" s="104" t="n">
        <v>8</v>
      </c>
      <c r="M743" s="104" t="n">
        <v>9</v>
      </c>
      <c r="N743" s="104" t="n"/>
      <c r="O743" s="104">
        <f>SUM(J743:N743)</f>
        <v/>
      </c>
      <c r="P743" s="12">
        <f>O743/IF(H743="L",20,IF(H743="U",30,IF(H743="O",40,IF(H743="I",20,""))))</f>
        <v/>
      </c>
      <c r="Q743" s="132">
        <f>IF(AND(H743="L", P743&gt;=50%), "Pass",
IF(AND(H743="U", P743&gt;=60%), "Pass",
IF(AND(H743="O", P743&gt;=75%), "Pass", "Fail")))</f>
        <v/>
      </c>
      <c r="R743" s="104" t="n"/>
      <c r="S743" s="104" t="n">
        <v>19</v>
      </c>
      <c r="T743" s="104" t="n">
        <v>13</v>
      </c>
      <c r="U743" s="104">
        <f>SUM(S743:T743)</f>
        <v/>
      </c>
      <c r="V743" s="12">
        <f>U743/IF(H743="L",35,IF(H743="U",35,IF(H743="O",35,IF(H743="I",35,""))))</f>
        <v/>
      </c>
      <c r="W743" s="132">
        <f>IF(AND(H743="L", V743&gt;=50%), "Pass",
IF(AND(H743="U", V743&gt;=60%), "Pass",
IF(AND(H743="O", V743&gt;=75%), "Pass", "Fail")))</f>
        <v/>
      </c>
      <c r="X743" s="132">
        <f>IF(AND(Q743="Pass", W743="Pass"), "Pass", "Fail")</f>
        <v/>
      </c>
      <c r="Y743" s="15">
        <f>IF($X743="Pass",$H743,
IF(H743="L","I",
IF(H743="U","L",
IF(H743="O","U",
"I"))))</f>
        <v/>
      </c>
    </row>
    <row r="744">
      <c r="A744" s="147">
        <f>ROW()-2</f>
        <v/>
      </c>
      <c r="B744" s="127" t="inlineStr">
        <is>
          <t>SR0815</t>
        </is>
      </c>
      <c r="C744" s="128" t="inlineStr">
        <is>
          <t>MURUGAIAH</t>
        </is>
      </c>
      <c r="D744" s="127" t="inlineStr">
        <is>
          <t>PRODUCTION</t>
        </is>
      </c>
      <c r="E744" s="129" t="inlineStr">
        <is>
          <t>TYRE BUILDING-P1</t>
        </is>
      </c>
      <c r="F744" s="130" t="n">
        <v>43085</v>
      </c>
      <c r="G744" s="131">
        <f>NOW()-F744</f>
        <v/>
      </c>
      <c r="H744" s="104" t="inlineStr">
        <is>
          <t>O</t>
        </is>
      </c>
      <c r="I744" s="104" t="inlineStr">
        <is>
          <t>U</t>
        </is>
      </c>
      <c r="J744" s="104" t="n">
        <v>10</v>
      </c>
      <c r="K744" s="104" t="n">
        <v>9</v>
      </c>
      <c r="L744" s="104" t="n">
        <v>9</v>
      </c>
      <c r="M744" s="104" t="n">
        <v>5</v>
      </c>
      <c r="N744" s="104" t="n"/>
      <c r="O744" s="104">
        <f>SUM(J744:N744)</f>
        <v/>
      </c>
      <c r="P744" s="12">
        <f>O744/IF(H744="L",20,IF(H744="U",30,IF(H744="O",40,IF(H744="I",20,""))))</f>
        <v/>
      </c>
      <c r="Q744" s="132">
        <f>IF(AND(H744="L", P744&gt;=50%), "Pass",
IF(AND(H744="U", P744&gt;=60%), "Pass",
IF(AND(H744="O", P744&gt;=75%), "Pass", "Fail")))</f>
        <v/>
      </c>
      <c r="R744" s="104" t="n"/>
      <c r="S744" s="104" t="n">
        <v>12</v>
      </c>
      <c r="T744" s="104" t="n">
        <v>12</v>
      </c>
      <c r="U744" s="104">
        <f>SUM(S744:T744)</f>
        <v/>
      </c>
      <c r="V744" s="12">
        <f>U744/IF(H744="L",35,IF(H744="U",35,IF(H744="O",35,IF(H744="I",35,""))))</f>
        <v/>
      </c>
      <c r="W744" s="132">
        <f>IF(AND(H744="L", V744&gt;=50%), "Pass",
IF(AND(H744="U", V744&gt;=60%), "Pass",
IF(AND(H744="O", V744&gt;=75%), "Pass", "Fail")))</f>
        <v/>
      </c>
      <c r="X744" s="132">
        <f>IF(AND(Q744="Pass", W744="Pass"), "Pass", "Fail")</f>
        <v/>
      </c>
      <c r="Y744" s="15">
        <f>IF($X744="Pass",$H744,
IF(H744="L","I",
IF(H744="U","L",
IF(H744="O","U",
"I"))))</f>
        <v/>
      </c>
    </row>
    <row r="745">
      <c r="A745" s="147">
        <f>ROW()-2</f>
        <v/>
      </c>
      <c r="B745" s="127" t="inlineStr">
        <is>
          <t>SR0818</t>
        </is>
      </c>
      <c r="C745" s="128" t="inlineStr">
        <is>
          <t>SELVAM E</t>
        </is>
      </c>
      <c r="D745" s="127" t="inlineStr">
        <is>
          <t>PRODUCTION</t>
        </is>
      </c>
      <c r="E745" s="129" t="inlineStr">
        <is>
          <t>TYRE CURING</t>
        </is>
      </c>
      <c r="F745" s="130" t="n">
        <v>43088</v>
      </c>
      <c r="G745" s="131">
        <f>NOW()-F745</f>
        <v/>
      </c>
      <c r="H745" s="104" t="inlineStr">
        <is>
          <t>O</t>
        </is>
      </c>
      <c r="I745" s="104" t="inlineStr">
        <is>
          <t>O</t>
        </is>
      </c>
      <c r="J745" s="104" t="n">
        <v>10</v>
      </c>
      <c r="K745" s="104" t="n">
        <v>10</v>
      </c>
      <c r="L745" s="104" t="n">
        <v>8</v>
      </c>
      <c r="M745" s="104" t="n">
        <v>7</v>
      </c>
      <c r="N745" s="104" t="n"/>
      <c r="O745" s="104">
        <f>SUM(J745:N745)</f>
        <v/>
      </c>
      <c r="P745" s="12">
        <f>O745/IF(H745="L",20,IF(H745="U",30,IF(H745="O",40,IF(H745="I",20,""))))</f>
        <v/>
      </c>
      <c r="Q745" s="132">
        <f>IF(AND(H745="L", P745&gt;=50%), "Pass",
IF(AND(H745="U", P745&gt;=60%), "Pass",
IF(AND(H745="O", P745&gt;=75%), "Pass", "Fail")))</f>
        <v/>
      </c>
      <c r="R745" s="104" t="n"/>
      <c r="S745" s="104" t="n">
        <v>10</v>
      </c>
      <c r="T745" s="104" t="n">
        <v>7</v>
      </c>
      <c r="U745" s="104">
        <f>SUM(S745:T745)</f>
        <v/>
      </c>
      <c r="V745" s="12">
        <f>U745/IF(H745="L",35,IF(H745="U",35,IF(H745="O",35,IF(H745="I",35,""))))</f>
        <v/>
      </c>
      <c r="W745" s="132">
        <f>IF(AND(H745="L", V745&gt;=50%), "Pass",
IF(AND(H745="U", V745&gt;=60%), "Pass",
IF(AND(H745="O", V745&gt;=75%), "Pass", "Fail")))</f>
        <v/>
      </c>
      <c r="X745" s="132">
        <f>IF(AND(Q745="Pass", W745="Pass"), "Pass", "Fail")</f>
        <v/>
      </c>
      <c r="Y745" s="15">
        <f>IF($X745="Pass",$H745,
IF(H745="L","I",
IF(H745="U","L",
IF(H745="O","U",
"I"))))</f>
        <v/>
      </c>
    </row>
    <row r="746">
      <c r="A746" s="147">
        <f>ROW()-2</f>
        <v/>
      </c>
      <c r="B746" s="127" t="inlineStr">
        <is>
          <t>SK2661</t>
        </is>
      </c>
      <c r="C746" s="128" t="inlineStr">
        <is>
          <t>KOVILRAJ GNANAPRAKASAM</t>
        </is>
      </c>
      <c r="D746" s="127" t="inlineStr">
        <is>
          <t>PRODUCTION</t>
        </is>
      </c>
      <c r="E746" s="129" t="inlineStr">
        <is>
          <t>BIAS CUTTING-2</t>
        </is>
      </c>
      <c r="F746" s="130" t="n">
        <v>43108</v>
      </c>
      <c r="G746" s="131">
        <f>NOW()-F746</f>
        <v/>
      </c>
      <c r="H746" s="104" t="inlineStr">
        <is>
          <t>O</t>
        </is>
      </c>
      <c r="I746" s="104" t="inlineStr">
        <is>
          <t>U</t>
        </is>
      </c>
      <c r="J746" s="104" t="n">
        <v>9</v>
      </c>
      <c r="K746" s="104" t="n">
        <v>8</v>
      </c>
      <c r="L746" s="104" t="n">
        <v>7</v>
      </c>
      <c r="M746" s="104" t="n">
        <v>7</v>
      </c>
      <c r="N746" s="104" t="n"/>
      <c r="O746" s="104">
        <f>SUM(J746:N746)</f>
        <v/>
      </c>
      <c r="P746" s="12">
        <f>O746/IF(H746="L",20,IF(H746="U",30,IF(H746="O",40,IF(H746="I",20,""))))</f>
        <v/>
      </c>
      <c r="Q746" s="132">
        <f>IF(AND(H746="L", P746&gt;=50%), "Pass",
IF(AND(H746="U", P746&gt;=60%), "Pass",
IF(AND(H746="O", P746&gt;=75%), "Pass", "Fail")))</f>
        <v/>
      </c>
      <c r="R746" s="104" t="n"/>
      <c r="S746" s="104" t="n">
        <v>17</v>
      </c>
      <c r="T746" s="104" t="n">
        <v>13</v>
      </c>
      <c r="U746" s="104">
        <f>SUM(S746:T746)</f>
        <v/>
      </c>
      <c r="V746" s="12">
        <f>U746/IF(H746="L",35,IF(H746="U",35,IF(H746="O",35,IF(H746="I",35,""))))</f>
        <v/>
      </c>
      <c r="W746" s="132">
        <f>IF(AND(H746="L", V746&gt;=50%), "Pass",
IF(AND(H746="U", V746&gt;=60%), "Pass",
IF(AND(H746="O", V746&gt;=75%), "Pass", "Fail")))</f>
        <v/>
      </c>
      <c r="X746" s="132">
        <f>IF(AND(Q746="Pass", W746="Pass"), "Pass", "Fail")</f>
        <v/>
      </c>
      <c r="Y746" s="15">
        <f>IF($X746="Pass",$H746,
IF(H746="L","I",
IF(H746="U","L",
IF(H746="O","U",
"I"))))</f>
        <v/>
      </c>
    </row>
    <row r="747">
      <c r="A747" s="147">
        <f>ROW()-2</f>
        <v/>
      </c>
      <c r="B747" s="127" t="inlineStr">
        <is>
          <t>SK2663</t>
        </is>
      </c>
      <c r="C747" s="128" t="inlineStr">
        <is>
          <t>KAVIYARASU D</t>
        </is>
      </c>
      <c r="D747" s="127" t="inlineStr">
        <is>
          <t>PRODUCTION</t>
        </is>
      </c>
      <c r="E747" s="129" t="inlineStr">
        <is>
          <t>TYRE BUILDING-P3</t>
        </is>
      </c>
      <c r="F747" s="130" t="n">
        <v>43108</v>
      </c>
      <c r="G747" s="131">
        <f>NOW()-F747</f>
        <v/>
      </c>
      <c r="H747" s="104" t="inlineStr">
        <is>
          <t>O</t>
        </is>
      </c>
      <c r="I747" s="104" t="inlineStr">
        <is>
          <t>O</t>
        </is>
      </c>
      <c r="J747" s="104" t="n">
        <v>8</v>
      </c>
      <c r="K747" s="104" t="n">
        <v>10</v>
      </c>
      <c r="L747" s="104" t="n">
        <v>7</v>
      </c>
      <c r="M747" s="104" t="n">
        <v>9</v>
      </c>
      <c r="N747" s="104" t="n"/>
      <c r="O747" s="104">
        <f>SUM(J747:N747)</f>
        <v/>
      </c>
      <c r="P747" s="12">
        <f>O747/IF(H747="L",20,IF(H747="U",30,IF(H747="O",40,IF(H747="I",20,""))))</f>
        <v/>
      </c>
      <c r="Q747" s="132">
        <f>IF(AND(H747="L", P747&gt;=50%), "Pass",
IF(AND(H747="U", P747&gt;=60%), "Pass",
IF(AND(H747="O", P747&gt;=75%), "Pass", "Fail")))</f>
        <v/>
      </c>
      <c r="R747" s="104" t="n"/>
      <c r="S747" s="104" t="n">
        <v>18</v>
      </c>
      <c r="T747" s="104" t="n">
        <v>15</v>
      </c>
      <c r="U747" s="104">
        <f>SUM(S747:T747)</f>
        <v/>
      </c>
      <c r="V747" s="12">
        <f>U747/IF(H747="L",35,IF(H747="U",35,IF(H747="O",35,IF(H747="I",35,""))))</f>
        <v/>
      </c>
      <c r="W747" s="132">
        <f>IF(AND(H747="L", V747&gt;=50%), "Pass",
IF(AND(H747="U", V747&gt;=60%), "Pass",
IF(AND(H747="O", V747&gt;=75%), "Pass", "Fail")))</f>
        <v/>
      </c>
      <c r="X747" s="132">
        <f>IF(AND(Q747="Pass", W747="Pass"), "Pass", "Fail")</f>
        <v/>
      </c>
      <c r="Y747" s="15">
        <f>IF($X747="Pass",$H747,
IF(H747="L","I",
IF(H747="U","L",
IF(H747="O","U",
"I"))))</f>
        <v/>
      </c>
    </row>
    <row r="748">
      <c r="A748" s="147">
        <f>ROW()-2</f>
        <v/>
      </c>
      <c r="B748" s="127" t="inlineStr">
        <is>
          <t>SK2668</t>
        </is>
      </c>
      <c r="C748" s="128" t="inlineStr">
        <is>
          <t>DASHRTH RAM</t>
        </is>
      </c>
      <c r="D748" s="127" t="inlineStr">
        <is>
          <t>PRODUCTION</t>
        </is>
      </c>
      <c r="E748" s="129" t="inlineStr">
        <is>
          <t>TYRE BUILDING-P2</t>
        </is>
      </c>
      <c r="F748" s="130" t="n">
        <v>43112</v>
      </c>
      <c r="G748" s="131">
        <f>NOW()-F748</f>
        <v/>
      </c>
      <c r="H748" s="104" t="inlineStr">
        <is>
          <t>O</t>
        </is>
      </c>
      <c r="I748" s="104" t="inlineStr">
        <is>
          <t>U</t>
        </is>
      </c>
      <c r="J748" s="104" t="n">
        <v>3</v>
      </c>
      <c r="K748" s="104" t="n">
        <v>6</v>
      </c>
      <c r="L748" s="104" t="n">
        <v>4</v>
      </c>
      <c r="M748" s="104" t="n">
        <v>4</v>
      </c>
      <c r="N748" s="104" t="n"/>
      <c r="O748" s="104">
        <f>SUM(J748:N748)</f>
        <v/>
      </c>
      <c r="P748" s="12">
        <f>O748/IF(H748="L",20,IF(H748="U",30,IF(H748="O",40,IF(H748="I",20,""))))</f>
        <v/>
      </c>
      <c r="Q748" s="132">
        <f>IF(AND(H748="L", P748&gt;=50%), "Pass",
IF(AND(H748="U", P748&gt;=60%), "Pass",
IF(AND(H748="O", P748&gt;=75%), "Pass", "Fail")))</f>
        <v/>
      </c>
      <c r="R748" s="104" t="n"/>
      <c r="S748" s="104" t="n">
        <v>10</v>
      </c>
      <c r="T748" s="104" t="n">
        <v>8</v>
      </c>
      <c r="U748" s="104">
        <f>SUM(S748:T748)</f>
        <v/>
      </c>
      <c r="V748" s="12">
        <f>U748/IF(H748="L",35,IF(H748="U",35,IF(H748="O",35,IF(H748="I",35,""))))</f>
        <v/>
      </c>
      <c r="W748" s="132">
        <f>IF(AND(H748="L", V748&gt;=50%), "Pass",
IF(AND(H748="U", V748&gt;=60%), "Pass",
IF(AND(H748="O", V748&gt;=75%), "Pass", "Fail")))</f>
        <v/>
      </c>
      <c r="X748" s="132">
        <f>IF(AND(Q748="Pass", W748="Pass"), "Pass", "Fail")</f>
        <v/>
      </c>
      <c r="Y748" s="15">
        <f>IF($X748="Pass",$H748,
IF(H748="L","I",
IF(H748="U","L",
IF(H748="O","U",
"I"))))</f>
        <v/>
      </c>
    </row>
    <row r="749">
      <c r="A749" s="147">
        <f>ROW()-2</f>
        <v/>
      </c>
      <c r="B749" s="127" t="inlineStr">
        <is>
          <t>KK0889</t>
        </is>
      </c>
      <c r="C749" s="128" t="inlineStr">
        <is>
          <t>ESAKKIMUTHU</t>
        </is>
      </c>
      <c r="D749" s="127" t="inlineStr">
        <is>
          <t>PRODUCTION</t>
        </is>
      </c>
      <c r="E749" s="129" t="inlineStr">
        <is>
          <t>TYRE CURING</t>
        </is>
      </c>
      <c r="F749" s="130" t="n">
        <v>43117</v>
      </c>
      <c r="G749" s="131">
        <f>NOW()-F749</f>
        <v/>
      </c>
      <c r="H749" s="104" t="inlineStr">
        <is>
          <t>O</t>
        </is>
      </c>
      <c r="I749" s="104" t="inlineStr">
        <is>
          <t>U</t>
        </is>
      </c>
      <c r="J749" s="104" t="n">
        <v>10</v>
      </c>
      <c r="K749" s="104" t="n">
        <v>9</v>
      </c>
      <c r="L749" s="104" t="n">
        <v>8</v>
      </c>
      <c r="M749" s="104" t="n">
        <v>7</v>
      </c>
      <c r="N749" s="104" t="n"/>
      <c r="O749" s="104">
        <f>SUM(J749:N749)</f>
        <v/>
      </c>
      <c r="P749" s="12">
        <f>O749/IF(H749="L",20,IF(H749="U",30,IF(H749="O",40,IF(H749="I",20,""))))</f>
        <v/>
      </c>
      <c r="Q749" s="132">
        <f>IF(AND(H749="L", P749&gt;=50%), "Pass",
IF(AND(H749="U", P749&gt;=60%), "Pass",
IF(AND(H749="O", P749&gt;=75%), "Pass", "Fail")))</f>
        <v/>
      </c>
      <c r="R749" s="104" t="n"/>
      <c r="S749" s="104" t="n">
        <v>14</v>
      </c>
      <c r="T749" s="104" t="n">
        <v>13</v>
      </c>
      <c r="U749" s="104">
        <f>SUM(S749:T749)</f>
        <v/>
      </c>
      <c r="V749" s="12">
        <f>U749/IF(H749="L",35,IF(H749="U",35,IF(H749="O",35,IF(H749="I",35,""))))</f>
        <v/>
      </c>
      <c r="W749" s="132">
        <f>IF(AND(H749="L", V749&gt;=50%), "Pass",
IF(AND(H749="U", V749&gt;=60%), "Pass",
IF(AND(H749="O", V749&gt;=75%), "Pass", "Fail")))</f>
        <v/>
      </c>
      <c r="X749" s="132">
        <f>IF(AND(Q749="Pass", W749="Pass"), "Pass", "Fail")</f>
        <v/>
      </c>
      <c r="Y749" s="15">
        <f>IF($X749="Pass",$H749,
IF(H749="L","I",
IF(H749="U","L",
IF(H749="O","U",
"I"))))</f>
        <v/>
      </c>
    </row>
    <row r="750">
      <c r="A750" s="147">
        <f>ROW()-2</f>
        <v/>
      </c>
      <c r="B750" s="127" t="inlineStr">
        <is>
          <t>KK0897</t>
        </is>
      </c>
      <c r="C750" s="128" t="inlineStr">
        <is>
          <t>BARADHAN ALWAR VENGADACHALA KONAR</t>
        </is>
      </c>
      <c r="D750" s="127" t="inlineStr">
        <is>
          <t>PRODUCTION</t>
        </is>
      </c>
      <c r="E750" s="129" t="inlineStr">
        <is>
          <t>BEAD WINDING</t>
        </is>
      </c>
      <c r="F750" s="130" t="n">
        <v>43129</v>
      </c>
      <c r="G750" s="131">
        <f>NOW()-F750</f>
        <v/>
      </c>
      <c r="H750" s="104" t="inlineStr">
        <is>
          <t>O</t>
        </is>
      </c>
      <c r="I750" s="104" t="inlineStr">
        <is>
          <t>U</t>
        </is>
      </c>
      <c r="J750" s="104" t="n">
        <v>7</v>
      </c>
      <c r="K750" s="104" t="n">
        <v>7</v>
      </c>
      <c r="L750" s="104" t="n">
        <v>3</v>
      </c>
      <c r="M750" s="104" t="n">
        <v>5</v>
      </c>
      <c r="N750" s="104" t="n"/>
      <c r="O750" s="104">
        <f>SUM(J750:N750)</f>
        <v/>
      </c>
      <c r="P750" s="12">
        <f>O750/IF(H750="L",20,IF(H750="U",30,IF(H750="O",40,IF(H750="I",20,""))))</f>
        <v/>
      </c>
      <c r="Q750" s="132">
        <f>IF(AND(H750="L", P750&gt;=50%), "Pass",
IF(AND(H750="U", P750&gt;=60%), "Pass",
IF(AND(H750="O", P750&gt;=75%), "Pass", "Fail")))</f>
        <v/>
      </c>
      <c r="R750" s="104" t="n"/>
      <c r="S750" s="104" t="n">
        <v>12</v>
      </c>
      <c r="T750" s="104" t="n">
        <v>7</v>
      </c>
      <c r="U750" s="104">
        <f>SUM(S750:T750)</f>
        <v/>
      </c>
      <c r="V750" s="12">
        <f>U750/IF(H750="L",35,IF(H750="U",35,IF(H750="O",35,IF(H750="I",35,""))))</f>
        <v/>
      </c>
      <c r="W750" s="132">
        <f>IF(AND(H750="L", V750&gt;=50%), "Pass",
IF(AND(H750="U", V750&gt;=60%), "Pass",
IF(AND(H750="O", V750&gt;=75%), "Pass", "Fail")))</f>
        <v/>
      </c>
      <c r="X750" s="132">
        <f>IF(AND(Q750="Pass", W750="Pass"), "Pass", "Fail")</f>
        <v/>
      </c>
      <c r="Y750" s="15">
        <f>IF($X750="Pass",$H750,
IF(H750="L","I",
IF(H750="U","L",
IF(H750="O","U",
"I"))))</f>
        <v/>
      </c>
    </row>
    <row r="751">
      <c r="A751" s="147">
        <f>ROW()-2</f>
        <v/>
      </c>
      <c r="B751" s="127" t="inlineStr">
        <is>
          <t>SK2679</t>
        </is>
      </c>
      <c r="C751" s="128" t="inlineStr">
        <is>
          <t>SUNIL ANNADURAI</t>
        </is>
      </c>
      <c r="D751" s="127" t="inlineStr">
        <is>
          <t>PRODUCTION</t>
        </is>
      </c>
      <c r="E751" s="129" t="inlineStr">
        <is>
          <t>TYRE BUILDING-P3</t>
        </is>
      </c>
      <c r="F751" s="130" t="n">
        <v>43129</v>
      </c>
      <c r="G751" s="131">
        <f>NOW()-F751</f>
        <v/>
      </c>
      <c r="H751" s="104" t="inlineStr">
        <is>
          <t>O</t>
        </is>
      </c>
      <c r="I751" s="104" t="inlineStr">
        <is>
          <t>O</t>
        </is>
      </c>
      <c r="J751" s="104" t="n">
        <v>10</v>
      </c>
      <c r="K751" s="104" t="n">
        <v>10</v>
      </c>
      <c r="L751" s="104" t="n">
        <v>8</v>
      </c>
      <c r="M751" s="104" t="n">
        <v>8</v>
      </c>
      <c r="N751" s="104" t="n"/>
      <c r="O751" s="104">
        <f>SUM(J751:N751)</f>
        <v/>
      </c>
      <c r="P751" s="12">
        <f>O751/IF(H751="L",20,IF(H751="U",30,IF(H751="O",40,IF(H751="I",20,""))))</f>
        <v/>
      </c>
      <c r="Q751" s="132">
        <f>IF(AND(H751="L", P751&gt;=50%), "Pass",
IF(AND(H751="U", P751&gt;=60%), "Pass",
IF(AND(H751="O", P751&gt;=75%), "Pass", "Fail")))</f>
        <v/>
      </c>
      <c r="R751" s="104" t="n"/>
      <c r="S751" s="104" t="n">
        <v>18</v>
      </c>
      <c r="T751" s="104" t="n">
        <v>13</v>
      </c>
      <c r="U751" s="104">
        <f>SUM(S751:T751)</f>
        <v/>
      </c>
      <c r="V751" s="12">
        <f>U751/IF(H751="L",35,IF(H751="U",35,IF(H751="O",35,IF(H751="I",35,""))))</f>
        <v/>
      </c>
      <c r="W751" s="132">
        <f>IF(AND(H751="L", V751&gt;=50%), "Pass",
IF(AND(H751="U", V751&gt;=60%), "Pass",
IF(AND(H751="O", V751&gt;=75%), "Pass", "Fail")))</f>
        <v/>
      </c>
      <c r="X751" s="132">
        <f>IF(AND(Q751="Pass", W751="Pass"), "Pass", "Fail")</f>
        <v/>
      </c>
      <c r="Y751" s="15">
        <f>IF($X751="Pass",$H751,
IF(H751="L","I",
IF(H751="U","L",
IF(H751="O","U",
"I"))))</f>
        <v/>
      </c>
    </row>
    <row r="752">
      <c r="A752" s="147">
        <f>ROW()-2</f>
        <v/>
      </c>
      <c r="B752" s="127" t="inlineStr">
        <is>
          <t>KK0900</t>
        </is>
      </c>
      <c r="C752" s="128" t="inlineStr">
        <is>
          <t>AMSARAJA I</t>
        </is>
      </c>
      <c r="D752" s="127" t="inlineStr">
        <is>
          <t>PRODUCTION</t>
        </is>
      </c>
      <c r="E752" s="129" t="inlineStr">
        <is>
          <t>TYRE BUILDING-P3</t>
        </is>
      </c>
      <c r="F752" s="130" t="n">
        <v>43134</v>
      </c>
      <c r="G752" s="131">
        <f>NOW()-F752</f>
        <v/>
      </c>
      <c r="H752" s="104" t="inlineStr">
        <is>
          <t>O</t>
        </is>
      </c>
      <c r="I752" s="104" t="inlineStr">
        <is>
          <t>U</t>
        </is>
      </c>
      <c r="J752" s="104" t="n">
        <v>8</v>
      </c>
      <c r="K752" s="104" t="n">
        <v>5</v>
      </c>
      <c r="L752" s="104" t="n">
        <v>6</v>
      </c>
      <c r="M752" s="104" t="n">
        <v>5</v>
      </c>
      <c r="N752" s="104" t="n"/>
      <c r="O752" s="104">
        <f>SUM(J752:N752)</f>
        <v/>
      </c>
      <c r="P752" s="12">
        <f>O752/IF(H752="L",20,IF(H752="U",30,IF(H752="O",40,IF(H752="I",20,""))))</f>
        <v/>
      </c>
      <c r="Q752" s="132">
        <f>IF(AND(H752="L", P752&gt;=50%), "Pass",
IF(AND(H752="U", P752&gt;=60%), "Pass",
IF(AND(H752="O", P752&gt;=75%), "Pass", "Fail")))</f>
        <v/>
      </c>
      <c r="R752" s="104" t="n"/>
      <c r="S752" s="104" t="n">
        <v>17</v>
      </c>
      <c r="T752" s="104" t="n">
        <v>13</v>
      </c>
      <c r="U752" s="104">
        <f>SUM(S752:T752)</f>
        <v/>
      </c>
      <c r="V752" s="12">
        <f>U752/IF(H752="L",35,IF(H752="U",35,IF(H752="O",35,IF(H752="I",35,""))))</f>
        <v/>
      </c>
      <c r="W752" s="132">
        <f>IF(AND(H752="L", V752&gt;=50%), "Pass",
IF(AND(H752="U", V752&gt;=60%), "Pass",
IF(AND(H752="O", V752&gt;=75%), "Pass", "Fail")))</f>
        <v/>
      </c>
      <c r="X752" s="132">
        <f>IF(AND(Q752="Pass", W752="Pass"), "Pass", "Fail")</f>
        <v/>
      </c>
      <c r="Y752" s="15">
        <f>IF($X752="Pass",$H752,
IF(H752="L","I",
IF(H752="U","L",
IF(H752="O","U",
"I"))))</f>
        <v/>
      </c>
      <c r="Z752" s="82">
        <f>V752-75%</f>
        <v/>
      </c>
    </row>
    <row r="753">
      <c r="A753" s="147">
        <f>ROW()-2</f>
        <v/>
      </c>
      <c r="B753" s="127" t="inlineStr">
        <is>
          <t>SK2692</t>
        </is>
      </c>
      <c r="C753" s="128" t="inlineStr">
        <is>
          <t>PUTHIYARAJ</t>
        </is>
      </c>
      <c r="D753" s="127" t="inlineStr">
        <is>
          <t>PRODUCTION</t>
        </is>
      </c>
      <c r="E753" s="129" t="inlineStr">
        <is>
          <t>TYRE CURING</t>
        </is>
      </c>
      <c r="F753" s="130" t="n">
        <v>43134</v>
      </c>
      <c r="G753" s="131">
        <f>NOW()-F753</f>
        <v/>
      </c>
      <c r="H753" s="104" t="inlineStr">
        <is>
          <t>O</t>
        </is>
      </c>
      <c r="I753" s="104" t="inlineStr">
        <is>
          <t>O</t>
        </is>
      </c>
      <c r="J753" s="104" t="n">
        <v>10</v>
      </c>
      <c r="K753" s="104" t="n">
        <v>9</v>
      </c>
      <c r="L753" s="104" t="n">
        <v>8</v>
      </c>
      <c r="M753" s="104" t="n">
        <v>6</v>
      </c>
      <c r="N753" s="104" t="n"/>
      <c r="O753" s="104">
        <f>SUM(J753:N753)</f>
        <v/>
      </c>
      <c r="P753" s="12">
        <f>O753/IF(H753="L",20,IF(H753="U",30,IF(H753="O",40,IF(H753="I",20,""))))</f>
        <v/>
      </c>
      <c r="Q753" s="132">
        <f>IF(AND(H753="L", P753&gt;=50%), "Pass",
IF(AND(H753="U", P753&gt;=60%), "Pass",
IF(AND(H753="O", P753&gt;=75%), "Pass", "Fail")))</f>
        <v/>
      </c>
      <c r="R753" s="104" t="n"/>
      <c r="S753" s="104" t="n">
        <v>16</v>
      </c>
      <c r="T753" s="104" t="n">
        <v>11</v>
      </c>
      <c r="U753" s="104">
        <f>SUM(S753:T753)</f>
        <v/>
      </c>
      <c r="V753" s="12">
        <f>U753/IF(H753="L",35,IF(H753="U",35,IF(H753="O",35,IF(H753="I",35,""))))</f>
        <v/>
      </c>
      <c r="W753" s="132">
        <f>IF(AND(H753="L", V753&gt;=50%), "Pass",
IF(AND(H753="U", V753&gt;=60%), "Pass",
IF(AND(H753="O", V753&gt;=75%), "Pass", "Fail")))</f>
        <v/>
      </c>
      <c r="X753" s="132">
        <f>IF(AND(Q753="Pass", W753="Pass"), "Pass", "Fail")</f>
        <v/>
      </c>
      <c r="Y753" s="15">
        <f>IF($X753="Pass",$H753,
IF(H753="L","I",
IF(H753="U","L",
IF(H753="O","U",
"I"))))</f>
        <v/>
      </c>
    </row>
    <row r="754">
      <c r="A754" s="147">
        <f>ROW()-2</f>
        <v/>
      </c>
      <c r="B754" s="127" t="inlineStr">
        <is>
          <t>SR0833</t>
        </is>
      </c>
      <c r="C754" s="128" t="inlineStr">
        <is>
          <t>SURESHKUMAR</t>
        </is>
      </c>
      <c r="D754" s="127" t="inlineStr">
        <is>
          <t>PRODUCTION</t>
        </is>
      </c>
      <c r="E754" s="129" t="inlineStr">
        <is>
          <t>TYRE BUILDING-P2</t>
        </is>
      </c>
      <c r="F754" s="130" t="n">
        <v>43141</v>
      </c>
      <c r="G754" s="131">
        <f>NOW()-F754</f>
        <v/>
      </c>
      <c r="H754" s="104" t="inlineStr">
        <is>
          <t>O</t>
        </is>
      </c>
      <c r="I754" s="104" t="inlineStr">
        <is>
          <t>U</t>
        </is>
      </c>
      <c r="J754" s="104" t="n">
        <v>8</v>
      </c>
      <c r="K754" s="104" t="n">
        <v>9</v>
      </c>
      <c r="L754" s="104" t="n">
        <v>8</v>
      </c>
      <c r="M754" s="104" t="n">
        <v>7</v>
      </c>
      <c r="N754" s="104" t="n"/>
      <c r="O754" s="104">
        <f>SUM(J754:N754)</f>
        <v/>
      </c>
      <c r="P754" s="12">
        <f>O754/IF(H754="L",20,IF(H754="U",30,IF(H754="O",40,IF(H754="I",20,""))))</f>
        <v/>
      </c>
      <c r="Q754" s="132">
        <f>IF(AND(H754="L", P754&gt;=50%), "Pass",
IF(AND(H754="U", P754&gt;=60%), "Pass",
IF(AND(H754="O", P754&gt;=75%), "Pass", "Fail")))</f>
        <v/>
      </c>
      <c r="R754" s="104" t="n"/>
      <c r="S754" s="104" t="n">
        <v>11</v>
      </c>
      <c r="T754" s="104" t="n">
        <v>7</v>
      </c>
      <c r="U754" s="104">
        <f>SUM(S754:T754)</f>
        <v/>
      </c>
      <c r="V754" s="12">
        <f>U754/IF(H754="L",35,IF(H754="U",35,IF(H754="O",35,IF(H754="I",35,""))))</f>
        <v/>
      </c>
      <c r="W754" s="132">
        <f>IF(AND(H754="L", V754&gt;=50%), "Pass",
IF(AND(H754="U", V754&gt;=60%), "Pass",
IF(AND(H754="O", V754&gt;=75%), "Pass", "Fail")))</f>
        <v/>
      </c>
      <c r="X754" s="132">
        <f>IF(AND(Q754="Pass", W754="Pass"), "Pass", "Fail")</f>
        <v/>
      </c>
      <c r="Y754" s="15">
        <f>IF($X754="Pass",$H754,
IF(H754="L","I",
IF(H754="U","L",
IF(H754="O","U",
"I"))))</f>
        <v/>
      </c>
      <c r="Z754" s="82">
        <f>V754-75%</f>
        <v/>
      </c>
    </row>
    <row r="755">
      <c r="A755" s="147">
        <f>ROW()-2</f>
        <v/>
      </c>
      <c r="B755" s="127" t="inlineStr">
        <is>
          <t>PK0890</t>
        </is>
      </c>
      <c r="C755" s="128" t="inlineStr">
        <is>
          <t>ABUAKLA MOHAMED RAFIK</t>
        </is>
      </c>
      <c r="D755" s="127" t="inlineStr">
        <is>
          <t>PRODUCTION</t>
        </is>
      </c>
      <c r="E755" s="129" t="inlineStr">
        <is>
          <t>BAND BUILDING-P1</t>
        </is>
      </c>
      <c r="F755" s="130" t="n">
        <v>43143</v>
      </c>
      <c r="G755" s="131">
        <f>NOW()-F755</f>
        <v/>
      </c>
      <c r="H755" s="104" t="inlineStr">
        <is>
          <t>O</t>
        </is>
      </c>
      <c r="I755" s="104" t="inlineStr">
        <is>
          <t>U</t>
        </is>
      </c>
      <c r="J755" s="104" t="n">
        <v>9</v>
      </c>
      <c r="K755" s="104" t="n">
        <v>7</v>
      </c>
      <c r="L755" s="104" t="n">
        <v>9</v>
      </c>
      <c r="M755" s="104" t="n">
        <v>5</v>
      </c>
      <c r="N755" s="104" t="n"/>
      <c r="O755" s="104">
        <f>SUM(J755:N755)</f>
        <v/>
      </c>
      <c r="P755" s="12">
        <f>O755/IF(H755="L",20,IF(H755="U",30,IF(H755="O",40,IF(H755="I",20,""))))</f>
        <v/>
      </c>
      <c r="Q755" s="132">
        <f>IF(AND(H755="L", P755&gt;=50%), "Pass",
IF(AND(H755="U", P755&gt;=60%), "Pass",
IF(AND(H755="O", P755&gt;=75%), "Pass", "Fail")))</f>
        <v/>
      </c>
      <c r="R755" s="104" t="n"/>
      <c r="S755" s="104" t="n">
        <v>17</v>
      </c>
      <c r="T755" s="104" t="n">
        <v>15</v>
      </c>
      <c r="U755" s="104">
        <f>SUM(S755:T755)</f>
        <v/>
      </c>
      <c r="V755" s="12">
        <f>U755/IF(H755="L",35,IF(H755="U",35,IF(H755="O",35,IF(H755="I",35,""))))</f>
        <v/>
      </c>
      <c r="W755" s="132">
        <f>IF(AND(H755="L", V755&gt;=50%), "Pass",
IF(AND(H755="U", V755&gt;=60%), "Pass",
IF(AND(H755="O", V755&gt;=75%), "Pass", "Fail")))</f>
        <v/>
      </c>
      <c r="X755" s="132">
        <f>IF(AND(Q755="Pass", W755="Pass"), "Pass", "Fail")</f>
        <v/>
      </c>
      <c r="Y755" s="15">
        <f>IF($X755="Pass",$H755,
IF(H755="L","I",
IF(H755="U","L",
IF(H755="O","U",
"I"))))</f>
        <v/>
      </c>
    </row>
    <row r="756">
      <c r="A756" s="147">
        <f>ROW()-2</f>
        <v/>
      </c>
      <c r="B756" s="127" t="inlineStr">
        <is>
          <t>AK0779</t>
        </is>
      </c>
      <c r="C756" s="128" t="inlineStr">
        <is>
          <t>MURUGAN</t>
        </is>
      </c>
      <c r="D756" s="127" t="inlineStr">
        <is>
          <t>PRODUCTION</t>
        </is>
      </c>
      <c r="E756" s="129" t="inlineStr">
        <is>
          <t>TYRE BUILDING-P3</t>
        </is>
      </c>
      <c r="F756" s="130" t="n">
        <v>43145</v>
      </c>
      <c r="G756" s="131">
        <f>NOW()-F756</f>
        <v/>
      </c>
      <c r="H756" s="104" t="inlineStr">
        <is>
          <t>O</t>
        </is>
      </c>
      <c r="I756" s="104" t="inlineStr">
        <is>
          <t>O</t>
        </is>
      </c>
      <c r="J756" s="104" t="n">
        <v>7</v>
      </c>
      <c r="K756" s="104" t="n">
        <v>5</v>
      </c>
      <c r="L756" s="104" t="n">
        <v>7</v>
      </c>
      <c r="M756" s="104" t="n">
        <v>8</v>
      </c>
      <c r="N756" s="104" t="n"/>
      <c r="O756" s="104">
        <f>SUM(J756:N756)</f>
        <v/>
      </c>
      <c r="P756" s="12">
        <f>O756/IF(H756="L",20,IF(H756="U",30,IF(H756="O",40,IF(H756="I",20,""))))</f>
        <v/>
      </c>
      <c r="Q756" s="132">
        <f>IF(AND(H756="L", P756&gt;=50%), "Pass",
IF(AND(H756="U", P756&gt;=60%), "Pass",
IF(AND(H756="O", P756&gt;=75%), "Pass", "Fail")))</f>
        <v/>
      </c>
      <c r="R756" s="104" t="n"/>
      <c r="S756" s="104" t="n">
        <v>18</v>
      </c>
      <c r="T756" s="104" t="n">
        <v>14</v>
      </c>
      <c r="U756" s="104">
        <f>SUM(S756:T756)</f>
        <v/>
      </c>
      <c r="V756" s="12">
        <f>U756/IF(H756="L",35,IF(H756="U",35,IF(H756="O",35,IF(H756="I",35,""))))</f>
        <v/>
      </c>
      <c r="W756" s="132">
        <f>IF(AND(H756="L", V756&gt;=50%), "Pass",
IF(AND(H756="U", V756&gt;=60%), "Pass",
IF(AND(H756="O", V756&gt;=75%), "Pass", "Fail")))</f>
        <v/>
      </c>
      <c r="X756" s="132">
        <f>IF(AND(Q756="Pass", W756="Pass"), "Pass", "Fail")</f>
        <v/>
      </c>
      <c r="Y756" s="15">
        <f>IF($X756="Pass",$H756,
IF(H756="L","I",
IF(H756="U","L",
IF(H756="O","U",
"I"))))</f>
        <v/>
      </c>
    </row>
    <row r="757">
      <c r="A757" s="147">
        <f>ROW()-2</f>
        <v/>
      </c>
      <c r="B757" s="127" t="inlineStr">
        <is>
          <t>SK2700</t>
        </is>
      </c>
      <c r="C757" s="128" t="inlineStr">
        <is>
          <t>DINESH KUMAR</t>
        </is>
      </c>
      <c r="D757" s="127" t="inlineStr">
        <is>
          <t>PRODUCTION</t>
        </is>
      </c>
      <c r="E757" s="129" t="inlineStr">
        <is>
          <t>BAND BUILDING-P3</t>
        </is>
      </c>
      <c r="F757" s="130" t="n">
        <v>43145</v>
      </c>
      <c r="G757" s="131">
        <f>NOW()-F757</f>
        <v/>
      </c>
      <c r="H757" s="104" t="inlineStr">
        <is>
          <t>O</t>
        </is>
      </c>
      <c r="I757" s="104" t="inlineStr">
        <is>
          <t>U</t>
        </is>
      </c>
      <c r="J757" s="104" t="n">
        <v>10</v>
      </c>
      <c r="K757" s="104" t="n">
        <v>8</v>
      </c>
      <c r="L757" s="104" t="n">
        <v>8</v>
      </c>
      <c r="M757" s="104" t="n">
        <v>8</v>
      </c>
      <c r="N757" s="104" t="n"/>
      <c r="O757" s="104">
        <f>SUM(J757:N757)</f>
        <v/>
      </c>
      <c r="P757" s="12">
        <f>O757/IF(H757="L",20,IF(H757="U",30,IF(H757="O",40,IF(H757="I",20,""))))</f>
        <v/>
      </c>
      <c r="Q757" s="132">
        <f>IF(AND(H757="L", P757&gt;=50%), "Pass",
IF(AND(H757="U", P757&gt;=60%), "Pass",
IF(AND(H757="O", P757&gt;=75%), "Pass", "Fail")))</f>
        <v/>
      </c>
      <c r="R757" s="104" t="n"/>
      <c r="S757" s="104" t="n">
        <v>13</v>
      </c>
      <c r="T757" s="104" t="n">
        <v>11</v>
      </c>
      <c r="U757" s="104">
        <f>SUM(S757:T757)</f>
        <v/>
      </c>
      <c r="V757" s="12">
        <f>U757/IF(H757="L",35,IF(H757="U",35,IF(H757="O",35,IF(H757="I",35,""))))</f>
        <v/>
      </c>
      <c r="W757" s="132">
        <f>IF(AND(H757="L", V757&gt;=50%), "Pass",
IF(AND(H757="U", V757&gt;=60%), "Pass",
IF(AND(H757="O", V757&gt;=75%), "Pass", "Fail")))</f>
        <v/>
      </c>
      <c r="X757" s="132">
        <f>IF(AND(Q757="Pass", W757="Pass"), "Pass", "Fail")</f>
        <v/>
      </c>
      <c r="Y757" s="15">
        <f>IF($X757="Pass",$H757,
IF(H757="L","I",
IF(H757="U","L",
IF(H757="O","U",
"I"))))</f>
        <v/>
      </c>
    </row>
    <row r="758">
      <c r="A758" s="147">
        <f>ROW()-2</f>
        <v/>
      </c>
      <c r="B758" s="127" t="inlineStr">
        <is>
          <t>SK2718</t>
        </is>
      </c>
      <c r="C758" s="128" t="inlineStr">
        <is>
          <t>MUTHURAJA MUPPIDATHI</t>
        </is>
      </c>
      <c r="D758" s="127" t="inlineStr">
        <is>
          <t>PRODUCTION</t>
        </is>
      </c>
      <c r="E758" s="129" t="inlineStr">
        <is>
          <t>BEAD WINDING</t>
        </is>
      </c>
      <c r="F758" s="130" t="n">
        <v>43157</v>
      </c>
      <c r="G758" s="131">
        <f>NOW()-F758</f>
        <v/>
      </c>
      <c r="H758" s="104" t="inlineStr">
        <is>
          <t>O</t>
        </is>
      </c>
      <c r="I758" s="104" t="inlineStr">
        <is>
          <t>U</t>
        </is>
      </c>
      <c r="J758" s="104" t="n">
        <v>2</v>
      </c>
      <c r="K758" s="104" t="n">
        <v>7</v>
      </c>
      <c r="L758" s="104" t="n">
        <v>4</v>
      </c>
      <c r="M758" s="104" t="n">
        <v>2</v>
      </c>
      <c r="N758" s="104" t="n"/>
      <c r="O758" s="104">
        <f>SUM(J758:N758)</f>
        <v/>
      </c>
      <c r="P758" s="12">
        <f>O758/IF(H758="L",20,IF(H758="U",30,IF(H758="O",40,IF(H758="I",20,""))))</f>
        <v/>
      </c>
      <c r="Q758" s="132">
        <f>IF(AND(H758="L", P758&gt;=50%), "Pass",
IF(AND(H758="U", P758&gt;=60%), "Pass",
IF(AND(H758="O", P758&gt;=75%), "Pass", "Fail")))</f>
        <v/>
      </c>
      <c r="R758" s="104" t="n"/>
      <c r="S758" s="104" t="n">
        <v>12</v>
      </c>
      <c r="T758" s="104" t="n">
        <v>6</v>
      </c>
      <c r="U758" s="104">
        <f>SUM(S758:T758)</f>
        <v/>
      </c>
      <c r="V758" s="12">
        <f>U758/IF(H758="L",35,IF(H758="U",35,IF(H758="O",35,IF(H758="I",35,""))))</f>
        <v/>
      </c>
      <c r="W758" s="132">
        <f>IF(AND(H758="L", V758&gt;=50%), "Pass",
IF(AND(H758="U", V758&gt;=60%), "Pass",
IF(AND(H758="O", V758&gt;=75%), "Pass", "Fail")))</f>
        <v/>
      </c>
      <c r="X758" s="132">
        <f>IF(AND(Q758="Pass", W758="Pass"), "Pass", "Fail")</f>
        <v/>
      </c>
      <c r="Y758" s="15">
        <f>IF($X758="Pass",$H758,
IF(H758="L","I",
IF(H758="U","L",
IF(H758="O","U",
"I"))))</f>
        <v/>
      </c>
    </row>
    <row r="759">
      <c r="A759" s="147">
        <f>ROW()-2</f>
        <v/>
      </c>
      <c r="B759" s="137" t="inlineStr">
        <is>
          <t>KK0910</t>
        </is>
      </c>
      <c r="C759" s="138" t="inlineStr">
        <is>
          <t>MURUGAN</t>
        </is>
      </c>
      <c r="D759" s="127" t="inlineStr">
        <is>
          <t>PRODUCTION</t>
        </is>
      </c>
      <c r="E759" s="129" t="inlineStr">
        <is>
          <t>BEAD WINDING</t>
        </is>
      </c>
      <c r="F759" s="130" t="n">
        <v>43160</v>
      </c>
      <c r="G759" s="131">
        <f>NOW()-F759</f>
        <v/>
      </c>
      <c r="H759" s="104" t="inlineStr">
        <is>
          <t>O</t>
        </is>
      </c>
      <c r="I759" s="104" t="inlineStr">
        <is>
          <t>U</t>
        </is>
      </c>
      <c r="J759" s="104" t="n">
        <v>7</v>
      </c>
      <c r="K759" s="104" t="n">
        <v>7</v>
      </c>
      <c r="L759" s="104" t="n">
        <v>6</v>
      </c>
      <c r="M759" s="104" t="n">
        <v>5</v>
      </c>
      <c r="N759" s="104" t="n"/>
      <c r="O759" s="104">
        <f>SUM(J759:N759)</f>
        <v/>
      </c>
      <c r="P759" s="12">
        <f>O759/IF(H759="L",20,IF(H759="U",30,IF(H759="O",40,IF(H759="I",20,""))))</f>
        <v/>
      </c>
      <c r="Q759" s="132">
        <f>IF(AND(H759="L", P759&gt;=50%), "Pass",
IF(AND(H759="U", P759&gt;=60%), "Pass",
IF(AND(H759="O", P759&gt;=75%), "Pass", "Fail")))</f>
        <v/>
      </c>
      <c r="R759" s="104" t="n"/>
      <c r="S759" s="104" t="n">
        <v>14</v>
      </c>
      <c r="T759" s="104" t="n">
        <v>10</v>
      </c>
      <c r="U759" s="104">
        <f>SUM(S759:T759)</f>
        <v/>
      </c>
      <c r="V759" s="12">
        <f>U759/IF(H759="L",35,IF(H759="U",35,IF(H759="O",35,IF(H759="I",35,""))))</f>
        <v/>
      </c>
      <c r="W759" s="132">
        <f>IF(AND(H759="L", V759&gt;=50%), "Pass",
IF(AND(H759="U", V759&gt;=60%), "Pass",
IF(AND(H759="O", V759&gt;=75%), "Pass", "Fail")))</f>
        <v/>
      </c>
      <c r="X759" s="132">
        <f>IF(AND(Q759="Pass", W759="Pass"), "Pass", "Fail")</f>
        <v/>
      </c>
      <c r="Y759" s="15">
        <f>IF($X759="Pass",$H759,
IF(H759="L","I",
IF(H759="U","L",
IF(H759="O","U",
"I"))))</f>
        <v/>
      </c>
    </row>
    <row r="760">
      <c r="A760" s="147">
        <f>ROW()-2</f>
        <v/>
      </c>
      <c r="B760" s="127" t="inlineStr">
        <is>
          <t>PK0895</t>
        </is>
      </c>
      <c r="C760" s="128" t="inlineStr">
        <is>
          <t>SUHAIL MOHAMED ISMAIL</t>
        </is>
      </c>
      <c r="D760" s="127" t="inlineStr">
        <is>
          <t>PRODUCTION</t>
        </is>
      </c>
      <c r="E760" s="129" t="inlineStr">
        <is>
          <t>TYRE CURING</t>
        </is>
      </c>
      <c r="F760" s="130" t="n">
        <v>43160</v>
      </c>
      <c r="G760" s="131">
        <f>NOW()-F760</f>
        <v/>
      </c>
      <c r="H760" s="104" t="inlineStr">
        <is>
          <t>O</t>
        </is>
      </c>
      <c r="I760" s="104" t="inlineStr">
        <is>
          <t>O</t>
        </is>
      </c>
      <c r="J760" s="104" t="n">
        <v>9</v>
      </c>
      <c r="K760" s="104" t="n">
        <v>9</v>
      </c>
      <c r="L760" s="104" t="n">
        <v>9</v>
      </c>
      <c r="M760" s="104" t="n">
        <v>5</v>
      </c>
      <c r="N760" s="104" t="n"/>
      <c r="O760" s="104">
        <f>SUM(J760:N760)</f>
        <v/>
      </c>
      <c r="P760" s="12">
        <f>O760/IF(H760="L",20,IF(H760="U",30,IF(H760="O",40,IF(H760="I",20,""))))</f>
        <v/>
      </c>
      <c r="Q760" s="132">
        <f>IF(AND(H760="L", P760&gt;=50%), "Pass",
IF(AND(H760="U", P760&gt;=60%), "Pass",
IF(AND(H760="O", P760&gt;=75%), "Pass", "Fail")))</f>
        <v/>
      </c>
      <c r="R760" s="104" t="n"/>
      <c r="S760" s="104" t="n">
        <v>16</v>
      </c>
      <c r="T760" s="104" t="n">
        <v>11</v>
      </c>
      <c r="U760" s="104">
        <f>SUM(S760:T760)</f>
        <v/>
      </c>
      <c r="V760" s="12">
        <f>U760/IF(H760="L",35,IF(H760="U",35,IF(H760="O",35,IF(H760="I",35,""))))</f>
        <v/>
      </c>
      <c r="W760" s="132">
        <f>IF(AND(H760="L", V760&gt;=50%), "Pass",
IF(AND(H760="U", V760&gt;=60%), "Pass",
IF(AND(H760="O", V760&gt;=75%), "Pass", "Fail")))</f>
        <v/>
      </c>
      <c r="X760" s="132">
        <f>IF(AND(Q760="Pass", W760="Pass"), "Pass", "Fail")</f>
        <v/>
      </c>
      <c r="Y760" s="15">
        <f>IF($X760="Pass",$H760,
IF(H760="L","I",
IF(H760="U","L",
IF(H760="O","U",
"I"))))</f>
        <v/>
      </c>
    </row>
    <row r="761">
      <c r="A761" s="147">
        <f>ROW()-2</f>
        <v/>
      </c>
      <c r="B761" s="127" t="inlineStr">
        <is>
          <t>SR0853</t>
        </is>
      </c>
      <c r="C761" s="128" t="inlineStr">
        <is>
          <t>GANESHAN</t>
        </is>
      </c>
      <c r="D761" s="127" t="inlineStr">
        <is>
          <t>PRODUCTION</t>
        </is>
      </c>
      <c r="E761" s="129" t="inlineStr">
        <is>
          <t>BEAD WINDING</t>
        </is>
      </c>
      <c r="F761" s="130" t="n">
        <v>43165</v>
      </c>
      <c r="G761" s="131">
        <f>NOW()-F761</f>
        <v/>
      </c>
      <c r="H761" s="104" t="inlineStr">
        <is>
          <t>O</t>
        </is>
      </c>
      <c r="I761" s="104" t="inlineStr">
        <is>
          <t>U</t>
        </is>
      </c>
      <c r="J761" s="104" t="n">
        <v>9</v>
      </c>
      <c r="K761" s="104" t="n">
        <v>5</v>
      </c>
      <c r="L761" s="104" t="n">
        <v>5</v>
      </c>
      <c r="M761" s="104" t="n">
        <v>8</v>
      </c>
      <c r="N761" s="104" t="n"/>
      <c r="O761" s="104">
        <f>SUM(J761:N761)</f>
        <v/>
      </c>
      <c r="P761" s="12">
        <f>O761/IF(H761="L",20,IF(H761="U",30,IF(H761="O",40,IF(H761="I",20,""))))</f>
        <v/>
      </c>
      <c r="Q761" s="132">
        <f>IF(AND(H761="L", P761&gt;=50%), "Pass",
IF(AND(H761="U", P761&gt;=60%), "Pass",
IF(AND(H761="O", P761&gt;=75%), "Pass", "Fail")))</f>
        <v/>
      </c>
      <c r="R761" s="104" t="n"/>
      <c r="S761" s="104" t="n">
        <v>13</v>
      </c>
      <c r="T761" s="104" t="n">
        <v>6</v>
      </c>
      <c r="U761" s="104">
        <f>SUM(S761:T761)</f>
        <v/>
      </c>
      <c r="V761" s="12">
        <f>U761/IF(H761="L",35,IF(H761="U",35,IF(H761="O",35,IF(H761="I",35,""))))</f>
        <v/>
      </c>
      <c r="W761" s="132">
        <f>IF(AND(H761="L", V761&gt;=50%), "Pass",
IF(AND(H761="U", V761&gt;=60%), "Pass",
IF(AND(H761="O", V761&gt;=75%), "Pass", "Fail")))</f>
        <v/>
      </c>
      <c r="X761" s="132">
        <f>IF(AND(Q761="Pass", W761="Pass"), "Pass", "Fail")</f>
        <v/>
      </c>
      <c r="Y761" s="15">
        <f>IF($X761="Pass",$H761,
IF(H761="L","I",
IF(H761="U","L",
IF(H761="O","U",
"I"))))</f>
        <v/>
      </c>
    </row>
    <row r="762">
      <c r="A762" s="147">
        <f>ROW()-2</f>
        <v/>
      </c>
      <c r="B762" s="127" t="inlineStr">
        <is>
          <t>SK2727</t>
        </is>
      </c>
      <c r="C762" s="128" t="inlineStr">
        <is>
          <t>JHARI ORAON</t>
        </is>
      </c>
      <c r="D762" s="127" t="inlineStr">
        <is>
          <t>PRODUCTION</t>
        </is>
      </c>
      <c r="E762" s="129" t="inlineStr">
        <is>
          <t>TYRE CURING</t>
        </is>
      </c>
      <c r="F762" s="130" t="n">
        <v>43185</v>
      </c>
      <c r="G762" s="131">
        <f>NOW()-F762</f>
        <v/>
      </c>
      <c r="H762" s="104" t="inlineStr">
        <is>
          <t>O</t>
        </is>
      </c>
      <c r="I762" s="104" t="inlineStr">
        <is>
          <t>U</t>
        </is>
      </c>
      <c r="J762" s="104" t="n">
        <v>9</v>
      </c>
      <c r="K762" s="104" t="n">
        <v>5</v>
      </c>
      <c r="L762" s="104" t="n">
        <v>5</v>
      </c>
      <c r="M762" s="104" t="n">
        <v>4</v>
      </c>
      <c r="N762" s="104" t="n"/>
      <c r="O762" s="104">
        <f>SUM(J762:N762)</f>
        <v/>
      </c>
      <c r="P762" s="12">
        <f>O762/IF(H762="L",20,IF(H762="U",30,IF(H762="O",40,IF(H762="I",20,""))))</f>
        <v/>
      </c>
      <c r="Q762" s="132">
        <f>IF(AND(H762="L", P762&gt;=50%), "Pass",
IF(AND(H762="U", P762&gt;=60%), "Pass",
IF(AND(H762="O", P762&gt;=75%), "Pass", "Fail")))</f>
        <v/>
      </c>
      <c r="R762" s="104" t="n"/>
      <c r="S762" s="104" t="n">
        <v>12</v>
      </c>
      <c r="T762" s="104" t="n">
        <v>9</v>
      </c>
      <c r="U762" s="104">
        <f>SUM(S762:T762)</f>
        <v/>
      </c>
      <c r="V762" s="12">
        <f>U762/IF(H762="L",35,IF(H762="U",35,IF(H762="O",35,IF(H762="I",35,""))))</f>
        <v/>
      </c>
      <c r="W762" s="132">
        <f>IF(AND(H762="L", V762&gt;=50%), "Pass",
IF(AND(H762="U", V762&gt;=60%), "Pass",
IF(AND(H762="O", V762&gt;=75%), "Pass", "Fail")))</f>
        <v/>
      </c>
      <c r="X762" s="132">
        <f>IF(AND(Q762="Pass", W762="Pass"), "Pass", "Fail")</f>
        <v/>
      </c>
      <c r="Y762" s="15">
        <f>IF($X762="Pass",$H762,
IF(H762="L","I",
IF(H762="U","L",
IF(H762="O","U",
"I"))))</f>
        <v/>
      </c>
    </row>
    <row r="763">
      <c r="A763" s="147">
        <f>ROW()-2</f>
        <v/>
      </c>
      <c r="B763" s="127" t="inlineStr">
        <is>
          <t>KK0921</t>
        </is>
      </c>
      <c r="C763" s="128" t="inlineStr">
        <is>
          <t>S SUBHANANDHA BHARATHI</t>
        </is>
      </c>
      <c r="D763" s="127" t="inlineStr">
        <is>
          <t>PRODUCTION</t>
        </is>
      </c>
      <c r="E763" s="129" t="inlineStr">
        <is>
          <t>TYRE BUILDING-P3</t>
        </is>
      </c>
      <c r="F763" s="130" t="n">
        <v>43197</v>
      </c>
      <c r="G763" s="131">
        <f>NOW()-F763</f>
        <v/>
      </c>
      <c r="H763" s="104" t="inlineStr">
        <is>
          <t>O</t>
        </is>
      </c>
      <c r="I763" s="104" t="inlineStr">
        <is>
          <t>O</t>
        </is>
      </c>
      <c r="J763" s="104" t="n">
        <v>10</v>
      </c>
      <c r="K763" s="104" t="n">
        <v>9</v>
      </c>
      <c r="L763" s="104" t="n">
        <v>8</v>
      </c>
      <c r="M763" s="104" t="n">
        <v>9</v>
      </c>
      <c r="N763" s="104" t="n"/>
      <c r="O763" s="104">
        <f>SUM(J763:N763)</f>
        <v/>
      </c>
      <c r="P763" s="12">
        <f>O763/IF(H763="L",20,IF(H763="U",30,IF(H763="O",40,IF(H763="I",20,""))))</f>
        <v/>
      </c>
      <c r="Q763" s="132">
        <f>IF(AND(H763="L", P763&gt;=50%), "Pass",
IF(AND(H763="U", P763&gt;=60%), "Pass",
IF(AND(H763="O", P763&gt;=75%), "Pass", "Fail")))</f>
        <v/>
      </c>
      <c r="R763" s="104" t="n"/>
      <c r="S763" s="104" t="n">
        <v>17</v>
      </c>
      <c r="T763" s="104" t="n">
        <v>15</v>
      </c>
      <c r="U763" s="104">
        <f>SUM(S763:T763)</f>
        <v/>
      </c>
      <c r="V763" s="12">
        <f>U763/IF(H763="L",35,IF(H763="U",35,IF(H763="O",35,IF(H763="I",35,""))))</f>
        <v/>
      </c>
      <c r="W763" s="132">
        <f>IF(AND(H763="L", V763&gt;=50%), "Pass",
IF(AND(H763="U", V763&gt;=60%), "Pass",
IF(AND(H763="O", V763&gt;=75%), "Pass", "Fail")))</f>
        <v/>
      </c>
      <c r="X763" s="132">
        <f>IF(AND(Q763="Pass", W763="Pass"), "Pass", "Fail")</f>
        <v/>
      </c>
      <c r="Y763" s="15">
        <f>IF($X763="Pass",$H763,
IF(H763="L","I",
IF(H763="U","L",
IF(H763="O","U",
"I"))))</f>
        <v/>
      </c>
    </row>
    <row r="764">
      <c r="A764" s="147">
        <f>ROW()-2</f>
        <v/>
      </c>
      <c r="B764" s="127" t="inlineStr">
        <is>
          <t>SK2738</t>
        </is>
      </c>
      <c r="C764" s="128" t="inlineStr">
        <is>
          <t>MURUGAN SANMUGAVEL</t>
        </is>
      </c>
      <c r="D764" s="127" t="inlineStr">
        <is>
          <t>PRODUCTION</t>
        </is>
      </c>
      <c r="E764" s="129" t="inlineStr">
        <is>
          <t>TYRE BUILDING-P3</t>
        </is>
      </c>
      <c r="F764" s="130" t="n">
        <v>43197</v>
      </c>
      <c r="G764" s="131">
        <f>NOW()-F764</f>
        <v/>
      </c>
      <c r="H764" s="104" t="inlineStr">
        <is>
          <t>O</t>
        </is>
      </c>
      <c r="I764" s="104" t="inlineStr">
        <is>
          <t>U</t>
        </is>
      </c>
      <c r="J764" s="104" t="n">
        <v>5</v>
      </c>
      <c r="K764" s="104" t="n">
        <v>9</v>
      </c>
      <c r="L764" s="104" t="n">
        <v>5</v>
      </c>
      <c r="M764" s="104" t="n">
        <v>8</v>
      </c>
      <c r="N764" s="104" t="n"/>
      <c r="O764" s="104">
        <f>SUM(J764:N764)</f>
        <v/>
      </c>
      <c r="P764" s="12">
        <f>O764/IF(H764="L",20,IF(H764="U",30,IF(H764="O",40,IF(H764="I",20,""))))</f>
        <v/>
      </c>
      <c r="Q764" s="132">
        <f>IF(AND(H764="L", P764&gt;=50%), "Pass",
IF(AND(H764="U", P764&gt;=60%), "Pass",
IF(AND(H764="O", P764&gt;=75%), "Pass", "Fail")))</f>
        <v/>
      </c>
      <c r="R764" s="104" t="n"/>
      <c r="S764" s="104" t="n">
        <v>19</v>
      </c>
      <c r="T764" s="104" t="n">
        <v>15</v>
      </c>
      <c r="U764" s="104">
        <f>SUM(S764:T764)</f>
        <v/>
      </c>
      <c r="V764" s="12">
        <f>U764/IF(H764="L",35,IF(H764="U",35,IF(H764="O",35,IF(H764="I",35,""))))</f>
        <v/>
      </c>
      <c r="W764" s="132">
        <f>IF(AND(H764="L", V764&gt;=50%), "Pass",
IF(AND(H764="U", V764&gt;=60%), "Pass",
IF(AND(H764="O", V764&gt;=75%), "Pass", "Fail")))</f>
        <v/>
      </c>
      <c r="X764" s="132">
        <f>IF(AND(Q764="Pass", W764="Pass"), "Pass", "Fail")</f>
        <v/>
      </c>
      <c r="Y764" s="15">
        <f>IF($X764="Pass",$H764,
IF(H764="L","I",
IF(H764="U","L",
IF(H764="O","U",
"I"))))</f>
        <v/>
      </c>
    </row>
    <row r="765">
      <c r="A765" s="147">
        <f>ROW()-2</f>
        <v/>
      </c>
      <c r="B765" s="127" t="inlineStr">
        <is>
          <t>AK0799</t>
        </is>
      </c>
      <c r="C765" s="128" t="inlineStr">
        <is>
          <t>MURUGAN DURAIRAJ</t>
        </is>
      </c>
      <c r="D765" s="127" t="inlineStr">
        <is>
          <t>PRODUCTION</t>
        </is>
      </c>
      <c r="E765" s="129" t="inlineStr">
        <is>
          <t>EXTRUDER</t>
        </is>
      </c>
      <c r="F765" s="130" t="n">
        <v>43203</v>
      </c>
      <c r="G765" s="131">
        <f>NOW()-F765</f>
        <v/>
      </c>
      <c r="H765" s="104" t="inlineStr">
        <is>
          <t>O</t>
        </is>
      </c>
      <c r="I765" s="104" t="inlineStr">
        <is>
          <t>O</t>
        </is>
      </c>
      <c r="J765" s="104" t="n">
        <v>9</v>
      </c>
      <c r="K765" s="104" t="n">
        <v>7</v>
      </c>
      <c r="L765" s="104" t="n">
        <v>10</v>
      </c>
      <c r="M765" s="104" t="n">
        <v>7</v>
      </c>
      <c r="N765" s="104" t="n"/>
      <c r="O765" s="104">
        <f>SUM(J765:N765)</f>
        <v/>
      </c>
      <c r="P765" s="12">
        <f>O765/IF(H765="L",20,IF(H765="U",30,IF(H765="O",40,IF(H765="I",20,""))))</f>
        <v/>
      </c>
      <c r="Q765" s="132">
        <f>IF(AND(H765="L", P765&gt;=50%), "Pass",
IF(AND(H765="U", P765&gt;=60%), "Pass",
IF(AND(H765="O", P765&gt;=75%), "Pass", "Fail")))</f>
        <v/>
      </c>
      <c r="R765" s="104" t="n"/>
      <c r="S765" s="104" t="n">
        <v>16</v>
      </c>
      <c r="T765" s="104" t="n">
        <v>11</v>
      </c>
      <c r="U765" s="104">
        <f>SUM(S765:T765)</f>
        <v/>
      </c>
      <c r="V765" s="12">
        <f>U765/IF(H765="L",35,IF(H765="U",35,IF(H765="O",35,IF(H765="I",35,""))))</f>
        <v/>
      </c>
      <c r="W765" s="132">
        <f>IF(AND(H765="L", V765&gt;=50%), "Pass",
IF(AND(H765="U", V765&gt;=60%), "Pass",
IF(AND(H765="O", V765&gt;=75%), "Pass", "Fail")))</f>
        <v/>
      </c>
      <c r="X765" s="132">
        <f>IF(AND(Q765="Pass", W765="Pass"), "Pass", "Fail")</f>
        <v/>
      </c>
      <c r="Y765" s="15">
        <f>IF($X765="Pass",$H765,
IF(H765="L","I",
IF(H765="U","L",
IF(H765="O","U",
"I"))))</f>
        <v/>
      </c>
      <c r="Z765" s="81">
        <f>V765-75%</f>
        <v/>
      </c>
    </row>
    <row r="766">
      <c r="A766" s="147">
        <f>ROW()-2</f>
        <v/>
      </c>
      <c r="B766" s="127" t="inlineStr">
        <is>
          <t>MG1185</t>
        </is>
      </c>
      <c r="C766" s="128" t="inlineStr">
        <is>
          <t>MUTHUSAMY KATHIRESAN</t>
        </is>
      </c>
      <c r="D766" s="127" t="inlineStr">
        <is>
          <t>PRODUCTION</t>
        </is>
      </c>
      <c r="E766" s="129" t="inlineStr">
        <is>
          <t>STEELASTIC</t>
        </is>
      </c>
      <c r="F766" s="130" t="n">
        <v>43203</v>
      </c>
      <c r="G766" s="131">
        <f>NOW()-F766</f>
        <v/>
      </c>
      <c r="H766" s="104" t="inlineStr">
        <is>
          <t>O</t>
        </is>
      </c>
      <c r="I766" s="104" t="inlineStr">
        <is>
          <t>U</t>
        </is>
      </c>
      <c r="J766" s="104" t="n">
        <v>5</v>
      </c>
      <c r="K766" s="104" t="n">
        <v>5</v>
      </c>
      <c r="L766" s="104" t="n">
        <v>6</v>
      </c>
      <c r="M766" s="104" t="n">
        <v>7</v>
      </c>
      <c r="N766" s="104" t="n"/>
      <c r="O766" s="104">
        <f>SUM(J766:N766)</f>
        <v/>
      </c>
      <c r="P766" s="12">
        <f>O766/IF(H766="L",20,IF(H766="U",30,IF(H766="O",40,IF(H766="I",20,""))))</f>
        <v/>
      </c>
      <c r="Q766" s="132">
        <f>IF(AND(H766="L", P766&gt;=50%), "Pass",
IF(AND(H766="U", P766&gt;=60%), "Pass",
IF(AND(H766="O", P766&gt;=75%), "Pass", "Fail")))</f>
        <v/>
      </c>
      <c r="R766" s="104" t="n"/>
      <c r="S766" s="104" t="n">
        <v>10</v>
      </c>
      <c r="T766" s="104" t="n">
        <v>10</v>
      </c>
      <c r="U766" s="104">
        <f>SUM(S766:T766)</f>
        <v/>
      </c>
      <c r="V766" s="12">
        <f>U766/IF(H766="L",35,IF(H766="U",35,IF(H766="O",35,IF(H766="I",35,""))))</f>
        <v/>
      </c>
      <c r="W766" s="132">
        <f>IF(AND(H766="L", V766&gt;=50%), "Pass",
IF(AND(H766="U", V766&gt;=60%), "Pass",
IF(AND(H766="O", V766&gt;=75%), "Pass", "Fail")))</f>
        <v/>
      </c>
      <c r="X766" s="132">
        <f>IF(AND(Q766="Pass", W766="Pass"), "Pass", "Fail")</f>
        <v/>
      </c>
      <c r="Y766" s="15">
        <f>IF($X766="Pass",$H766,
IF(H766="L","I",
IF(H766="U","L",
IF(H766="O","U",
"I"))))</f>
        <v/>
      </c>
    </row>
    <row r="767">
      <c r="A767" s="147">
        <f>ROW()-2</f>
        <v/>
      </c>
      <c r="B767" s="127" t="inlineStr">
        <is>
          <t>SK2746</t>
        </is>
      </c>
      <c r="C767" s="128" t="inlineStr">
        <is>
          <t>KISHOREKUMAR</t>
        </is>
      </c>
      <c r="D767" s="127" t="inlineStr">
        <is>
          <t>PRODUCTION</t>
        </is>
      </c>
      <c r="E767" s="129" t="inlineStr">
        <is>
          <t>STEELASTIC</t>
        </is>
      </c>
      <c r="F767" s="130" t="n">
        <v>43203</v>
      </c>
      <c r="G767" s="131">
        <f>NOW()-F767</f>
        <v/>
      </c>
      <c r="H767" s="104" t="inlineStr">
        <is>
          <t>O</t>
        </is>
      </c>
      <c r="I767" s="104" t="inlineStr">
        <is>
          <t>O</t>
        </is>
      </c>
      <c r="J767" s="104" t="n">
        <v>2</v>
      </c>
      <c r="K767" s="104" t="n">
        <v>6</v>
      </c>
      <c r="L767" s="104" t="n">
        <v>5</v>
      </c>
      <c r="M767" s="104" t="n">
        <v>4</v>
      </c>
      <c r="N767" s="104" t="n"/>
      <c r="O767" s="104">
        <f>SUM(J767:N767)</f>
        <v/>
      </c>
      <c r="P767" s="12">
        <f>O767/IF(H767="L",20,IF(H767="U",30,IF(H767="O",40,IF(H767="I",20,""))))</f>
        <v/>
      </c>
      <c r="Q767" s="132">
        <f>IF(AND(H767="L", P767&gt;=50%), "Pass",
IF(AND(H767="U", P767&gt;=60%), "Pass",
IF(AND(H767="O", P767&gt;=75%), "Pass", "Fail")))</f>
        <v/>
      </c>
      <c r="R767" s="104" t="n"/>
      <c r="S767" s="104" t="n">
        <v>16</v>
      </c>
      <c r="T767" s="104" t="n">
        <v>14</v>
      </c>
      <c r="U767" s="104">
        <f>SUM(S767:T767)</f>
        <v/>
      </c>
      <c r="V767" s="12">
        <f>U767/IF(H767="L",35,IF(H767="U",35,IF(H767="O",35,IF(H767="I",35,""))))</f>
        <v/>
      </c>
      <c r="W767" s="132">
        <f>IF(AND(H767="L", V767&gt;=50%), "Pass",
IF(AND(H767="U", V767&gt;=60%), "Pass",
IF(AND(H767="O", V767&gt;=75%), "Pass", "Fail")))</f>
        <v/>
      </c>
      <c r="X767" s="132">
        <f>IF(AND(Q767="Pass", W767="Pass"), "Pass", "Fail")</f>
        <v/>
      </c>
      <c r="Y767" s="15">
        <f>IF($X767="Pass",$H767,
IF(H767="L","I",
IF(H767="U","L",
IF(H767="O","U",
"I"))))</f>
        <v/>
      </c>
    </row>
    <row r="768">
      <c r="A768" s="147">
        <f>ROW()-2</f>
        <v/>
      </c>
      <c r="B768" s="127" t="inlineStr">
        <is>
          <t>AK0802</t>
        </is>
      </c>
      <c r="C768" s="128" t="inlineStr">
        <is>
          <t>SANKAR S</t>
        </is>
      </c>
      <c r="D768" s="127" t="inlineStr">
        <is>
          <t>PRODUCTION</t>
        </is>
      </c>
      <c r="E768" s="129" t="inlineStr">
        <is>
          <t>BAND BUILDING-P1</t>
        </is>
      </c>
      <c r="F768" s="130" t="n">
        <v>43209</v>
      </c>
      <c r="G768" s="131">
        <f>NOW()-F768</f>
        <v/>
      </c>
      <c r="H768" s="104" t="inlineStr">
        <is>
          <t>O</t>
        </is>
      </c>
      <c r="I768" s="104" t="inlineStr">
        <is>
          <t>U</t>
        </is>
      </c>
      <c r="J768" s="104" t="n">
        <v>9</v>
      </c>
      <c r="K768" s="104" t="n">
        <v>7</v>
      </c>
      <c r="L768" s="104" t="n">
        <v>5</v>
      </c>
      <c r="M768" s="104" t="n">
        <v>8</v>
      </c>
      <c r="N768" s="104" t="n"/>
      <c r="O768" s="104">
        <f>SUM(J768:N768)</f>
        <v/>
      </c>
      <c r="P768" s="12">
        <f>O768/IF(H768="L",20,IF(H768="U",30,IF(H768="O",40,IF(H768="I",20,""))))</f>
        <v/>
      </c>
      <c r="Q768" s="132">
        <f>IF(AND(H768="L", P768&gt;=50%), "Pass",
IF(AND(H768="U", P768&gt;=60%), "Pass",
IF(AND(H768="O", P768&gt;=75%), "Pass", "Fail")))</f>
        <v/>
      </c>
      <c r="R768" s="104" t="n"/>
      <c r="S768" s="104" t="n">
        <v>18</v>
      </c>
      <c r="T768" s="104" t="n">
        <v>12</v>
      </c>
      <c r="U768" s="104">
        <f>SUM(S768:T768)</f>
        <v/>
      </c>
      <c r="V768" s="12">
        <f>U768/IF(H768="L",35,IF(H768="U",35,IF(H768="O",35,IF(H768="I",35,""))))</f>
        <v/>
      </c>
      <c r="W768" s="132">
        <f>IF(AND(H768="L", V768&gt;=50%), "Pass",
IF(AND(H768="U", V768&gt;=60%), "Pass",
IF(AND(H768="O", V768&gt;=75%), "Pass", "Fail")))</f>
        <v/>
      </c>
      <c r="X768" s="132">
        <f>IF(AND(Q768="Pass", W768="Pass"), "Pass", "Fail")</f>
        <v/>
      </c>
      <c r="Y768" s="15">
        <f>IF($X768="Pass",$H768,
IF(H768="L","I",
IF(H768="U","L",
IF(H768="O","U",
"I"))))</f>
        <v/>
      </c>
      <c r="Z768" s="81">
        <f>V768-75%</f>
        <v/>
      </c>
    </row>
    <row r="769">
      <c r="A769" s="147">
        <f>ROW()-2</f>
        <v/>
      </c>
      <c r="B769" s="127" t="inlineStr">
        <is>
          <t>SR0861</t>
        </is>
      </c>
      <c r="C769" s="128" t="inlineStr">
        <is>
          <t>PETCHI MUTHU THANGASAMY</t>
        </is>
      </c>
      <c r="D769" s="127" t="inlineStr">
        <is>
          <t>PRODUCTION</t>
        </is>
      </c>
      <c r="E769" s="129" t="inlineStr">
        <is>
          <t>TYRE BUILDING-P3</t>
        </is>
      </c>
      <c r="F769" s="130" t="n">
        <v>43236</v>
      </c>
      <c r="G769" s="131">
        <f>NOW()-F769</f>
        <v/>
      </c>
      <c r="H769" s="104" t="inlineStr">
        <is>
          <t>O</t>
        </is>
      </c>
      <c r="I769" s="104" t="inlineStr">
        <is>
          <t>O</t>
        </is>
      </c>
      <c r="J769" s="104" t="n">
        <v>10</v>
      </c>
      <c r="K769" s="104" t="n">
        <v>9</v>
      </c>
      <c r="L769" s="104" t="n">
        <v>8</v>
      </c>
      <c r="M769" s="104" t="n">
        <v>9</v>
      </c>
      <c r="N769" s="104" t="n"/>
      <c r="O769" s="104">
        <f>SUM(J769:N769)</f>
        <v/>
      </c>
      <c r="P769" s="12">
        <f>O769/IF(H769="L",20,IF(H769="U",30,IF(H769="O",40,IF(H769="I",20,""))))</f>
        <v/>
      </c>
      <c r="Q769" s="132">
        <f>IF(AND(H769="L", P769&gt;=50%), "Pass",
IF(AND(H769="U", P769&gt;=60%), "Pass",
IF(AND(H769="O", P769&gt;=75%), "Pass", "Fail")))</f>
        <v/>
      </c>
      <c r="R769" s="104" t="n"/>
      <c r="S769" s="104" t="n">
        <v>18</v>
      </c>
      <c r="T769" s="104" t="n">
        <v>15</v>
      </c>
      <c r="U769" s="104">
        <f>SUM(S769:T769)</f>
        <v/>
      </c>
      <c r="V769" s="12">
        <f>U769/IF(H769="L",35,IF(H769="U",35,IF(H769="O",35,IF(H769="I",35,""))))</f>
        <v/>
      </c>
      <c r="W769" s="132">
        <f>IF(AND(H769="L", V769&gt;=50%), "Pass",
IF(AND(H769="U", V769&gt;=60%), "Pass",
IF(AND(H769="O", V769&gt;=75%), "Pass", "Fail")))</f>
        <v/>
      </c>
      <c r="X769" s="132">
        <f>IF(AND(Q769="Pass", W769="Pass"), "Pass", "Fail")</f>
        <v/>
      </c>
      <c r="Y769" s="15">
        <f>IF($X769="Pass",$H769,
IF(H769="L","I",
IF(H769="U","L",
IF(H769="O","U",
"I"))))</f>
        <v/>
      </c>
    </row>
    <row r="770">
      <c r="A770" s="147">
        <f>ROW()-2</f>
        <v/>
      </c>
      <c r="B770" s="127" t="inlineStr">
        <is>
          <t>PK0918</t>
        </is>
      </c>
      <c r="C770" s="128" t="inlineStr">
        <is>
          <t>SHANKER ORAON</t>
        </is>
      </c>
      <c r="D770" s="127" t="inlineStr">
        <is>
          <t>PRODUCTION</t>
        </is>
      </c>
      <c r="E770" s="129" t="inlineStr">
        <is>
          <t>TYRE CURING</t>
        </is>
      </c>
      <c r="F770" s="130" t="n">
        <v>43239</v>
      </c>
      <c r="G770" s="131">
        <f>NOW()-F770</f>
        <v/>
      </c>
      <c r="H770" s="104" t="inlineStr">
        <is>
          <t>O</t>
        </is>
      </c>
      <c r="I770" s="104" t="inlineStr">
        <is>
          <t>U</t>
        </is>
      </c>
      <c r="J770" s="104" t="n">
        <v>9</v>
      </c>
      <c r="K770" s="104" t="n">
        <v>9</v>
      </c>
      <c r="L770" s="104" t="n">
        <v>8</v>
      </c>
      <c r="M770" s="104" t="n">
        <v>9</v>
      </c>
      <c r="N770" s="104" t="n"/>
      <c r="O770" s="104">
        <f>SUM(J770:N770)</f>
        <v/>
      </c>
      <c r="P770" s="12">
        <f>O770/IF(H770="L",20,IF(H770="U",30,IF(H770="O",40,IF(H770="I",20,""))))</f>
        <v/>
      </c>
      <c r="Q770" s="132">
        <f>IF(AND(H770="L", P770&gt;=50%), "Pass",
IF(AND(H770="U", P770&gt;=60%), "Pass",
IF(AND(H770="O", P770&gt;=75%), "Pass", "Fail")))</f>
        <v/>
      </c>
      <c r="R770" s="104" t="n"/>
      <c r="S770" s="104" t="n">
        <v>12</v>
      </c>
      <c r="T770" s="104" t="n">
        <v>12</v>
      </c>
      <c r="U770" s="104">
        <f>SUM(S770:T770)</f>
        <v/>
      </c>
      <c r="V770" s="12">
        <f>U770/IF(H770="L",35,IF(H770="U",35,IF(H770="O",35,IF(H770="I",35,""))))</f>
        <v/>
      </c>
      <c r="W770" s="132">
        <f>IF(AND(H770="L", V770&gt;=50%), "Pass",
IF(AND(H770="U", V770&gt;=60%), "Pass",
IF(AND(H770="O", V770&gt;=75%), "Pass", "Fail")))</f>
        <v/>
      </c>
      <c r="X770" s="132">
        <f>IF(AND(Q770="Pass", W770="Pass"), "Pass", "Fail")</f>
        <v/>
      </c>
      <c r="Y770" s="15">
        <f>IF($X770="Pass",$H770,
IF(H770="L","I",
IF(H770="U","L",
IF(H770="O","U",
"I"))))</f>
        <v/>
      </c>
    </row>
    <row r="771">
      <c r="A771" s="147">
        <f>ROW()-2</f>
        <v/>
      </c>
      <c r="B771" s="127" t="inlineStr">
        <is>
          <t>KK0944</t>
        </is>
      </c>
      <c r="C771" s="128" t="inlineStr">
        <is>
          <t>SARWAJIT SHARMA</t>
        </is>
      </c>
      <c r="D771" s="127" t="inlineStr">
        <is>
          <t>PRODUCTION</t>
        </is>
      </c>
      <c r="E771" s="129" t="inlineStr">
        <is>
          <t>EXTRUDER</t>
        </is>
      </c>
      <c r="F771" s="130" t="n">
        <v>43246</v>
      </c>
      <c r="G771" s="131">
        <f>NOW()-F771</f>
        <v/>
      </c>
      <c r="H771" s="104" t="inlineStr">
        <is>
          <t>O</t>
        </is>
      </c>
      <c r="I771" s="104" t="inlineStr">
        <is>
          <t>U</t>
        </is>
      </c>
      <c r="J771" s="104" t="n">
        <v>8</v>
      </c>
      <c r="K771" s="104" t="n">
        <v>8</v>
      </c>
      <c r="L771" s="104" t="n">
        <v>9</v>
      </c>
      <c r="M771" s="104" t="n">
        <v>8</v>
      </c>
      <c r="N771" s="104" t="n"/>
      <c r="O771" s="104">
        <f>SUM(J771:N771)</f>
        <v/>
      </c>
      <c r="P771" s="12">
        <f>O771/IF(H771="L",20,IF(H771="U",30,IF(H771="O",40,IF(H771="I",20,""))))</f>
        <v/>
      </c>
      <c r="Q771" s="132">
        <f>IF(AND(H771="L", P771&gt;=50%), "Pass",
 IF(AND(H771="U", P771&gt;=60%), "Pass",
 IF(AND(H771="O", P771&gt;=75%), "Pass", "Fail")))</f>
        <v/>
      </c>
      <c r="R771" s="104" t="n"/>
      <c r="S771" s="104" t="n">
        <v>10</v>
      </c>
      <c r="T771" s="104" t="n">
        <v>6</v>
      </c>
      <c r="U771" s="104">
        <f>SUM(S771:T771)</f>
        <v/>
      </c>
      <c r="V771" s="12">
        <f>U771/IF(H771="L",35,IF(H771="U",35,IF(H771="O",35,IF(H771="I",35,""))))</f>
        <v/>
      </c>
      <c r="W771" s="132">
        <f>IF(AND(H771="L", V771&gt;=50%), "Pass",
 IF(AND(H771="U", V771&gt;=60%), "Pass",
 IF(AND(H771="O", V771&gt;=75%), "Pass", "Fail")))</f>
        <v/>
      </c>
      <c r="X771" s="132">
        <f>IF(AND(Q771="Pass", W771="Pass"), "Pass", "Fail")</f>
        <v/>
      </c>
      <c r="Y771" s="15">
        <f>IF($X771="Pass",$H771,
IF(H771="L","I",
IF(H771="U","L",
IF(H771="O","U",
"I"))))</f>
        <v/>
      </c>
    </row>
    <row r="772">
      <c r="A772" s="147">
        <f>ROW()-2</f>
        <v/>
      </c>
      <c r="B772" s="127" t="inlineStr">
        <is>
          <t>AK0812</t>
        </is>
      </c>
      <c r="C772" s="128" t="inlineStr">
        <is>
          <t>SIVA PERUMAL</t>
        </is>
      </c>
      <c r="D772" s="127" t="inlineStr">
        <is>
          <t>PRODUCTION</t>
        </is>
      </c>
      <c r="E772" s="129" t="inlineStr">
        <is>
          <t>TYRE CURING</t>
        </is>
      </c>
      <c r="F772" s="130" t="n">
        <v>43288</v>
      </c>
      <c r="G772" s="131">
        <f>NOW()-F772</f>
        <v/>
      </c>
      <c r="H772" s="104" t="inlineStr">
        <is>
          <t>O</t>
        </is>
      </c>
      <c r="I772" s="104" t="inlineStr">
        <is>
          <t>U</t>
        </is>
      </c>
      <c r="J772" s="104" t="n">
        <v>9</v>
      </c>
      <c r="K772" s="104" t="n">
        <v>5</v>
      </c>
      <c r="L772" s="104" t="n">
        <v>7</v>
      </c>
      <c r="M772" s="104" t="n">
        <v>4</v>
      </c>
      <c r="N772" s="104" t="n"/>
      <c r="O772" s="104">
        <f>SUM(J772:N772)</f>
        <v/>
      </c>
      <c r="P772" s="12">
        <f>O772/IF(H772="L",20,IF(H772="U",30,IF(H772="O",40,IF(H772="I",20,""))))</f>
        <v/>
      </c>
      <c r="Q772" s="132">
        <f>IF(AND(H772="L", P772&gt;=50%), "Pass",
IF(AND(H772="U", P772&gt;=60%), "Pass",
IF(AND(H772="O", P772&gt;=75%), "Pass", "Fail")))</f>
        <v/>
      </c>
      <c r="R772" s="104" t="n"/>
      <c r="S772" s="104" t="n">
        <v>11</v>
      </c>
      <c r="T772" s="104" t="n">
        <v>8</v>
      </c>
      <c r="U772" s="104">
        <f>SUM(S772:T772)</f>
        <v/>
      </c>
      <c r="V772" s="12">
        <f>U772/IF(H772="L",35,IF(H772="U",35,IF(H772="O",35,IF(H772="I",35,""))))</f>
        <v/>
      </c>
      <c r="W772" s="132">
        <f>IF(AND(H772="L", V772&gt;=50%), "Pass",
IF(AND(H772="U", V772&gt;=60%), "Pass",
IF(AND(H772="O", V772&gt;=75%), "Pass", "Fail")))</f>
        <v/>
      </c>
      <c r="X772" s="132">
        <f>IF(AND(Q772="Pass", W772="Pass"), "Pass", "Fail")</f>
        <v/>
      </c>
      <c r="Y772" s="15">
        <f>IF($X772="Pass",$H772,
IF(H772="L","I",
IF(H772="U","L",
IF(H772="O","U",
"I"))))</f>
        <v/>
      </c>
    </row>
    <row r="773">
      <c r="A773" s="147">
        <f>ROW()-2</f>
        <v/>
      </c>
      <c r="B773" s="127" t="inlineStr">
        <is>
          <t>SR0871</t>
        </is>
      </c>
      <c r="C773" s="128" t="inlineStr">
        <is>
          <t>UDAYARAJ J</t>
        </is>
      </c>
      <c r="D773" s="127" t="inlineStr">
        <is>
          <t>PRODUCTION</t>
        </is>
      </c>
      <c r="E773" s="129" t="inlineStr">
        <is>
          <t>TYRE CURING</t>
        </is>
      </c>
      <c r="F773" s="130" t="n">
        <v>43318</v>
      </c>
      <c r="G773" s="131">
        <f>NOW()-F773</f>
        <v/>
      </c>
      <c r="H773" s="104" t="inlineStr">
        <is>
          <t>O</t>
        </is>
      </c>
      <c r="I773" s="104" t="inlineStr">
        <is>
          <t>O</t>
        </is>
      </c>
      <c r="J773" s="104" t="n">
        <v>9</v>
      </c>
      <c r="K773" s="104" t="n">
        <v>9</v>
      </c>
      <c r="L773" s="104" t="n">
        <v>7</v>
      </c>
      <c r="M773" s="104" t="n">
        <v>7</v>
      </c>
      <c r="N773" s="104" t="n"/>
      <c r="O773" s="104">
        <f>SUM(J773:N773)</f>
        <v/>
      </c>
      <c r="P773" s="12">
        <f>O773/IF(H773="L",20,IF(H773="U",30,IF(H773="O",40,IF(H773="I",20,""))))</f>
        <v/>
      </c>
      <c r="Q773" s="132">
        <f>IF(AND(H773="L", P773&gt;=50%), "Pass",
IF(AND(H773="U", P773&gt;=60%), "Pass",
IF(AND(H773="O", P773&gt;=75%), "Pass", "Fail")))</f>
        <v/>
      </c>
      <c r="R773" s="104" t="n"/>
      <c r="S773" s="104" t="n">
        <v>16</v>
      </c>
      <c r="T773" s="104" t="n">
        <v>11</v>
      </c>
      <c r="U773" s="104">
        <f>SUM(S773:T773)</f>
        <v/>
      </c>
      <c r="V773" s="12">
        <f>U773/IF(H773="L",35,IF(H773="U",35,IF(H773="O",35,IF(H773="I",35,""))))</f>
        <v/>
      </c>
      <c r="W773" s="132">
        <f>IF(AND(H773="L", V773&gt;=50%), "Pass",
IF(AND(H773="U", V773&gt;=60%), "Pass",
IF(AND(H773="O", V773&gt;=75%), "Pass", "Fail")))</f>
        <v/>
      </c>
      <c r="X773" s="132">
        <f>IF(AND(Q773="Pass", W773="Pass"), "Pass", "Fail")</f>
        <v/>
      </c>
      <c r="Y773" s="15">
        <f>IF($X773="Pass",$H773,
IF(H773="L","I",
IF(H773="U","L",
IF(H773="O","U",
"I"))))</f>
        <v/>
      </c>
    </row>
    <row r="774">
      <c r="A774" s="147">
        <f>ROW()-2</f>
        <v/>
      </c>
      <c r="B774" s="127" t="inlineStr">
        <is>
          <t>PK0932</t>
        </is>
      </c>
      <c r="C774" s="128" t="inlineStr">
        <is>
          <t>MURUGESH SHANMUGASUNDARAM</t>
        </is>
      </c>
      <c r="D774" s="127" t="inlineStr">
        <is>
          <t>PRODUCTION</t>
        </is>
      </c>
      <c r="E774" s="129" t="inlineStr">
        <is>
          <t>TYRE CURING</t>
        </is>
      </c>
      <c r="F774" s="130" t="n">
        <v>43346</v>
      </c>
      <c r="G774" s="131">
        <f>NOW()-F774</f>
        <v/>
      </c>
      <c r="H774" s="104" t="inlineStr">
        <is>
          <t>O</t>
        </is>
      </c>
      <c r="I774" s="104" t="inlineStr">
        <is>
          <t>U</t>
        </is>
      </c>
      <c r="J774" s="104" t="n">
        <v>8</v>
      </c>
      <c r="K774" s="104" t="n">
        <v>9</v>
      </c>
      <c r="L774" s="104" t="n">
        <v>9</v>
      </c>
      <c r="M774" s="104" t="n">
        <v>7</v>
      </c>
      <c r="N774" s="104" t="n"/>
      <c r="O774" s="104">
        <f>SUM(J774:N774)</f>
        <v/>
      </c>
      <c r="P774" s="12">
        <f>O774/IF(H774="L",20,IF(H774="U",30,IF(H774="O",40,IF(H774="I",20,""))))</f>
        <v/>
      </c>
      <c r="Q774" s="132">
        <f>IF(AND(H774="L", P774&gt;=50%), "Pass",
IF(AND(H774="U", P774&gt;=60%), "Pass",
IF(AND(H774="O", P774&gt;=75%), "Pass", "Fail")))</f>
        <v/>
      </c>
      <c r="R774" s="104" t="n"/>
      <c r="S774" s="104" t="n">
        <v>13</v>
      </c>
      <c r="T774" s="104" t="n">
        <v>11</v>
      </c>
      <c r="U774" s="104">
        <f>SUM(S774:T774)</f>
        <v/>
      </c>
      <c r="V774" s="12">
        <f>U774/IF(H774="L",35,IF(H774="U",35,IF(H774="O",35,IF(H774="I",35,""))))</f>
        <v/>
      </c>
      <c r="W774" s="132">
        <f>IF(AND(H774="L", V774&gt;=50%), "Pass",
IF(AND(H774="U", V774&gt;=60%), "Pass",
IF(AND(H774="O", V774&gt;=75%), "Pass", "Fail")))</f>
        <v/>
      </c>
      <c r="X774" s="132">
        <f>IF(AND(Q774="Pass", W774="Pass"), "Pass", "Fail")</f>
        <v/>
      </c>
      <c r="Y774" s="15">
        <f>IF($X774="Pass",$H774,
IF(H774="L","I",
IF(H774="U","L",
IF(H774="O","U",
"I"))))</f>
        <v/>
      </c>
    </row>
    <row r="775">
      <c r="A775" s="147">
        <f>ROW()-2</f>
        <v/>
      </c>
      <c r="B775" s="127" t="inlineStr">
        <is>
          <t>MG1216</t>
        </is>
      </c>
      <c r="C775" s="128" t="inlineStr">
        <is>
          <t>SELVA MURUGAN</t>
        </is>
      </c>
      <c r="D775" s="127" t="inlineStr">
        <is>
          <t>PRODUCTION</t>
        </is>
      </c>
      <c r="E775" s="129" t="inlineStr">
        <is>
          <t>BEAD WINDING</t>
        </is>
      </c>
      <c r="F775" s="130" t="n">
        <v>43360</v>
      </c>
      <c r="G775" s="131">
        <f>NOW()-F775</f>
        <v/>
      </c>
      <c r="H775" s="104" t="inlineStr">
        <is>
          <t>O</t>
        </is>
      </c>
      <c r="I775" s="104" t="inlineStr">
        <is>
          <t>U</t>
        </is>
      </c>
      <c r="J775" s="104" t="n">
        <v>4</v>
      </c>
      <c r="K775" s="104" t="n">
        <v>4</v>
      </c>
      <c r="L775" s="104" t="n">
        <v>2</v>
      </c>
      <c r="M775" s="104" t="n">
        <v>2</v>
      </c>
      <c r="N775" s="104" t="n"/>
      <c r="O775" s="104">
        <f>SUM(J775:N775)</f>
        <v/>
      </c>
      <c r="P775" s="12">
        <f>O775/IF(H775="L",20,IF(H775="U",30,IF(H775="O",40,IF(H775="I",20,""))))</f>
        <v/>
      </c>
      <c r="Q775" s="132">
        <f>IF(AND(H775="L", P775&gt;=50%), "Pass",
IF(AND(H775="U", P775&gt;=60%), "Pass",
IF(AND(H775="O", P775&gt;=75%), "Pass", "Fail")))</f>
        <v/>
      </c>
      <c r="R775" s="104" t="n"/>
      <c r="S775" s="104" t="n">
        <v>15</v>
      </c>
      <c r="T775" s="104" t="n">
        <v>11</v>
      </c>
      <c r="U775" s="104">
        <f>SUM(S775:T775)</f>
        <v/>
      </c>
      <c r="V775" s="12">
        <f>U775/IF(H775="L",35,IF(H775="U",35,IF(H775="O",35,IF(H775="I",35,""))))</f>
        <v/>
      </c>
      <c r="W775" s="132">
        <f>IF(AND(H775="L", V775&gt;=50%), "Pass",
IF(AND(H775="U", V775&gt;=60%), "Pass",
IF(AND(H775="O", V775&gt;=75%), "Pass", "Fail")))</f>
        <v/>
      </c>
      <c r="X775" s="132">
        <f>IF(AND(Q775="Pass", W775="Pass"), "Pass", "Fail")</f>
        <v/>
      </c>
      <c r="Y775" s="15">
        <f>IF($X775="Pass",$H775,
IF(H775="L","I",
IF(H775="U","L",
IF(H775="O","U",
"I"))))</f>
        <v/>
      </c>
      <c r="Z775" s="82">
        <f>V775-75%</f>
        <v/>
      </c>
    </row>
    <row r="776">
      <c r="A776" s="147">
        <f>ROW()-2</f>
        <v/>
      </c>
      <c r="B776" s="127" t="inlineStr">
        <is>
          <t>MG1218</t>
        </is>
      </c>
      <c r="C776" s="128" t="inlineStr">
        <is>
          <t>ANTONYCHRISTHURAJAN</t>
        </is>
      </c>
      <c r="D776" s="127" t="inlineStr">
        <is>
          <t>PRODUCTION</t>
        </is>
      </c>
      <c r="E776" s="129" t="inlineStr">
        <is>
          <t>BEAD WINDING</t>
        </is>
      </c>
      <c r="F776" s="130" t="n">
        <v>43360</v>
      </c>
      <c r="G776" s="131">
        <f>NOW()-F776</f>
        <v/>
      </c>
      <c r="H776" s="104" t="inlineStr">
        <is>
          <t>O</t>
        </is>
      </c>
      <c r="I776" s="104" t="inlineStr">
        <is>
          <t>U</t>
        </is>
      </c>
      <c r="J776" s="104" t="n">
        <v>5</v>
      </c>
      <c r="K776" s="104" t="n">
        <v>8</v>
      </c>
      <c r="L776" s="104" t="n">
        <v>10</v>
      </c>
      <c r="M776" s="104" t="n">
        <v>5</v>
      </c>
      <c r="N776" s="104" t="n"/>
      <c r="O776" s="104">
        <f>SUM(J776:N776)</f>
        <v/>
      </c>
      <c r="P776" s="12">
        <f>O776/IF(H776="L",20,IF(H776="U",30,IF(H776="O",40,IF(H776="I",20,""))))</f>
        <v/>
      </c>
      <c r="Q776" s="132">
        <f>IF(AND(H776="L", P776&gt;=50%), "Pass",
IF(AND(H776="U", P776&gt;=60%), "Pass",
IF(AND(H776="O", P776&gt;=75%), "Pass", "Fail")))</f>
        <v/>
      </c>
      <c r="R776" s="104" t="n"/>
      <c r="S776" s="104" t="n">
        <v>15</v>
      </c>
      <c r="T776" s="104" t="n">
        <v>10</v>
      </c>
      <c r="U776" s="104">
        <f>SUM(S776:T776)</f>
        <v/>
      </c>
      <c r="V776" s="12">
        <f>U776/IF(H776="L",35,IF(H776="U",35,IF(H776="O",35,IF(H776="I",35,""))))</f>
        <v/>
      </c>
      <c r="W776" s="132">
        <f>IF(AND(H776="L", V776&gt;=50%), "Pass",
IF(AND(H776="U", V776&gt;=60%), "Pass",
IF(AND(H776="O", V776&gt;=75%), "Pass", "Fail")))</f>
        <v/>
      </c>
      <c r="X776" s="132">
        <f>IF(AND(Q776="Pass", W776="Pass"), "Pass", "Fail")</f>
        <v/>
      </c>
      <c r="Y776" s="15">
        <f>IF($X776="Pass",$H776,
IF(H776="L","I",
IF(H776="U","L",
IF(H776="O","U",
"I"))))</f>
        <v/>
      </c>
      <c r="Z776" s="82">
        <f>V776-75%</f>
        <v/>
      </c>
    </row>
    <row r="777">
      <c r="A777" s="147">
        <f>ROW()-2</f>
        <v/>
      </c>
      <c r="B777" s="127" t="inlineStr">
        <is>
          <t>MG1227</t>
        </is>
      </c>
      <c r="C777" s="128" t="inlineStr">
        <is>
          <t>ARUL</t>
        </is>
      </c>
      <c r="D777" s="127" t="inlineStr">
        <is>
          <t>PRODUCTION</t>
        </is>
      </c>
      <c r="E777" s="129" t="inlineStr">
        <is>
          <t>BAND BUILDING-P3</t>
        </is>
      </c>
      <c r="F777" s="130" t="n">
        <v>43397</v>
      </c>
      <c r="G777" s="131">
        <f>NOW()-F777</f>
        <v/>
      </c>
      <c r="H777" s="104" t="inlineStr">
        <is>
          <t>O</t>
        </is>
      </c>
      <c r="I777" s="104" t="inlineStr">
        <is>
          <t>U</t>
        </is>
      </c>
      <c r="J777" s="104" t="n">
        <v>10</v>
      </c>
      <c r="K777" s="104" t="n">
        <v>9</v>
      </c>
      <c r="L777" s="104" t="n">
        <v>8</v>
      </c>
      <c r="M777" s="104" t="n">
        <v>9</v>
      </c>
      <c r="N777" s="104" t="n"/>
      <c r="O777" s="104">
        <f>SUM(J777:N777)</f>
        <v/>
      </c>
      <c r="P777" s="12">
        <f>O777/IF(H777="L",20,IF(H777="U",30,IF(H777="O",40,IF(H777="I",20,""))))</f>
        <v/>
      </c>
      <c r="Q777" s="132">
        <f>IF(AND(H777="L", P777&gt;=50%), "Pass",
IF(AND(H777="U", P777&gt;=60%), "Pass",
IF(AND(H777="O", P777&gt;=75%), "Pass", "Fail")))</f>
        <v/>
      </c>
      <c r="R777" s="104" t="n"/>
      <c r="S777" s="104" t="n">
        <v>18</v>
      </c>
      <c r="T777" s="104" t="n">
        <v>14</v>
      </c>
      <c r="U777" s="104">
        <f>SUM(S777:T777)</f>
        <v/>
      </c>
      <c r="V777" s="12">
        <f>U777/IF(H777="L",35,IF(H777="U",35,IF(H777="O",35,IF(H777="I",35,""))))</f>
        <v/>
      </c>
      <c r="W777" s="132">
        <f>IF(AND(H777="L", V777&gt;=50%), "Pass",
IF(AND(H777="U", V777&gt;=60%), "Pass",
IF(AND(H777="O", V777&gt;=75%), "Pass", "Fail")))</f>
        <v/>
      </c>
      <c r="X777" s="132">
        <f>IF(AND(Q777="Pass", W777="Pass"), "Pass", "Fail")</f>
        <v/>
      </c>
      <c r="Y777" s="15">
        <f>IF($X777="Pass",$H777,
IF(H777="L","I",
IF(H777="U","L",
IF(H777="O","U",
"I"))))</f>
        <v/>
      </c>
    </row>
    <row r="778">
      <c r="A778" s="147">
        <f>ROW()-2</f>
        <v/>
      </c>
      <c r="B778" s="127" t="inlineStr">
        <is>
          <t>MG1229</t>
        </is>
      </c>
      <c r="C778" s="128" t="inlineStr">
        <is>
          <t>DURAIMANI  K</t>
        </is>
      </c>
      <c r="D778" s="127" t="inlineStr">
        <is>
          <t>PRODUCTION</t>
        </is>
      </c>
      <c r="E778" s="129" t="inlineStr">
        <is>
          <t>BAND BUILDING-P3</t>
        </is>
      </c>
      <c r="F778" s="130" t="n">
        <v>43397</v>
      </c>
      <c r="G778" s="131">
        <f>NOW()-F778</f>
        <v/>
      </c>
      <c r="H778" s="104" t="inlineStr">
        <is>
          <t>O</t>
        </is>
      </c>
      <c r="I778" s="104" t="inlineStr">
        <is>
          <t>U</t>
        </is>
      </c>
      <c r="J778" s="104" t="n">
        <v>9</v>
      </c>
      <c r="K778" s="104" t="n">
        <v>7</v>
      </c>
      <c r="L778" s="104" t="n">
        <v>7</v>
      </c>
      <c r="M778" s="104" t="n">
        <v>8</v>
      </c>
      <c r="N778" s="104" t="n"/>
      <c r="O778" s="104">
        <f>SUM(J778:N778)</f>
        <v/>
      </c>
      <c r="P778" s="12">
        <f>O778/IF(H778="L",20,IF(H778="U",30,IF(H778="O",40,IF(H778="I",20,""))))</f>
        <v/>
      </c>
      <c r="Q778" s="132">
        <f>IF(AND(H778="L", P778&gt;=50%), "Pass",
IF(AND(H778="U", P778&gt;=60%), "Pass",
IF(AND(H778="O", P778&gt;=75%), "Pass", "Fail")))</f>
        <v/>
      </c>
      <c r="R778" s="104" t="n"/>
      <c r="S778" s="104" t="n">
        <v>17</v>
      </c>
      <c r="T778" s="104" t="n">
        <v>14</v>
      </c>
      <c r="U778" s="104">
        <f>SUM(S778:T778)</f>
        <v/>
      </c>
      <c r="V778" s="12">
        <f>U778/IF(H778="L",35,IF(H778="U",35,IF(H778="O",35,IF(H778="I",35,""))))</f>
        <v/>
      </c>
      <c r="W778" s="132">
        <f>IF(AND(H778="L", V778&gt;=50%), "Pass",
IF(AND(H778="U", V778&gt;=60%), "Pass",
IF(AND(H778="O", V778&gt;=75%), "Pass", "Fail")))</f>
        <v/>
      </c>
      <c r="X778" s="132">
        <f>IF(AND(Q778="Pass", W778="Pass"), "Pass", "Fail")</f>
        <v/>
      </c>
      <c r="Y778" s="15">
        <f>IF($X778="Pass",$H778,
IF(H778="L","I",
IF(H778="U","L",
IF(H778="O","U",
"I"))))</f>
        <v/>
      </c>
    </row>
    <row r="779">
      <c r="A779" s="147">
        <f>ROW()-2</f>
        <v/>
      </c>
      <c r="B779" s="127" t="inlineStr">
        <is>
          <t>KK0962</t>
        </is>
      </c>
      <c r="C779" s="128" t="inlineStr">
        <is>
          <t>RAJESH</t>
        </is>
      </c>
      <c r="D779" s="127" t="inlineStr">
        <is>
          <t>PRODUCTION</t>
        </is>
      </c>
      <c r="E779" s="129" t="inlineStr">
        <is>
          <t>TYRE BUILDING-P3</t>
        </is>
      </c>
      <c r="F779" s="130" t="n">
        <v>43405</v>
      </c>
      <c r="G779" s="131">
        <f>NOW()-F779</f>
        <v/>
      </c>
      <c r="H779" s="104" t="inlineStr">
        <is>
          <t>O</t>
        </is>
      </c>
      <c r="I779" s="104" t="inlineStr">
        <is>
          <t>O</t>
        </is>
      </c>
      <c r="J779" s="104" t="n">
        <v>10</v>
      </c>
      <c r="K779" s="104" t="n">
        <v>9</v>
      </c>
      <c r="L779" s="104" t="n">
        <v>7</v>
      </c>
      <c r="M779" s="104" t="n">
        <v>6</v>
      </c>
      <c r="N779" s="104" t="n"/>
      <c r="O779" s="104">
        <f>SUM(J779:N779)</f>
        <v/>
      </c>
      <c r="P779" s="12">
        <f>O779/IF(H779="L",20,IF(H779="U",30,IF(H779="O",40,IF(H779="I",20,""))))</f>
        <v/>
      </c>
      <c r="Q779" s="132">
        <f>IF(AND(H779="L", P779&gt;=50%), "Pass",
IF(AND(H779="U", P779&gt;=60%), "Pass",
IF(AND(H779="O", P779&gt;=75%), "Pass", "Fail")))</f>
        <v/>
      </c>
      <c r="R779" s="104" t="n"/>
      <c r="S779" s="104" t="n">
        <v>19</v>
      </c>
      <c r="T779" s="104" t="n">
        <v>15</v>
      </c>
      <c r="U779" s="104">
        <f>SUM(S779:T779)</f>
        <v/>
      </c>
      <c r="V779" s="12">
        <f>U779/IF(H779="L",35,IF(H779="U",35,IF(H779="O",35,IF(H779="I",35,""))))</f>
        <v/>
      </c>
      <c r="W779" s="132">
        <f>IF(AND(H779="L", V779&gt;=50%), "Pass",
IF(AND(H779="U", V779&gt;=60%), "Pass",
IF(AND(H779="O", V779&gt;=75%), "Pass", "Fail")))</f>
        <v/>
      </c>
      <c r="X779" s="132">
        <f>IF(AND(Q779="Pass", W779="Pass"), "Pass", "Fail")</f>
        <v/>
      </c>
      <c r="Y779" s="15">
        <f>IF($X779="Pass",$H779,
IF(H779="L","I",
IF(H779="U","L",
IF(H779="O","U",
"I"))))</f>
        <v/>
      </c>
      <c r="Z779" s="81">
        <f>V779-75%</f>
        <v/>
      </c>
    </row>
    <row r="780">
      <c r="A780" s="147">
        <f>ROW()-2</f>
        <v/>
      </c>
      <c r="B780" s="127" t="inlineStr">
        <is>
          <t>KK0966</t>
        </is>
      </c>
      <c r="C780" s="128" t="inlineStr">
        <is>
          <t>BASLIN S</t>
        </is>
      </c>
      <c r="D780" s="127" t="inlineStr">
        <is>
          <t>PRODUCTION</t>
        </is>
      </c>
      <c r="E780" s="129" t="inlineStr">
        <is>
          <t>RADIAL MARANGONI</t>
        </is>
      </c>
      <c r="F780" s="130" t="n">
        <v>43405</v>
      </c>
      <c r="G780" s="131">
        <f>NOW()-F780</f>
        <v/>
      </c>
      <c r="H780" s="104" t="inlineStr">
        <is>
          <t>O</t>
        </is>
      </c>
      <c r="I780" s="104" t="inlineStr">
        <is>
          <t>U</t>
        </is>
      </c>
      <c r="J780" s="104" t="n">
        <v>8</v>
      </c>
      <c r="K780" s="104" t="n">
        <v>9</v>
      </c>
      <c r="L780" s="104" t="n">
        <v>9</v>
      </c>
      <c r="M780" s="104" t="n">
        <v>10</v>
      </c>
      <c r="N780" s="104" t="n"/>
      <c r="O780" s="104">
        <f>SUM(J780:N780)</f>
        <v/>
      </c>
      <c r="P780" s="12">
        <f>O780/IF(H780="L",20,IF(H780="U",30,IF(H780="O",40,IF(H780="I",20,""))))</f>
        <v/>
      </c>
      <c r="Q780" s="132">
        <f>IF(AND(H780="L", P780&gt;=50%), "Pass",
IF(AND(H780="U", P780&gt;=60%), "Pass",
IF(AND(H780="O", P780&gt;=75%), "Pass", "Fail")))</f>
        <v/>
      </c>
      <c r="R780" s="104" t="n"/>
      <c r="S780" s="104" t="n">
        <v>15</v>
      </c>
      <c r="T780" s="104" t="n">
        <v>12</v>
      </c>
      <c r="U780" s="104">
        <f>SUM(S780:T780)</f>
        <v/>
      </c>
      <c r="V780" s="12">
        <f>U780/IF(H780="L",35,IF(H780="U",35,IF(H780="O",35,IF(H780="I",35,""))))</f>
        <v/>
      </c>
      <c r="W780" s="132">
        <f>IF(AND(H780="L", V780&gt;=50%), "Pass",
IF(AND(H780="U", V780&gt;=60%), "Pass",
IF(AND(H780="O", V780&gt;=75%), "Pass", "Fail")))</f>
        <v/>
      </c>
      <c r="X780" s="132">
        <f>IF(AND(Q780="Pass", W780="Pass"), "Pass", "Fail")</f>
        <v/>
      </c>
      <c r="Y780" s="15">
        <f>IF($X780="Pass",$H780,
IF(H780="L","I",
IF(H780="U","L",
IF(H780="O","U",
"I"))))</f>
        <v/>
      </c>
    </row>
    <row r="781">
      <c r="A781" s="147">
        <f>ROW()-2</f>
        <v/>
      </c>
      <c r="B781" s="127" t="inlineStr">
        <is>
          <t>SR0882</t>
        </is>
      </c>
      <c r="C781" s="128" t="inlineStr">
        <is>
          <t>KALIMUTHU</t>
        </is>
      </c>
      <c r="D781" s="127" t="inlineStr">
        <is>
          <t>PRODUCTION</t>
        </is>
      </c>
      <c r="E781" s="129" t="inlineStr">
        <is>
          <t>TYRE CURING</t>
        </is>
      </c>
      <c r="F781" s="130" t="n">
        <v>43406</v>
      </c>
      <c r="G781" s="131">
        <f>NOW()-F781</f>
        <v/>
      </c>
      <c r="H781" s="104" t="inlineStr">
        <is>
          <t>O</t>
        </is>
      </c>
      <c r="I781" s="104" t="inlineStr">
        <is>
          <t>O</t>
        </is>
      </c>
      <c r="J781" s="104" t="n">
        <v>9</v>
      </c>
      <c r="K781" s="104" t="n">
        <v>9</v>
      </c>
      <c r="L781" s="104" t="n">
        <v>10</v>
      </c>
      <c r="M781" s="104" t="n">
        <v>7</v>
      </c>
      <c r="N781" s="104" t="n"/>
      <c r="O781" s="104">
        <f>SUM(J781:N781)</f>
        <v/>
      </c>
      <c r="P781" s="12">
        <f>O781/IF(H781="L",20,IF(H781="U",30,IF(H781="O",40,IF(H781="I",20,""))))</f>
        <v/>
      </c>
      <c r="Q781" s="132">
        <f>IF(AND(H781="L", P781&gt;=50%), "Pass",
IF(AND(H781="U", P781&gt;=60%), "Pass",
IF(AND(H781="O", P781&gt;=75%), "Pass", "Fail")))</f>
        <v/>
      </c>
      <c r="R781" s="104" t="n"/>
      <c r="S781" s="104" t="n">
        <v>14</v>
      </c>
      <c r="T781" s="104" t="n">
        <v>9</v>
      </c>
      <c r="U781" s="104">
        <f>SUM(S781:T781)</f>
        <v/>
      </c>
      <c r="V781" s="12">
        <f>U781/IF(H781="L",35,IF(H781="U",35,IF(H781="O",35,IF(H781="I",35,""))))</f>
        <v/>
      </c>
      <c r="W781" s="132">
        <f>IF(AND(H781="L", V781&gt;=50%), "Pass",
IF(AND(H781="U", V781&gt;=60%), "Pass",
IF(AND(H781="O", V781&gt;=75%), "Pass", "Fail")))</f>
        <v/>
      </c>
      <c r="X781" s="132">
        <f>IF(AND(Q781="Pass", W781="Pass"), "Pass", "Fail")</f>
        <v/>
      </c>
      <c r="Y781" s="15">
        <f>IF($X781="Pass",$H781,
IF(H781="L","I",
IF(H781="U","L",
IF(H781="O","U",
"I"))))</f>
        <v/>
      </c>
    </row>
    <row r="782">
      <c r="A782" s="147">
        <f>ROW()-2</f>
        <v/>
      </c>
      <c r="B782" s="127" t="inlineStr">
        <is>
          <t>AK0823</t>
        </is>
      </c>
      <c r="C782" s="128" t="inlineStr">
        <is>
          <t>MAHARAJAN</t>
        </is>
      </c>
      <c r="D782" s="127" t="inlineStr">
        <is>
          <t>PRODUCTION</t>
        </is>
      </c>
      <c r="E782" s="129" t="inlineStr">
        <is>
          <t>TYRE CURING</t>
        </is>
      </c>
      <c r="F782" s="130" t="n">
        <v>43413</v>
      </c>
      <c r="G782" s="131">
        <f>NOW()-F782</f>
        <v/>
      </c>
      <c r="H782" s="104" t="inlineStr">
        <is>
          <t>O</t>
        </is>
      </c>
      <c r="I782" s="104" t="inlineStr">
        <is>
          <t>O</t>
        </is>
      </c>
      <c r="J782" s="104" t="n">
        <v>9</v>
      </c>
      <c r="K782" s="104" t="n">
        <v>9</v>
      </c>
      <c r="L782" s="104" t="n">
        <v>8</v>
      </c>
      <c r="M782" s="104" t="n">
        <v>9</v>
      </c>
      <c r="N782" s="104" t="n"/>
      <c r="O782" s="104">
        <f>SUM(J782:N782)</f>
        <v/>
      </c>
      <c r="P782" s="12">
        <f>O782/IF(H782="L",20,IF(H782="U",30,IF(H782="O",40,IF(H782="I",20,""))))</f>
        <v/>
      </c>
      <c r="Q782" s="132">
        <f>IF(AND(H782="L", P782&gt;=50%), "Pass",
IF(AND(H782="U", P782&gt;=60%), "Pass",
IF(AND(H782="O", P782&gt;=75%), "Pass", "Fail")))</f>
        <v/>
      </c>
      <c r="R782" s="104" t="n"/>
      <c r="S782" s="104" t="n">
        <v>10</v>
      </c>
      <c r="T782" s="104" t="n">
        <v>9</v>
      </c>
      <c r="U782" s="104">
        <f>SUM(S782:T782)</f>
        <v/>
      </c>
      <c r="V782" s="12">
        <f>U782/IF(H782="L",35,IF(H782="U",35,IF(H782="O",35,IF(H782="I",35,""))))</f>
        <v/>
      </c>
      <c r="W782" s="132">
        <f>IF(AND(H782="L", V782&gt;=50%), "Pass",
IF(AND(H782="U", V782&gt;=60%), "Pass",
IF(AND(H782="O", V782&gt;=75%), "Pass", "Fail")))</f>
        <v/>
      </c>
      <c r="X782" s="132">
        <f>IF(AND(Q782="Pass", W782="Pass"), "Pass", "Fail")</f>
        <v/>
      </c>
      <c r="Y782" s="15">
        <f>IF($X782="Pass",$H782,
IF(H782="L","I",
IF(H782="U","L",
IF(H782="O","U",
"I"))))</f>
        <v/>
      </c>
    </row>
    <row r="783">
      <c r="A783" s="147">
        <f>ROW()-2</f>
        <v/>
      </c>
      <c r="B783" s="127" t="inlineStr">
        <is>
          <t>SR0889</t>
        </is>
      </c>
      <c r="C783" s="128" t="inlineStr">
        <is>
          <t>MATHAN</t>
        </is>
      </c>
      <c r="D783" s="127" t="inlineStr">
        <is>
          <t>PRODUCTION</t>
        </is>
      </c>
      <c r="E783" s="129" t="inlineStr">
        <is>
          <t>BAND BUILDING-P3</t>
        </is>
      </c>
      <c r="F783" s="130" t="n">
        <v>43413</v>
      </c>
      <c r="G783" s="131">
        <f>NOW()-F783</f>
        <v/>
      </c>
      <c r="H783" s="104" t="inlineStr">
        <is>
          <t>O</t>
        </is>
      </c>
      <c r="I783" s="104" t="inlineStr">
        <is>
          <t>U</t>
        </is>
      </c>
      <c r="J783" s="104" t="n">
        <v>9</v>
      </c>
      <c r="K783" s="104" t="n">
        <v>8</v>
      </c>
      <c r="L783" s="104" t="n">
        <v>7</v>
      </c>
      <c r="M783" s="104" t="n">
        <v>8</v>
      </c>
      <c r="N783" s="104" t="n"/>
      <c r="O783" s="104">
        <f>SUM(J783:N783)</f>
        <v/>
      </c>
      <c r="P783" s="12">
        <f>O783/IF(H783="L",20,IF(H783="U",30,IF(H783="O",40,IF(H783="I",20,""))))</f>
        <v/>
      </c>
      <c r="Q783" s="132">
        <f>IF(AND(H783="L", P783&gt;=50%), "Pass",
IF(AND(H783="U", P783&gt;=60%), "Pass",
IF(AND(H783="O", P783&gt;=75%), "Pass", "Fail")))</f>
        <v/>
      </c>
      <c r="R783" s="104" t="n"/>
      <c r="S783" s="104" t="n">
        <v>16</v>
      </c>
      <c r="T783" s="104" t="n">
        <v>13</v>
      </c>
      <c r="U783" s="104">
        <f>SUM(S783:T783)</f>
        <v/>
      </c>
      <c r="V783" s="12">
        <f>U783/IF(H783="L",35,IF(H783="U",35,IF(H783="O",35,IF(H783="I",35,""))))</f>
        <v/>
      </c>
      <c r="W783" s="132">
        <f>IF(AND(H783="L", V783&gt;=50%), "Pass",
IF(AND(H783="U", V783&gt;=60%), "Pass",
IF(AND(H783="O", V783&gt;=75%), "Pass", "Fail")))</f>
        <v/>
      </c>
      <c r="X783" s="132">
        <f>IF(AND(Q783="Pass", W783="Pass"), "Pass", "Fail")</f>
        <v/>
      </c>
      <c r="Y783" s="15">
        <f>IF($X783="Pass",$H783,
IF(H783="L","I",
IF(H783="U","L",
IF(H783="O","U",
"I"))))</f>
        <v/>
      </c>
    </row>
    <row r="784">
      <c r="A784" s="147">
        <f>ROW()-2</f>
        <v/>
      </c>
      <c r="B784" s="127" t="inlineStr">
        <is>
          <t>SR0892</t>
        </is>
      </c>
      <c r="C784" s="128" t="inlineStr">
        <is>
          <t>GANESAN V</t>
        </is>
      </c>
      <c r="D784" s="127" t="inlineStr">
        <is>
          <t>PRODUCTION</t>
        </is>
      </c>
      <c r="E784" s="129" t="inlineStr">
        <is>
          <t>BAND BUILDING-P3</t>
        </is>
      </c>
      <c r="F784" s="130" t="n">
        <v>43413</v>
      </c>
      <c r="G784" s="131">
        <f>NOW()-F784</f>
        <v/>
      </c>
      <c r="H784" s="104" t="inlineStr">
        <is>
          <t>O</t>
        </is>
      </c>
      <c r="I784" s="104" t="inlineStr">
        <is>
          <t>U</t>
        </is>
      </c>
      <c r="J784" s="104" t="n">
        <v>10</v>
      </c>
      <c r="K784" s="104" t="n">
        <v>9</v>
      </c>
      <c r="L784" s="104" t="n">
        <v>8</v>
      </c>
      <c r="M784" s="104" t="n">
        <v>9</v>
      </c>
      <c r="N784" s="104" t="n"/>
      <c r="O784" s="104">
        <f>SUM(J784:N784)</f>
        <v/>
      </c>
      <c r="P784" s="12">
        <f>O784/IF(H784="L",20,IF(H784="U",30,IF(H784="O",40,IF(H784="I",20,""))))</f>
        <v/>
      </c>
      <c r="Q784" s="132">
        <f>IF(AND(H784="L", P784&gt;=50%), "Pass",
IF(AND(H784="U", P784&gt;=60%), "Pass",
IF(AND(H784="O", P784&gt;=75%), "Pass", "Fail")))</f>
        <v/>
      </c>
      <c r="R784" s="104" t="n"/>
      <c r="S784" s="104" t="n">
        <v>17</v>
      </c>
      <c r="T784" s="104" t="n">
        <v>15</v>
      </c>
      <c r="U784" s="104">
        <f>SUM(S784:T784)</f>
        <v/>
      </c>
      <c r="V784" s="12">
        <f>U784/IF(H784="L",35,IF(H784="U",35,IF(H784="O",35,IF(H784="I",35,""))))</f>
        <v/>
      </c>
      <c r="W784" s="132">
        <f>IF(AND(H784="L", V784&gt;=50%), "Pass",
IF(AND(H784="U", V784&gt;=60%), "Pass",
IF(AND(H784="O", V784&gt;=75%), "Pass", "Fail")))</f>
        <v/>
      </c>
      <c r="X784" s="132">
        <f>IF(AND(Q784="Pass", W784="Pass"), "Pass", "Fail")</f>
        <v/>
      </c>
      <c r="Y784" s="15">
        <f>IF($X784="Pass",$H784,
IF(H784="L","I",
IF(H784="U","L",
IF(H784="O","U",
"I"))))</f>
        <v/>
      </c>
    </row>
    <row r="785">
      <c r="A785" s="147">
        <f>ROW()-2</f>
        <v/>
      </c>
      <c r="B785" s="127" t="inlineStr">
        <is>
          <t>MG1249</t>
        </is>
      </c>
      <c r="C785" s="128" t="inlineStr">
        <is>
          <t>MUTHUMANIKANDAN</t>
        </is>
      </c>
      <c r="D785" s="127" t="inlineStr">
        <is>
          <t>PRODUCTION</t>
        </is>
      </c>
      <c r="E785" s="129" t="inlineStr">
        <is>
          <t>BAND BUILDING-P3</t>
        </is>
      </c>
      <c r="F785" s="130" t="n">
        <v>43414</v>
      </c>
      <c r="G785" s="131">
        <f>NOW()-F785</f>
        <v/>
      </c>
      <c r="H785" s="104" t="inlineStr">
        <is>
          <t>O</t>
        </is>
      </c>
      <c r="I785" s="104" t="inlineStr">
        <is>
          <t>U</t>
        </is>
      </c>
      <c r="J785" s="104" t="n">
        <v>8</v>
      </c>
      <c r="K785" s="104" t="n">
        <v>8</v>
      </c>
      <c r="L785" s="104" t="n">
        <v>6</v>
      </c>
      <c r="M785" s="104" t="n">
        <v>7</v>
      </c>
      <c r="N785" s="104" t="n"/>
      <c r="O785" s="104">
        <f>SUM(J785:N785)</f>
        <v/>
      </c>
      <c r="P785" s="12">
        <f>O785/IF(H785="L",20,IF(H785="U",30,IF(H785="O",40,IF(H785="I",20,""))))</f>
        <v/>
      </c>
      <c r="Q785" s="132">
        <f>IF(AND(H785="L", P785&gt;=50%), "Pass",
IF(AND(H785="U", P785&gt;=60%), "Pass",
IF(AND(H785="O", P785&gt;=75%), "Pass", "Fail")))</f>
        <v/>
      </c>
      <c r="R785" s="104" t="n"/>
      <c r="S785" s="104" t="n">
        <v>16</v>
      </c>
      <c r="T785" s="104" t="n">
        <v>14</v>
      </c>
      <c r="U785" s="104">
        <f>SUM(S785:T785)</f>
        <v/>
      </c>
      <c r="V785" s="12">
        <f>U785/IF(H785="L",35,IF(H785="U",35,IF(H785="O",35,IF(H785="I",35,""))))</f>
        <v/>
      </c>
      <c r="W785" s="132">
        <f>IF(AND(H785="L", V785&gt;=50%), "Pass",
IF(AND(H785="U", V785&gt;=60%), "Pass",
IF(AND(H785="O", V785&gt;=75%), "Pass", "Fail")))</f>
        <v/>
      </c>
      <c r="X785" s="132">
        <f>IF(AND(Q785="Pass", W785="Pass"), "Pass", "Fail")</f>
        <v/>
      </c>
      <c r="Y785" s="15">
        <f>IF($X785="Pass",$H785,
IF(H785="L","I",
IF(H785="U","L",
IF(H785="O","U",
"I"))))</f>
        <v/>
      </c>
      <c r="Z785" s="82">
        <f>V785-75%</f>
        <v/>
      </c>
    </row>
    <row r="786">
      <c r="A786" s="147">
        <f>ROW()-2</f>
        <v/>
      </c>
      <c r="B786" s="127" t="inlineStr">
        <is>
          <t>AK0829</t>
        </is>
      </c>
      <c r="C786" s="128" t="inlineStr">
        <is>
          <t>DINESH</t>
        </is>
      </c>
      <c r="D786" s="127" t="inlineStr">
        <is>
          <t>PRODUCTION</t>
        </is>
      </c>
      <c r="E786" s="129" t="inlineStr">
        <is>
          <t>YANTHAI</t>
        </is>
      </c>
      <c r="F786" s="130" t="n">
        <v>43415</v>
      </c>
      <c r="G786" s="131">
        <f>NOW()-F786</f>
        <v/>
      </c>
      <c r="H786" s="104" t="inlineStr">
        <is>
          <t>O</t>
        </is>
      </c>
      <c r="I786" s="104" t="inlineStr">
        <is>
          <t>O</t>
        </is>
      </c>
      <c r="J786" s="104" t="n">
        <v>10</v>
      </c>
      <c r="K786" s="104" t="n">
        <v>7</v>
      </c>
      <c r="L786" s="104" t="n">
        <v>7</v>
      </c>
      <c r="M786" s="104" t="n">
        <v>6</v>
      </c>
      <c r="N786" s="104" t="n"/>
      <c r="O786" s="104">
        <f>SUM(J786:N786)</f>
        <v/>
      </c>
      <c r="P786" s="12">
        <f>O786/IF(H786="L",20,IF(H786="U",30,IF(H786="O",40,IF(H786="I",20,""))))</f>
        <v/>
      </c>
      <c r="Q786" s="132">
        <f>IF(AND(H786="L", P786&gt;=50%), "Pass",
IF(AND(H786="U", P786&gt;=60%), "Pass",
IF(AND(H786="O", P786&gt;=75%), "Pass", "Fail")))</f>
        <v/>
      </c>
      <c r="R786" s="104" t="n"/>
      <c r="S786" s="104" t="n">
        <v>18</v>
      </c>
      <c r="T786" s="104" t="n">
        <v>15</v>
      </c>
      <c r="U786" s="104">
        <f>SUM(S786:T786)</f>
        <v/>
      </c>
      <c r="V786" s="12">
        <f>U786/IF(H786="L",35,IF(H786="U",35,IF(H786="O",35,IF(H786="I",35,""))))</f>
        <v/>
      </c>
      <c r="W786" s="132">
        <f>IF(AND(H786="L", V786&gt;=50%), "Pass",
IF(AND(H786="U", V786&gt;=60%), "Pass",
IF(AND(H786="O", V786&gt;=75%), "Pass", "Fail")))</f>
        <v/>
      </c>
      <c r="X786" s="132">
        <f>IF(AND(Q786="Pass", W786="Pass"), "Pass", "Fail")</f>
        <v/>
      </c>
      <c r="Y786" s="15">
        <f>IF($X786="Pass",$H786,
IF(H786="L","I",
IF(H786="U","L",
IF(H786="O","U",
"I"))))</f>
        <v/>
      </c>
    </row>
    <row r="787">
      <c r="A787" s="147">
        <f>ROW()-2</f>
        <v/>
      </c>
      <c r="B787" s="127" t="inlineStr">
        <is>
          <t>AK0832</t>
        </is>
      </c>
      <c r="C787" s="128" t="inlineStr">
        <is>
          <t>RAJA A</t>
        </is>
      </c>
      <c r="D787" s="127" t="inlineStr">
        <is>
          <t>PRODUCTION</t>
        </is>
      </c>
      <c r="E787" s="129" t="inlineStr">
        <is>
          <t>TYRE BUILDING-P1</t>
        </is>
      </c>
      <c r="F787" s="130" t="n">
        <v>43415</v>
      </c>
      <c r="G787" s="131">
        <f>NOW()-F787</f>
        <v/>
      </c>
      <c r="H787" s="104" t="inlineStr">
        <is>
          <t>O</t>
        </is>
      </c>
      <c r="I787" s="104" t="inlineStr">
        <is>
          <t>U</t>
        </is>
      </c>
      <c r="J787" s="104" t="n">
        <v>8</v>
      </c>
      <c r="K787" s="104" t="n">
        <v>9</v>
      </c>
      <c r="L787" s="104" t="n">
        <v>7</v>
      </c>
      <c r="M787" s="104" t="n">
        <v>9</v>
      </c>
      <c r="N787" s="104" t="n"/>
      <c r="O787" s="104">
        <f>SUM(J787:N787)</f>
        <v/>
      </c>
      <c r="P787" s="12">
        <f>O787/IF(H787="L",20,IF(H787="U",30,IF(H787="O",40,IF(H787="I",20,""))))</f>
        <v/>
      </c>
      <c r="Q787" s="132">
        <f>IF(AND(H787="L", P787&gt;=50%), "Pass",
IF(AND(H787="U", P787&gt;=60%), "Pass",
IF(AND(H787="O", P787&gt;=75%), "Pass", "Fail")))</f>
        <v/>
      </c>
      <c r="R787" s="104" t="n"/>
      <c r="S787" s="104" t="n">
        <v>17</v>
      </c>
      <c r="T787" s="104" t="n">
        <v>15</v>
      </c>
      <c r="U787" s="104">
        <f>SUM(S787:T787)</f>
        <v/>
      </c>
      <c r="V787" s="12">
        <f>U787/IF(H787="L",35,IF(H787="U",35,IF(H787="O",35,IF(H787="I",35,""))))</f>
        <v/>
      </c>
      <c r="W787" s="132">
        <f>IF(AND(H787="L", V787&gt;=50%), "Pass",
IF(AND(H787="U", V787&gt;=60%), "Pass",
IF(AND(H787="O", V787&gt;=75%), "Pass", "Fail")))</f>
        <v/>
      </c>
      <c r="X787" s="132">
        <f>IF(AND(Q787="Pass", W787="Pass"), "Pass", "Fail")</f>
        <v/>
      </c>
      <c r="Y787" s="15">
        <f>IF($X787="Pass",$H787,
IF(H787="L","I",
IF(H787="U","L",
IF(H787="O","U",
"I"))))</f>
        <v/>
      </c>
    </row>
    <row r="788">
      <c r="A788" s="147">
        <f>ROW()-2</f>
        <v/>
      </c>
      <c r="B788" s="127" t="inlineStr">
        <is>
          <t>AK0833</t>
        </is>
      </c>
      <c r="C788" s="128" t="inlineStr">
        <is>
          <t>MUTHUMALAI</t>
        </is>
      </c>
      <c r="D788" s="127" t="inlineStr">
        <is>
          <t>PRODUCTION</t>
        </is>
      </c>
      <c r="E788" s="129" t="inlineStr">
        <is>
          <t>TYRE BUILDING-P1</t>
        </is>
      </c>
      <c r="F788" s="130" t="n">
        <v>43415</v>
      </c>
      <c r="G788" s="131">
        <f>NOW()-F788</f>
        <v/>
      </c>
      <c r="H788" s="104" t="inlineStr">
        <is>
          <t>O</t>
        </is>
      </c>
      <c r="I788" s="104" t="inlineStr">
        <is>
          <t>U</t>
        </is>
      </c>
      <c r="J788" s="104" t="n">
        <v>10</v>
      </c>
      <c r="K788" s="104" t="n">
        <v>9</v>
      </c>
      <c r="L788" s="104" t="n">
        <v>8</v>
      </c>
      <c r="M788" s="104" t="n">
        <v>10</v>
      </c>
      <c r="N788" s="104" t="n"/>
      <c r="O788" s="104">
        <f>SUM(J788:N788)</f>
        <v/>
      </c>
      <c r="P788" s="12">
        <f>O788/IF(H788="L",20,IF(H788="U",30,IF(H788="O",40,IF(H788="I",20,""))))</f>
        <v/>
      </c>
      <c r="Q788" s="132">
        <f>IF(AND(H788="L", P788&gt;=50%), "Pass",
IF(AND(H788="U", P788&gt;=60%), "Pass",
IF(AND(H788="O", P788&gt;=75%), "Pass", "Fail")))</f>
        <v/>
      </c>
      <c r="R788" s="104" t="n"/>
      <c r="S788" s="104" t="n">
        <v>12</v>
      </c>
      <c r="T788" s="104" t="n">
        <v>12</v>
      </c>
      <c r="U788" s="104">
        <f>SUM(S788:T788)</f>
        <v/>
      </c>
      <c r="V788" s="12">
        <f>U788/IF(H788="L",35,IF(H788="U",35,IF(H788="O",35,IF(H788="I",35,""))))</f>
        <v/>
      </c>
      <c r="W788" s="132">
        <f>IF(AND(H788="L", V788&gt;=50%), "Pass",
IF(AND(H788="U", V788&gt;=60%), "Pass",
IF(AND(H788="O", V788&gt;=75%), "Pass", "Fail")))</f>
        <v/>
      </c>
      <c r="X788" s="132">
        <f>IF(AND(Q788="Pass", W788="Pass"), "Pass", "Fail")</f>
        <v/>
      </c>
      <c r="Y788" s="15">
        <f>IF($X788="Pass",$H788,
IF(H788="L","I",
IF(H788="U","L",
IF(H788="O","U",
"I"))))</f>
        <v/>
      </c>
    </row>
    <row r="789">
      <c r="A789" s="147">
        <f>ROW()-2</f>
        <v/>
      </c>
      <c r="B789" s="127" t="inlineStr">
        <is>
          <t>AK0836</t>
        </is>
      </c>
      <c r="C789" s="128" t="inlineStr">
        <is>
          <t>ESKKIPANDI RAMACHANDARAN</t>
        </is>
      </c>
      <c r="D789" s="127" t="inlineStr">
        <is>
          <t>PRODUCTION</t>
        </is>
      </c>
      <c r="E789" s="129" t="inlineStr">
        <is>
          <t>TYRE BUILDING-P1</t>
        </is>
      </c>
      <c r="F789" s="130" t="n">
        <v>43415</v>
      </c>
      <c r="G789" s="131">
        <f>NOW()-F789</f>
        <v/>
      </c>
      <c r="H789" s="104" t="inlineStr">
        <is>
          <t>O</t>
        </is>
      </c>
      <c r="I789" s="104" t="inlineStr">
        <is>
          <t>U</t>
        </is>
      </c>
      <c r="J789" s="104" t="n">
        <v>9</v>
      </c>
      <c r="K789" s="104" t="n">
        <v>10</v>
      </c>
      <c r="L789" s="104" t="n">
        <v>8</v>
      </c>
      <c r="M789" s="104" t="n">
        <v>9</v>
      </c>
      <c r="N789" s="104" t="n"/>
      <c r="O789" s="104">
        <f>SUM(J789:N789)</f>
        <v/>
      </c>
      <c r="P789" s="12">
        <f>O789/IF(H789="L",20,IF(H789="U",30,IF(H789="O",40,IF(H789="I",20,""))))</f>
        <v/>
      </c>
      <c r="Q789" s="132">
        <f>IF(AND(H789="L", P789&gt;=50%), "Pass",
IF(AND(H789="U", P789&gt;=60%), "Pass",
IF(AND(H789="O", P789&gt;=75%), "Pass", "Fail")))</f>
        <v/>
      </c>
      <c r="R789" s="104" t="n"/>
      <c r="S789" s="104" t="n">
        <v>13</v>
      </c>
      <c r="T789" s="104" t="n">
        <v>11</v>
      </c>
      <c r="U789" s="104">
        <f>SUM(S789:T789)</f>
        <v/>
      </c>
      <c r="V789" s="12">
        <f>U789/IF(H789="L",35,IF(H789="U",35,IF(H789="O",35,IF(H789="I",35,""))))</f>
        <v/>
      </c>
      <c r="W789" s="132">
        <f>IF(AND(H789="L", V789&gt;=50%), "Pass",
IF(AND(H789="U", V789&gt;=60%), "Pass",
IF(AND(H789="O", V789&gt;=75%), "Pass", "Fail")))</f>
        <v/>
      </c>
      <c r="X789" s="132">
        <f>IF(AND(Q789="Pass", W789="Pass"), "Pass", "Fail")</f>
        <v/>
      </c>
      <c r="Y789" s="15">
        <f>IF($X789="Pass",$H789,
IF(H789="L","I",
IF(H789="U","L",
IF(H789="O","U",
"I"))))</f>
        <v/>
      </c>
    </row>
    <row r="790">
      <c r="A790" s="147">
        <f>ROW()-2</f>
        <v/>
      </c>
      <c r="B790" s="127" t="inlineStr">
        <is>
          <t>KK0991</t>
        </is>
      </c>
      <c r="C790" s="128" t="inlineStr">
        <is>
          <t>SANTHANAMARI M</t>
        </is>
      </c>
      <c r="D790" s="127" t="inlineStr">
        <is>
          <t>PRODUCTION</t>
        </is>
      </c>
      <c r="E790" s="129" t="inlineStr">
        <is>
          <t>TYRE BUILDING-P1</t>
        </is>
      </c>
      <c r="F790" s="130" t="n">
        <v>43415</v>
      </c>
      <c r="G790" s="131">
        <f>NOW()-F790</f>
        <v/>
      </c>
      <c r="H790" s="104" t="inlineStr">
        <is>
          <t>O</t>
        </is>
      </c>
      <c r="I790" s="104" t="inlineStr">
        <is>
          <t>O</t>
        </is>
      </c>
      <c r="J790" s="104" t="n">
        <v>6</v>
      </c>
      <c r="K790" s="104" t="n">
        <v>9</v>
      </c>
      <c r="L790" s="104" t="n">
        <v>6</v>
      </c>
      <c r="M790" s="104" t="n">
        <v>8</v>
      </c>
      <c r="N790" s="104" t="inlineStr">
        <is>
          <t xml:space="preserve"> </t>
        </is>
      </c>
      <c r="O790" s="104">
        <f>SUM(J790:N790)</f>
        <v/>
      </c>
      <c r="P790" s="12">
        <f>O790/IF(H790="L",20,IF(H790="U",30,IF(H790="O",40,IF(H790="I",20,""))))</f>
        <v/>
      </c>
      <c r="Q790" s="132">
        <f>IF(AND(H790="L", P790&gt;=50%), "Pass",
IF(AND(H790="U", P790&gt;=60%), "Pass",
IF(AND(H790="O", P790&gt;=75%), "Pass", "Fail")))</f>
        <v/>
      </c>
      <c r="R790" s="104" t="n"/>
      <c r="S790" s="104" t="n">
        <v>12</v>
      </c>
      <c r="T790" s="104" t="n">
        <v>15</v>
      </c>
      <c r="U790" s="104">
        <f>SUM(S790:T790)</f>
        <v/>
      </c>
      <c r="V790" s="12">
        <f>U790/IF(H790="L",35,IF(H790="U",35,IF(H790="O",35,IF(H790="I",35,""))))</f>
        <v/>
      </c>
      <c r="W790" s="132">
        <f>IF(AND(H790="L", V790&gt;=50%), "Pass",
IF(AND(H790="U", V790&gt;=60%), "Pass",
IF(AND(H790="O", V790&gt;=75%), "Pass", "Fail")))</f>
        <v/>
      </c>
      <c r="X790" s="132">
        <f>IF(AND(Q790="Pass", W790="Pass"), "Pass", "Fail")</f>
        <v/>
      </c>
      <c r="Y790" s="15">
        <f>IF($X790="Pass",$H790,
IF(H790="L","I",
IF(H790="U","L",
IF(H790="O","U",
"I"))))</f>
        <v/>
      </c>
    </row>
    <row r="791">
      <c r="A791" s="147">
        <f>ROW()-2</f>
        <v/>
      </c>
      <c r="B791" s="127" t="inlineStr">
        <is>
          <t>PK0941</t>
        </is>
      </c>
      <c r="C791" s="128" t="inlineStr">
        <is>
          <t>MOHAMED NIYAS</t>
        </is>
      </c>
      <c r="D791" s="127" t="inlineStr">
        <is>
          <t>PRODUCTION</t>
        </is>
      </c>
      <c r="E791" s="129" t="inlineStr">
        <is>
          <t>BAND BUILDING-P1</t>
        </is>
      </c>
      <c r="F791" s="130" t="n">
        <v>43415</v>
      </c>
      <c r="G791" s="131">
        <f>NOW()-F791</f>
        <v/>
      </c>
      <c r="H791" s="104" t="inlineStr">
        <is>
          <t>O</t>
        </is>
      </c>
      <c r="I791" s="104" t="inlineStr">
        <is>
          <t>U</t>
        </is>
      </c>
      <c r="J791" s="104" t="n">
        <v>10</v>
      </c>
      <c r="K791" s="104" t="n">
        <v>9</v>
      </c>
      <c r="L791" s="104" t="n">
        <v>7</v>
      </c>
      <c r="M791" s="104" t="n">
        <v>8</v>
      </c>
      <c r="N791" s="104" t="n"/>
      <c r="O791" s="104">
        <f>SUM(J791:N791)</f>
        <v/>
      </c>
      <c r="P791" s="12">
        <f>O791/IF(H791="L",20,IF(H791="U",30,IF(H791="O",40,IF(H791="I",20,""))))</f>
        <v/>
      </c>
      <c r="Q791" s="132">
        <f>IF(AND(H791="L", P791&gt;=50%), "Pass",
IF(AND(H791="U", P791&gt;=60%), "Pass",
IF(AND(H791="O", P791&gt;=75%), "Pass", "Fail")))</f>
        <v/>
      </c>
      <c r="R791" s="104" t="n"/>
      <c r="S791" s="104" t="n">
        <v>19</v>
      </c>
      <c r="T791" s="104" t="n">
        <v>15</v>
      </c>
      <c r="U791" s="104">
        <f>SUM(S791:T791)</f>
        <v/>
      </c>
      <c r="V791" s="12">
        <f>U791/IF(H791="L",35,IF(H791="U",35,IF(H791="O",35,IF(H791="I",35,""))))</f>
        <v/>
      </c>
      <c r="W791" s="132">
        <f>IF(AND(H791="L", V791&gt;=50%), "Pass",
IF(AND(H791="U", V791&gt;=60%), "Pass",
IF(AND(H791="O", V791&gt;=75%), "Pass", "Fail")))</f>
        <v/>
      </c>
      <c r="X791" s="132">
        <f>IF(AND(Q791="Pass", W791="Pass"), "Pass", "Fail")</f>
        <v/>
      </c>
      <c r="Y791" s="15">
        <f>IF($X791="Pass",$H791,
IF(H791="L","I",
IF(H791="U","L",
IF(H791="O","U",
"I"))))</f>
        <v/>
      </c>
      <c r="Z791" s="82" t="n"/>
    </row>
    <row r="792">
      <c r="A792" s="147">
        <f>ROW()-2</f>
        <v/>
      </c>
      <c r="B792" s="127" t="inlineStr">
        <is>
          <t>SR0902</t>
        </is>
      </c>
      <c r="C792" s="128" t="inlineStr">
        <is>
          <t>KALIRAJA SHANMUGAIYA</t>
        </is>
      </c>
      <c r="D792" s="127" t="inlineStr">
        <is>
          <t>PRODUCTION</t>
        </is>
      </c>
      <c r="E792" s="129" t="inlineStr">
        <is>
          <t>TYRE BUILDING-P3</t>
        </is>
      </c>
      <c r="F792" s="130" t="n">
        <v>43415</v>
      </c>
      <c r="G792" s="131">
        <f>NOW()-F792</f>
        <v/>
      </c>
      <c r="H792" s="104" t="inlineStr">
        <is>
          <t>O</t>
        </is>
      </c>
      <c r="I792" s="104" t="inlineStr">
        <is>
          <t>O</t>
        </is>
      </c>
      <c r="J792" s="104" t="n">
        <v>10</v>
      </c>
      <c r="K792" s="104" t="n">
        <v>9</v>
      </c>
      <c r="L792" s="104" t="n">
        <v>7</v>
      </c>
      <c r="M792" s="104" t="n">
        <v>9</v>
      </c>
      <c r="N792" s="104" t="n"/>
      <c r="O792" s="104">
        <f>SUM(J792:N792)</f>
        <v/>
      </c>
      <c r="P792" s="12">
        <f>O792/IF(H792="L",20,IF(H792="U",30,IF(H792="O",40,IF(H792="I",20,""))))</f>
        <v/>
      </c>
      <c r="Q792" s="132">
        <f>IF(AND(H792="L", P792&gt;=50%), "Pass",
IF(AND(H792="U", P792&gt;=60%), "Pass",
IF(AND(H792="O", P792&gt;=75%), "Pass", "Fail")))</f>
        <v/>
      </c>
      <c r="R792" s="104" t="n"/>
      <c r="S792" s="104" t="n">
        <v>18</v>
      </c>
      <c r="T792" s="104" t="n">
        <v>15</v>
      </c>
      <c r="U792" s="104">
        <f>SUM(S792:T792)</f>
        <v/>
      </c>
      <c r="V792" s="12">
        <f>U792/IF(H792="L",35,IF(H792="U",35,IF(H792="O",35,IF(H792="I",35,""))))</f>
        <v/>
      </c>
      <c r="W792" s="132">
        <f>IF(AND(H792="L", V792&gt;=50%), "Pass",
IF(AND(H792="U", V792&gt;=60%), "Pass",
IF(AND(H792="O", V792&gt;=75%), "Pass", "Fail")))</f>
        <v/>
      </c>
      <c r="X792" s="132">
        <f>IF(AND(Q792="Pass", W792="Pass"), "Pass", "Fail")</f>
        <v/>
      </c>
      <c r="Y792" s="15">
        <f>IF($X792="Pass",$H792,
IF(H792="L","I",
IF(H792="U","L",
IF(H792="O","U",
"I"))))</f>
        <v/>
      </c>
    </row>
    <row r="793">
      <c r="A793" s="147">
        <f>ROW()-2</f>
        <v/>
      </c>
      <c r="B793" s="127" t="inlineStr">
        <is>
          <t>SR0903</t>
        </is>
      </c>
      <c r="C793" s="128" t="inlineStr">
        <is>
          <t>KARKU VELRAJ S</t>
        </is>
      </c>
      <c r="D793" s="127" t="inlineStr">
        <is>
          <t>PRODUCTION</t>
        </is>
      </c>
      <c r="E793" s="129" t="inlineStr">
        <is>
          <t>TYRE BUILDING-P3</t>
        </is>
      </c>
      <c r="F793" s="130" t="n">
        <v>43415</v>
      </c>
      <c r="G793" s="131">
        <f>NOW()-F793</f>
        <v/>
      </c>
      <c r="H793" s="104" t="inlineStr">
        <is>
          <t>O</t>
        </is>
      </c>
      <c r="I793" s="104" t="inlineStr">
        <is>
          <t>O</t>
        </is>
      </c>
      <c r="J793" s="104" t="n">
        <v>10</v>
      </c>
      <c r="K793" s="104" t="n">
        <v>9</v>
      </c>
      <c r="L793" s="104" t="n">
        <v>6</v>
      </c>
      <c r="M793" s="104" t="n">
        <v>9</v>
      </c>
      <c r="N793" s="104" t="n"/>
      <c r="O793" s="104">
        <f>SUM(J793:N793)</f>
        <v/>
      </c>
      <c r="P793" s="12">
        <f>O793/IF(H793="L",20,IF(H793="U",30,IF(H793="O",40,IF(H793="I",20,""))))</f>
        <v/>
      </c>
      <c r="Q793" s="132">
        <f>IF(AND(H793="L", P793&gt;=50%), "Pass",
IF(AND(H793="U", P793&gt;=60%), "Pass",
IF(AND(H793="O", P793&gt;=75%), "Pass", "Fail")))</f>
        <v/>
      </c>
      <c r="R793" s="104" t="n"/>
      <c r="S793" s="104" t="n">
        <v>18</v>
      </c>
      <c r="T793" s="104" t="n">
        <v>15</v>
      </c>
      <c r="U793" s="104">
        <f>SUM(S793:T793)</f>
        <v/>
      </c>
      <c r="V793" s="12">
        <f>U793/IF(H793="L",35,IF(H793="U",35,IF(H793="O",35,IF(H793="I",35,""))))</f>
        <v/>
      </c>
      <c r="W793" s="132">
        <f>IF(AND(H793="L", V793&gt;=50%), "Pass",
IF(AND(H793="U", V793&gt;=60%), "Pass",
IF(AND(H793="O", V793&gt;=75%), "Pass", "Fail")))</f>
        <v/>
      </c>
      <c r="X793" s="132">
        <f>IF(AND(Q793="Pass", W793="Pass"), "Pass", "Fail")</f>
        <v/>
      </c>
      <c r="Y793" s="15">
        <f>IF($X793="Pass",$H793,
IF(H793="L","I",
IF(H793="U","L",
IF(H793="O","U",
"I"))))</f>
        <v/>
      </c>
    </row>
    <row r="794">
      <c r="A794" s="147">
        <f>ROW()-2</f>
        <v/>
      </c>
      <c r="B794" s="127" t="inlineStr">
        <is>
          <t>SR0904</t>
        </is>
      </c>
      <c r="C794" s="128" t="inlineStr">
        <is>
          <t>ANISHKUMAR</t>
        </is>
      </c>
      <c r="D794" s="127" t="inlineStr">
        <is>
          <t>PRODUCTION</t>
        </is>
      </c>
      <c r="E794" s="129" t="inlineStr">
        <is>
          <t>TYRE BUILDING-P3</t>
        </is>
      </c>
      <c r="F794" s="130" t="n">
        <v>43415</v>
      </c>
      <c r="G794" s="131">
        <f>NOW()-F794</f>
        <v/>
      </c>
      <c r="H794" s="104" t="inlineStr">
        <is>
          <t>O</t>
        </is>
      </c>
      <c r="I794" s="104" t="inlineStr">
        <is>
          <t>O</t>
        </is>
      </c>
      <c r="J794" s="104" t="n">
        <v>10</v>
      </c>
      <c r="K794" s="104" t="n">
        <v>7</v>
      </c>
      <c r="L794" s="104" t="n">
        <v>8</v>
      </c>
      <c r="M794" s="104" t="n">
        <v>9</v>
      </c>
      <c r="N794" s="104" t="n"/>
      <c r="O794" s="104">
        <f>SUM(J794:N794)</f>
        <v/>
      </c>
      <c r="P794" s="12">
        <f>O794/IF(H794="L",20,IF(H794="U",30,IF(H794="O",40,IF(H794="I",20,""))))</f>
        <v/>
      </c>
      <c r="Q794" s="132">
        <f>IF(AND(H794="L", P794&gt;=50%), "Pass",
IF(AND(H794="U", P794&gt;=60%), "Pass",
IF(AND(H794="O", P794&gt;=75%), "Pass", "Fail")))</f>
        <v/>
      </c>
      <c r="R794" s="104" t="n"/>
      <c r="S794" s="104" t="n">
        <v>18</v>
      </c>
      <c r="T794" s="104" t="n">
        <v>15</v>
      </c>
      <c r="U794" s="104">
        <f>SUM(S794:T794)</f>
        <v/>
      </c>
      <c r="V794" s="12">
        <f>U794/IF(H794="L",35,IF(H794="U",35,IF(H794="O",35,IF(H794="I",35,""))))</f>
        <v/>
      </c>
      <c r="W794" s="132">
        <f>IF(AND(H794="L", V794&gt;=50%), "Pass",
IF(AND(H794="U", V794&gt;=60%), "Pass",
IF(AND(H794="O", V794&gt;=75%), "Pass", "Fail")))</f>
        <v/>
      </c>
      <c r="X794" s="132">
        <f>IF(AND(Q794="Pass", W794="Pass"), "Pass", "Fail")</f>
        <v/>
      </c>
      <c r="Y794" s="15">
        <f>IF($X794="Pass",$H794,
IF(H794="L","I",
IF(H794="U","L",
IF(H794="O","U",
"I"))))</f>
        <v/>
      </c>
    </row>
    <row r="795">
      <c r="A795" s="147">
        <f>ROW()-2</f>
        <v/>
      </c>
      <c r="B795" s="127" t="inlineStr">
        <is>
          <t>SR0907</t>
        </is>
      </c>
      <c r="C795" s="128" t="inlineStr">
        <is>
          <t>KRISHNA MOORTHY M</t>
        </is>
      </c>
      <c r="D795" s="127" t="inlineStr">
        <is>
          <t>PRODUCTION</t>
        </is>
      </c>
      <c r="E795" s="129" t="inlineStr">
        <is>
          <t>TYRE BUILDING-P3</t>
        </is>
      </c>
      <c r="F795" s="130" t="n">
        <v>43415</v>
      </c>
      <c r="G795" s="131">
        <f>NOW()-F795</f>
        <v/>
      </c>
      <c r="H795" s="104" t="inlineStr">
        <is>
          <t>O</t>
        </is>
      </c>
      <c r="I795" s="104" t="inlineStr">
        <is>
          <t>O</t>
        </is>
      </c>
      <c r="J795" s="104" t="n">
        <v>10</v>
      </c>
      <c r="K795" s="104" t="n">
        <v>10</v>
      </c>
      <c r="L795" s="104" t="n">
        <v>7</v>
      </c>
      <c r="M795" s="104" t="n">
        <v>9</v>
      </c>
      <c r="N795" s="104" t="n"/>
      <c r="O795" s="104">
        <f>SUM(J795:N795)</f>
        <v/>
      </c>
      <c r="P795" s="12">
        <f>O795/IF(H795="L",20,IF(H795="U",30,IF(H795="O",40,IF(H795="I",20,""))))</f>
        <v/>
      </c>
      <c r="Q795" s="132">
        <f>IF(AND(H795="L", P795&gt;=50%), "Pass",
IF(AND(H795="U", P795&gt;=60%), "Pass",
IF(AND(H795="O", P795&gt;=75%), "Pass", "Fail")))</f>
        <v/>
      </c>
      <c r="R795" s="104" t="n"/>
      <c r="S795" s="104" t="n">
        <v>18</v>
      </c>
      <c r="T795" s="104" t="n">
        <v>15</v>
      </c>
      <c r="U795" s="104">
        <f>SUM(S795:T795)</f>
        <v/>
      </c>
      <c r="V795" s="12">
        <f>U795/IF(H795="L",35,IF(H795="U",35,IF(H795="O",35,IF(H795="I",35,""))))</f>
        <v/>
      </c>
      <c r="W795" s="132">
        <f>IF(AND(H795="L", V795&gt;=50%), "Pass",
IF(AND(H795="U", V795&gt;=60%), "Pass",
IF(AND(H795="O", V795&gt;=75%), "Pass", "Fail")))</f>
        <v/>
      </c>
      <c r="X795" s="132">
        <f>IF(AND(Q795="Pass", W795="Pass"), "Pass", "Fail")</f>
        <v/>
      </c>
      <c r="Y795" s="15">
        <f>IF($X795="Pass",$H795,
IF(H795="L","I",
IF(H795="U","L",
IF(H795="O","U",
"I"))))</f>
        <v/>
      </c>
    </row>
    <row r="796">
      <c r="A796" s="147">
        <f>ROW()-2</f>
        <v/>
      </c>
      <c r="B796" s="127" t="inlineStr">
        <is>
          <t>SR0909</t>
        </is>
      </c>
      <c r="C796" s="128" t="inlineStr">
        <is>
          <t>SUDALAIKANNU M</t>
        </is>
      </c>
      <c r="D796" s="127" t="inlineStr">
        <is>
          <t>PRODUCTION</t>
        </is>
      </c>
      <c r="E796" s="129" t="inlineStr">
        <is>
          <t>TYRE BUILDING-P3</t>
        </is>
      </c>
      <c r="F796" s="130" t="n">
        <v>43415</v>
      </c>
      <c r="G796" s="131">
        <f>NOW()-F796</f>
        <v/>
      </c>
      <c r="H796" s="104" t="inlineStr">
        <is>
          <t>O</t>
        </is>
      </c>
      <c r="I796" s="104" t="inlineStr">
        <is>
          <t>U</t>
        </is>
      </c>
      <c r="J796" s="104" t="n">
        <v>8</v>
      </c>
      <c r="K796" s="104" t="n">
        <v>9</v>
      </c>
      <c r="L796" s="104" t="n">
        <v>7</v>
      </c>
      <c r="M796" s="104" t="n">
        <v>8</v>
      </c>
      <c r="N796" s="104" t="n"/>
      <c r="O796" s="104">
        <f>SUM(J796:N796)</f>
        <v/>
      </c>
      <c r="P796" s="12">
        <f>O796/IF(H796="L",20,IF(H796="U",30,IF(H796="O",40,IF(H796="I",20,""))))</f>
        <v/>
      </c>
      <c r="Q796" s="132">
        <f>IF(AND(H796="L", P796&gt;=50%), "Pass",
IF(AND(H796="U", P796&gt;=60%), "Pass",
IF(AND(H796="O", P796&gt;=75%), "Pass", "Fail")))</f>
        <v/>
      </c>
      <c r="R796" s="104" t="n"/>
      <c r="S796" s="43" t="n">
        <v>17</v>
      </c>
      <c r="T796" s="43" t="n">
        <v>14</v>
      </c>
      <c r="U796" s="104">
        <f>SUM(S796:T796)</f>
        <v/>
      </c>
      <c r="V796" s="12">
        <f>U796/IF(H796="L",35,IF(H796="U",35,IF(H796="O",35,IF(H796="I",35,""))))</f>
        <v/>
      </c>
      <c r="W796" s="132">
        <f>IF(AND(H796="L", V796&gt;=50%), "Pass",
IF(AND(H796="U", V796&gt;=60%), "Pass",
IF(AND(H796="O", V796&gt;=75%), "Pass", "Fail")))</f>
        <v/>
      </c>
      <c r="X796" s="132">
        <f>IF(AND(Q796="Pass", W796="Pass"), "Pass", "Fail")</f>
        <v/>
      </c>
      <c r="Y796" s="15">
        <f>IF($X796="Pass",$H796,
IF(H796="L","I",
IF(H796="U","L",
IF(H796="O","U",
"I"))))</f>
        <v/>
      </c>
    </row>
    <row r="797">
      <c r="A797" s="147">
        <f>ROW()-2</f>
        <v/>
      </c>
      <c r="B797" s="127" t="inlineStr">
        <is>
          <t>SR0912</t>
        </is>
      </c>
      <c r="C797" s="128" t="inlineStr">
        <is>
          <t>JOHNSON SAMUVEL</t>
        </is>
      </c>
      <c r="D797" s="127" t="inlineStr">
        <is>
          <t>PRODUCTION</t>
        </is>
      </c>
      <c r="E797" s="129" t="inlineStr">
        <is>
          <t>TYRE BUILDING-P3</t>
        </is>
      </c>
      <c r="F797" s="130" t="n">
        <v>43415</v>
      </c>
      <c r="G797" s="131">
        <f>NOW()-F797</f>
        <v/>
      </c>
      <c r="H797" s="104" t="inlineStr">
        <is>
          <t>O</t>
        </is>
      </c>
      <c r="I797" s="104" t="inlineStr">
        <is>
          <t>O</t>
        </is>
      </c>
      <c r="J797" s="104" t="n">
        <v>9</v>
      </c>
      <c r="K797" s="104" t="n">
        <v>10</v>
      </c>
      <c r="L797" s="104" t="n">
        <v>8</v>
      </c>
      <c r="M797" s="104" t="n">
        <v>9</v>
      </c>
      <c r="N797" s="104" t="n"/>
      <c r="O797" s="104">
        <f>SUM(J797:N797)</f>
        <v/>
      </c>
      <c r="P797" s="12">
        <f>O797/IF(H797="L",20,IF(H797="U",30,IF(H797="O",40,IF(H797="I",20,""))))</f>
        <v/>
      </c>
      <c r="Q797" s="132">
        <f>IF(AND(H797="L", P797&gt;=50%), "Pass",
IF(AND(H797="U", P797&gt;=60%), "Pass",
IF(AND(H797="O", P797&gt;=75%), "Pass", "Fail")))</f>
        <v/>
      </c>
      <c r="R797" s="104" t="n"/>
      <c r="S797" s="104" t="n">
        <v>19</v>
      </c>
      <c r="T797" s="104" t="n">
        <v>13</v>
      </c>
      <c r="U797" s="104">
        <f>SUM(S797:T797)</f>
        <v/>
      </c>
      <c r="V797" s="12">
        <f>U797/IF(H797="L",35,IF(H797="U",35,IF(H797="O",35,IF(H797="I",35,""))))</f>
        <v/>
      </c>
      <c r="W797" s="132">
        <f>IF(AND(H797="L", V797&gt;=50%), "Pass",
IF(AND(H797="U", V797&gt;=60%), "Pass",
IF(AND(H797="O", V797&gt;=75%), "Pass", "Fail")))</f>
        <v/>
      </c>
      <c r="X797" s="132">
        <f>IF(AND(Q797="Pass", W797="Pass"), "Pass", "Fail")</f>
        <v/>
      </c>
      <c r="Y797" s="15">
        <f>IF($X797="Pass",$H797,
IF(H797="L","I",
IF(H797="U","L",
IF(H797="O","U",
"I"))))</f>
        <v/>
      </c>
      <c r="Z797" s="82" t="n"/>
    </row>
    <row r="798">
      <c r="A798" s="147">
        <f>ROW()-2</f>
        <v/>
      </c>
      <c r="B798" s="127" t="inlineStr">
        <is>
          <t>SR0913</t>
        </is>
      </c>
      <c r="C798" s="128" t="inlineStr">
        <is>
          <t>M SUDALAI KUMAR</t>
        </is>
      </c>
      <c r="D798" s="127" t="inlineStr">
        <is>
          <t>PRODUCTION</t>
        </is>
      </c>
      <c r="E798" s="129" t="inlineStr">
        <is>
          <t>TYRE BUILDING-P3</t>
        </is>
      </c>
      <c r="F798" s="130" t="n">
        <v>43415</v>
      </c>
      <c r="G798" s="131">
        <f>NOW()-F798</f>
        <v/>
      </c>
      <c r="H798" s="104" t="inlineStr">
        <is>
          <t>O</t>
        </is>
      </c>
      <c r="I798" s="104" t="inlineStr">
        <is>
          <t>O</t>
        </is>
      </c>
      <c r="J798" s="104" t="n">
        <v>10</v>
      </c>
      <c r="K798" s="104" t="n">
        <v>9</v>
      </c>
      <c r="L798" s="104" t="n">
        <v>8</v>
      </c>
      <c r="M798" s="104" t="n">
        <v>6</v>
      </c>
      <c r="N798" s="104" t="n"/>
      <c r="O798" s="104">
        <f>SUM(J798:N798)</f>
        <v/>
      </c>
      <c r="P798" s="12">
        <f>O798/IF(H798="L",20,IF(H798="U",30,IF(H798="O",40,IF(H798="I",20,""))))</f>
        <v/>
      </c>
      <c r="Q798" s="132">
        <f>IF(AND(H798="L", P798&gt;=50%), "Pass",
IF(AND(H798="U", P798&gt;=60%), "Pass",
IF(AND(H798="O", P798&gt;=75%), "Pass", "Fail")))</f>
        <v/>
      </c>
      <c r="R798" s="104" t="n"/>
      <c r="S798" s="104" t="n">
        <v>18</v>
      </c>
      <c r="T798" s="104" t="n">
        <v>15</v>
      </c>
      <c r="U798" s="104">
        <f>SUM(S798:T798)</f>
        <v/>
      </c>
      <c r="V798" s="12">
        <f>U798/IF(H798="L",35,IF(H798="U",35,IF(H798="O",35,IF(H798="I",35,""))))</f>
        <v/>
      </c>
      <c r="W798" s="132">
        <f>IF(AND(H798="L", V798&gt;=50%), "Pass",
IF(AND(H798="U", V798&gt;=60%), "Pass",
IF(AND(H798="O", V798&gt;=75%), "Pass", "Fail")))</f>
        <v/>
      </c>
      <c r="X798" s="132">
        <f>IF(AND(Q798="Pass", W798="Pass"), "Pass", "Fail")</f>
        <v/>
      </c>
      <c r="Y798" s="15">
        <f>IF($X798="Pass",$H798,
IF(H798="L","I",
IF(H798="U","L",
IF(H798="O","U",
"I"))))</f>
        <v/>
      </c>
    </row>
    <row r="799">
      <c r="A799" s="147">
        <f>ROW()-2</f>
        <v/>
      </c>
      <c r="B799" s="127" t="inlineStr">
        <is>
          <t>AK0849</t>
        </is>
      </c>
      <c r="C799" s="128" t="inlineStr">
        <is>
          <t>ALAGUSANKAR</t>
        </is>
      </c>
      <c r="D799" s="127" t="inlineStr">
        <is>
          <t>PRODUCTION</t>
        </is>
      </c>
      <c r="E799" s="129" t="inlineStr">
        <is>
          <t>TYRE CURING</t>
        </is>
      </c>
      <c r="F799" s="130" t="n">
        <v>43421</v>
      </c>
      <c r="G799" s="131">
        <f>NOW()-F799</f>
        <v/>
      </c>
      <c r="H799" s="104" t="inlineStr">
        <is>
          <t>O</t>
        </is>
      </c>
      <c r="I799" s="104" t="inlineStr">
        <is>
          <t>O</t>
        </is>
      </c>
      <c r="J799" s="104" t="n">
        <v>10</v>
      </c>
      <c r="K799" s="104" t="n">
        <v>10</v>
      </c>
      <c r="L799" s="104" t="n">
        <v>9</v>
      </c>
      <c r="M799" s="104" t="n">
        <v>7</v>
      </c>
      <c r="N799" s="104" t="n"/>
      <c r="O799" s="104">
        <f>SUM(J799:N799)</f>
        <v/>
      </c>
      <c r="P799" s="12">
        <f>O799/IF(H799="L",20,IF(H799="U",30,IF(H799="O",40,IF(H799="I",20,""))))</f>
        <v/>
      </c>
      <c r="Q799" s="132">
        <f>IF(AND(H799="L", P799&gt;=50%), "Pass",
IF(AND(H799="U", P799&gt;=60%), "Pass",
IF(AND(H799="O", P799&gt;=75%), "Pass", "Fail")))</f>
        <v/>
      </c>
      <c r="R799" s="104" t="n"/>
      <c r="S799" s="104" t="n">
        <v>11</v>
      </c>
      <c r="T799" s="104" t="n">
        <v>10</v>
      </c>
      <c r="U799" s="104">
        <f>SUM(S799:T799)</f>
        <v/>
      </c>
      <c r="V799" s="12">
        <f>U799/IF(H799="L",35,IF(H799="U",35,IF(H799="O",35,IF(H799="I",35,""))))</f>
        <v/>
      </c>
      <c r="W799" s="132">
        <f>IF(AND(H799="L", V799&gt;=50%), "Pass",
IF(AND(H799="U", V799&gt;=60%), "Pass",
IF(AND(H799="O", V799&gt;=75%), "Pass", "Fail")))</f>
        <v/>
      </c>
      <c r="X799" s="132">
        <f>IF(AND(Q799="Pass", W799="Pass"), "Pass", "Fail")</f>
        <v/>
      </c>
      <c r="Y799" s="15">
        <f>IF($X799="Pass",$H799,
IF(H799="L","I",
IF(H799="U","L",
IF(H799="O","U",
"I"))))</f>
        <v/>
      </c>
    </row>
    <row r="800">
      <c r="A800" s="147">
        <f>ROW()-2</f>
        <v/>
      </c>
      <c r="B800" s="127" t="inlineStr">
        <is>
          <t>AK0850</t>
        </is>
      </c>
      <c r="C800" s="128" t="inlineStr">
        <is>
          <t>MUTHU RAMALINGAM MAHESH</t>
        </is>
      </c>
      <c r="D800" s="127" t="inlineStr">
        <is>
          <t>PRODUCTION</t>
        </is>
      </c>
      <c r="E800" s="129" t="inlineStr">
        <is>
          <t>TYRE CURING</t>
        </is>
      </c>
      <c r="F800" s="130" t="n">
        <v>43421</v>
      </c>
      <c r="G800" s="131">
        <f>NOW()-F800</f>
        <v/>
      </c>
      <c r="H800" s="104" t="inlineStr">
        <is>
          <t>O</t>
        </is>
      </c>
      <c r="I800" s="104" t="inlineStr">
        <is>
          <t>O</t>
        </is>
      </c>
      <c r="J800" s="104" t="n">
        <v>10</v>
      </c>
      <c r="K800" s="104" t="n">
        <v>9</v>
      </c>
      <c r="L800" s="104" t="n">
        <v>8</v>
      </c>
      <c r="M800" s="104" t="n">
        <v>9</v>
      </c>
      <c r="N800" s="104" t="n"/>
      <c r="O800" s="104">
        <f>SUM(J800:N800)</f>
        <v/>
      </c>
      <c r="P800" s="12">
        <f>O800/IF(H800="L",20,IF(H800="U",30,IF(H800="O",40,IF(H800="I",20,""))))</f>
        <v/>
      </c>
      <c r="Q800" s="132">
        <f>IF(AND(H800="L", P800&gt;=50%), "Pass",
IF(AND(H800="U", P800&gt;=60%), "Pass",
IF(AND(H800="O", P800&gt;=75%), "Pass", "Fail")))</f>
        <v/>
      </c>
      <c r="R800" s="104" t="n"/>
      <c r="S800" s="104" t="n">
        <v>15</v>
      </c>
      <c r="T800" s="104" t="n">
        <v>12</v>
      </c>
      <c r="U800" s="104">
        <f>SUM(S800:T800)</f>
        <v/>
      </c>
      <c r="V800" s="12">
        <f>U800/IF(H800="L",35,IF(H800="U",35,IF(H800="O",35,IF(H800="I",35,""))))</f>
        <v/>
      </c>
      <c r="W800" s="132">
        <f>IF(AND(H800="L", V800&gt;=50%), "Pass",
IF(AND(H800="U", V800&gt;=60%), "Pass",
IF(AND(H800="O", V800&gt;=75%), "Pass", "Fail")))</f>
        <v/>
      </c>
      <c r="X800" s="132">
        <f>IF(AND(Q800="Pass", W800="Pass"), "Pass", "Fail")</f>
        <v/>
      </c>
      <c r="Y800" s="15">
        <f>IF($X800="Pass",$H800,
IF(H800="L","I",
IF(H800="U","L",
IF(H800="O","U",
"I"))))</f>
        <v/>
      </c>
    </row>
    <row r="801">
      <c r="A801" s="147">
        <f>ROW()-2</f>
        <v/>
      </c>
      <c r="B801" s="127" t="inlineStr">
        <is>
          <t>KK0994</t>
        </is>
      </c>
      <c r="C801" s="128" t="inlineStr">
        <is>
          <t>ARUL SELVAM  K</t>
        </is>
      </c>
      <c r="D801" s="127" t="inlineStr">
        <is>
          <t>PRODUCTION</t>
        </is>
      </c>
      <c r="E801" s="129" t="inlineStr">
        <is>
          <t>BIAS MARANGONI&amp;BESTRY</t>
        </is>
      </c>
      <c r="F801" s="130" t="n">
        <v>43421</v>
      </c>
      <c r="G801" s="131">
        <f>NOW()-F801</f>
        <v/>
      </c>
      <c r="H801" s="104" t="inlineStr">
        <is>
          <t>O</t>
        </is>
      </c>
      <c r="I801" s="104" t="inlineStr">
        <is>
          <t>U</t>
        </is>
      </c>
      <c r="J801" s="104" t="n">
        <v>7</v>
      </c>
      <c r="K801" s="104" t="n">
        <v>7</v>
      </c>
      <c r="L801" s="104" t="n">
        <v>5</v>
      </c>
      <c r="M801" s="104" t="n">
        <v>5</v>
      </c>
      <c r="N801" s="104" t="n"/>
      <c r="O801" s="104">
        <f>SUM(J801:N801)</f>
        <v/>
      </c>
      <c r="P801" s="12">
        <f>O801/IF(H801="L",20,IF(H801="U",30,IF(H801="O",40,IF(H801="I",20,""))))</f>
        <v/>
      </c>
      <c r="Q801" s="132">
        <f>IF(AND(H801="L", P801&gt;=50%), "Pass",
IF(AND(H801="U", P801&gt;=60%), "Pass",
IF(AND(H801="O", P801&gt;=75%), "Pass", "Fail")))</f>
        <v/>
      </c>
      <c r="R801" s="104" t="n"/>
      <c r="S801" s="104" t="n">
        <v>10</v>
      </c>
      <c r="T801" s="104" t="n">
        <v>8</v>
      </c>
      <c r="U801" s="104">
        <f>SUM(S801:T801)</f>
        <v/>
      </c>
      <c r="V801" s="12">
        <f>U801/IF(H801="L",35,IF(H801="U",35,IF(H801="O",35,IF(H801="I",35,""))))</f>
        <v/>
      </c>
      <c r="W801" s="132">
        <f>IF(AND(H801="L", V801&gt;=50%), "Pass",
IF(AND(H801="U", V801&gt;=60%), "Pass",
IF(AND(H801="O", V801&gt;=75%), "Pass", "Fail")))</f>
        <v/>
      </c>
      <c r="X801" s="132">
        <f>IF(AND(Q801="Pass", W801="Pass"), "Pass", "Fail")</f>
        <v/>
      </c>
      <c r="Y801" s="15">
        <f>IF($X801="Pass",$H801,
IF(H801="L","I",
IF(H801="U","L",
IF(H801="O","U",
"I"))))</f>
        <v/>
      </c>
    </row>
    <row r="802">
      <c r="A802" s="147">
        <f>ROW()-2</f>
        <v/>
      </c>
      <c r="B802" s="127" t="inlineStr">
        <is>
          <t>SK2803</t>
        </is>
      </c>
      <c r="C802" s="128" t="inlineStr">
        <is>
          <t>ELANGAMANI E</t>
        </is>
      </c>
      <c r="D802" s="127" t="inlineStr">
        <is>
          <t>PRODUCTION</t>
        </is>
      </c>
      <c r="E802" s="129" t="inlineStr">
        <is>
          <t>BEAD WINDING</t>
        </is>
      </c>
      <c r="F802" s="130" t="n">
        <v>43423</v>
      </c>
      <c r="G802" s="131">
        <f>NOW()-F802</f>
        <v/>
      </c>
      <c r="H802" s="104" t="inlineStr">
        <is>
          <t>O</t>
        </is>
      </c>
      <c r="I802" s="104" t="inlineStr">
        <is>
          <t>U</t>
        </is>
      </c>
      <c r="J802" s="104" t="n">
        <v>5</v>
      </c>
      <c r="K802" s="104" t="n">
        <v>3</v>
      </c>
      <c r="L802" s="104" t="n">
        <v>4</v>
      </c>
      <c r="M802" s="104" t="n">
        <v>4</v>
      </c>
      <c r="N802" s="104" t="n"/>
      <c r="O802" s="104">
        <f>SUM(J802:N802)</f>
        <v/>
      </c>
      <c r="P802" s="12">
        <f>O802/IF(H802="L",20,IF(H802="U",30,IF(H802="O",40,IF(H802="I",20,""))))</f>
        <v/>
      </c>
      <c r="Q802" s="132">
        <f>IF(AND(H802="L", P802&gt;=50%), "Pass",
IF(AND(H802="U", P802&gt;=60%), "Pass",
IF(AND(H802="O", P802&gt;=75%), "Pass", "Fail")))</f>
        <v/>
      </c>
      <c r="R802" s="104" t="n"/>
      <c r="S802" s="104" t="n">
        <v>15</v>
      </c>
      <c r="T802" s="104" t="n">
        <v>11</v>
      </c>
      <c r="U802" s="104">
        <f>SUM(S802:T802)</f>
        <v/>
      </c>
      <c r="V802" s="12">
        <f>U802/IF(H802="L",35,IF(H802="U",35,IF(H802="O",35,IF(H802="I",35,""))))</f>
        <v/>
      </c>
      <c r="W802" s="132">
        <f>IF(AND(H802="L", V802&gt;=50%), "Pass",
IF(AND(H802="U", V802&gt;=60%), "Pass",
IF(AND(H802="O", V802&gt;=75%), "Pass", "Fail")))</f>
        <v/>
      </c>
      <c r="X802" s="132">
        <f>IF(AND(Q802="Pass", W802="Pass"), "Pass", "Fail")</f>
        <v/>
      </c>
      <c r="Y802" s="15">
        <f>IF($X802="Pass",$H802,
IF(H802="L","I",
IF(H802="U","L",
IF(H802="O","U",
"I"))))</f>
        <v/>
      </c>
    </row>
    <row r="803">
      <c r="A803" s="147">
        <f>ROW()-2</f>
        <v/>
      </c>
      <c r="B803" s="127" t="inlineStr">
        <is>
          <t>MG1285</t>
        </is>
      </c>
      <c r="C803" s="128" t="inlineStr">
        <is>
          <t>S MATHAN KUMAR</t>
        </is>
      </c>
      <c r="D803" s="127" t="inlineStr">
        <is>
          <t>PRODUCTION</t>
        </is>
      </c>
      <c r="E803" s="129" t="inlineStr">
        <is>
          <t>RADIAL MARANGONI</t>
        </is>
      </c>
      <c r="F803" s="130" t="n">
        <v>43449</v>
      </c>
      <c r="G803" s="131">
        <f>NOW()-F803</f>
        <v/>
      </c>
      <c r="H803" s="104" t="inlineStr">
        <is>
          <t>O</t>
        </is>
      </c>
      <c r="I803" s="104" t="inlineStr">
        <is>
          <t>U</t>
        </is>
      </c>
      <c r="J803" s="104" t="n">
        <v>10</v>
      </c>
      <c r="K803" s="104" t="n">
        <v>7</v>
      </c>
      <c r="L803" s="104" t="n">
        <v>9</v>
      </c>
      <c r="M803" s="104" t="n">
        <v>8</v>
      </c>
      <c r="N803" s="104" t="n"/>
      <c r="O803" s="104">
        <f>SUM(J803:N803)</f>
        <v/>
      </c>
      <c r="P803" s="12">
        <f>O803/IF(H803="L",20,IF(H803="U",30,IF(H803="O",40,IF(H803="I",20,""))))</f>
        <v/>
      </c>
      <c r="Q803" s="132">
        <f>IF(AND(H803="L", P803&gt;=50%), "Pass",
IF(AND(H803="U", P803&gt;=60%), "Pass",
IF(AND(H803="O", P803&gt;=75%), "Pass", "Fail")))</f>
        <v/>
      </c>
      <c r="R803" s="104" t="n"/>
      <c r="S803" s="104" t="n">
        <v>15</v>
      </c>
      <c r="T803" s="104" t="n">
        <v>12</v>
      </c>
      <c r="U803" s="104">
        <f>SUM(S803:T803)</f>
        <v/>
      </c>
      <c r="V803" s="12">
        <f>U803/IF(H803="L",35,IF(H803="U",35,IF(H803="O",35,IF(H803="I",35,""))))</f>
        <v/>
      </c>
      <c r="W803" s="132">
        <f>IF(AND(H803="L", V803&gt;=50%), "Pass",
IF(AND(H803="U", V803&gt;=60%), "Pass",
IF(AND(H803="O", V803&gt;=75%), "Pass", "Fail")))</f>
        <v/>
      </c>
      <c r="X803" s="132">
        <f>IF(AND(Q803="Pass", W803="Pass"), "Pass", "Fail")</f>
        <v/>
      </c>
      <c r="Y803" s="15">
        <f>IF($X803="Pass",$H803,
IF(H803="L","I",
IF(H803="U","L",
IF(H803="O","U",
"I"))))</f>
        <v/>
      </c>
    </row>
    <row r="804">
      <c r="A804" s="147">
        <f>ROW()-2</f>
        <v/>
      </c>
      <c r="B804" s="127" t="inlineStr">
        <is>
          <t>PK0961</t>
        </is>
      </c>
      <c r="C804" s="128" t="inlineStr">
        <is>
          <t>KANGRESH RAM</t>
        </is>
      </c>
      <c r="D804" s="127" t="inlineStr">
        <is>
          <t>PRODUCTION</t>
        </is>
      </c>
      <c r="E804" s="129" t="inlineStr">
        <is>
          <t>TYRE BUILDING-P2</t>
        </is>
      </c>
      <c r="F804" s="130" t="n">
        <v>43456</v>
      </c>
      <c r="G804" s="131">
        <f>NOW()-F804</f>
        <v/>
      </c>
      <c r="H804" s="104" t="inlineStr">
        <is>
          <t>O</t>
        </is>
      </c>
      <c r="I804" s="104" t="inlineStr">
        <is>
          <t>U</t>
        </is>
      </c>
      <c r="J804" s="104" t="n">
        <v>6</v>
      </c>
      <c r="K804" s="104" t="n">
        <v>4</v>
      </c>
      <c r="L804" s="104" t="n">
        <v>5</v>
      </c>
      <c r="M804" s="104" t="n">
        <v>7</v>
      </c>
      <c r="N804" s="104" t="n"/>
      <c r="O804" s="104">
        <f>SUM(J804:N804)</f>
        <v/>
      </c>
      <c r="P804" s="12">
        <f>O804/IF(H804="L",20,IF(H804="U",30,IF(H804="O",40,IF(H804="I",20,""))))</f>
        <v/>
      </c>
      <c r="Q804" s="132">
        <f>IF(AND(H804="L", P804&gt;=50%), "Pass",
IF(AND(H804="U", P804&gt;=60%), "Pass",
IF(AND(H804="O", P804&gt;=75%), "Pass", "Fail")))</f>
        <v/>
      </c>
      <c r="R804" s="104" t="n"/>
      <c r="S804" s="104" t="n">
        <v>12</v>
      </c>
      <c r="T804" s="104" t="n">
        <v>10</v>
      </c>
      <c r="U804" s="104">
        <f>SUM(S804:T804)</f>
        <v/>
      </c>
      <c r="V804" s="12">
        <f>U804/IF(H804="L",35,IF(H804="U",35,IF(H804="O",35,IF(H804="I",35,""))))</f>
        <v/>
      </c>
      <c r="W804" s="132">
        <f>IF(AND(H804="L", V804&gt;=50%), "Pass",
IF(AND(H804="U", V804&gt;=60%), "Pass",
IF(AND(H804="O", V804&gt;=75%), "Pass", "Fail")))</f>
        <v/>
      </c>
      <c r="X804" s="132">
        <f>IF(AND(Q804="Pass", W804="Pass"), "Pass", "Fail")</f>
        <v/>
      </c>
      <c r="Y804" s="15">
        <f>IF($X804="Pass",$H804,
IF(H804="L","I",
IF(H804="U","L",
IF(H804="O","U",
"I"))))</f>
        <v/>
      </c>
    </row>
    <row r="805">
      <c r="A805" s="147">
        <f>ROW()-2</f>
        <v/>
      </c>
      <c r="B805" s="133" t="inlineStr">
        <is>
          <t>AK0868</t>
        </is>
      </c>
      <c r="C805" s="148" t="inlineStr">
        <is>
          <t>UDAIYAR S</t>
        </is>
      </c>
      <c r="D805" s="127" t="inlineStr">
        <is>
          <t>PRODUCTION</t>
        </is>
      </c>
      <c r="E805" s="135" t="inlineStr">
        <is>
          <t>MIXING</t>
        </is>
      </c>
      <c r="F805" s="136" t="n">
        <v>43461</v>
      </c>
      <c r="G805" s="131">
        <f>NOW()-F805</f>
        <v/>
      </c>
      <c r="H805" s="104" t="inlineStr">
        <is>
          <t>O</t>
        </is>
      </c>
      <c r="I805" s="104" t="inlineStr">
        <is>
          <t>U</t>
        </is>
      </c>
      <c r="J805" s="104" t="inlineStr">
        <is>
          <t>NIL</t>
        </is>
      </c>
      <c r="K805" s="104" t="n"/>
      <c r="L805" s="104" t="n"/>
      <c r="M805" s="104" t="n"/>
      <c r="N805" s="104" t="n"/>
      <c r="O805" s="104" t="n"/>
      <c r="P805" s="12">
        <f>O805/IF(H805="L",20,IF(H805="U",30,IF(H805="O",40,IF(H805="I",20,""))))</f>
        <v/>
      </c>
      <c r="Q805" s="132">
        <f>IF(AND(H805="L", P805&gt;=50%), "Pass",
IF(AND(H805="U", P805&gt;=60%), "Pass",
IF(AND(H805="O", P805&gt;=75%), "Pass", "Fail")))</f>
        <v/>
      </c>
      <c r="R805" s="104" t="n"/>
      <c r="S805" s="104" t="n">
        <v>14</v>
      </c>
      <c r="T805" s="104" t="n">
        <v>12</v>
      </c>
      <c r="U805" s="104">
        <f>SUM(S805:T805)</f>
        <v/>
      </c>
      <c r="V805" s="12">
        <f>U805/IF(H805="L",35,IF(H805="U",35,IF(H805="O",35,IF(H805="I",35,""))))</f>
        <v/>
      </c>
      <c r="W805" s="132">
        <f>IF(AND(H805="L", V805&gt;=50%), "Pass",
IF(AND(H805="U", V805&gt;=60%), "Pass",
IF(AND(H805="O", V805&gt;=75%), "Pass", "Fail")))</f>
        <v/>
      </c>
      <c r="X805" s="132">
        <f>IF(AND(Q805="Pass", W805="Pass"), "Pass", "Fail")</f>
        <v/>
      </c>
      <c r="Y805" s="15">
        <f>IF($X805="Pass",$H805,
IF(H805="L","I",
IF(H805="U","L",
IF(H805="O","U",
"I"))))</f>
        <v/>
      </c>
    </row>
    <row r="806">
      <c r="A806" s="147">
        <f>ROW()-2</f>
        <v/>
      </c>
      <c r="B806" s="127" t="inlineStr">
        <is>
          <t>AK0871</t>
        </is>
      </c>
      <c r="C806" s="128" t="inlineStr">
        <is>
          <t>ARAVIND C C</t>
        </is>
      </c>
      <c r="D806" s="127" t="inlineStr">
        <is>
          <t>PRODUCTION</t>
        </is>
      </c>
      <c r="E806" s="129" t="inlineStr">
        <is>
          <t>TYRE CURING</t>
        </is>
      </c>
      <c r="F806" s="130" t="n">
        <v>43461</v>
      </c>
      <c r="G806" s="131">
        <f>NOW()-F806</f>
        <v/>
      </c>
      <c r="H806" s="104" t="inlineStr">
        <is>
          <t>O</t>
        </is>
      </c>
      <c r="I806" s="104" t="inlineStr">
        <is>
          <t>O</t>
        </is>
      </c>
      <c r="J806" s="104" t="n">
        <v>9</v>
      </c>
      <c r="K806" s="104" t="n">
        <v>8</v>
      </c>
      <c r="L806" s="104" t="n">
        <v>6</v>
      </c>
      <c r="M806" s="104" t="n">
        <v>6</v>
      </c>
      <c r="N806" s="104" t="n"/>
      <c r="O806" s="104">
        <f>SUM(J806:N806)</f>
        <v/>
      </c>
      <c r="P806" s="12">
        <f>O806/IF(H806="L",20,IF(H806="U",30,IF(H806="O",40,IF(H806="I",20,""))))</f>
        <v/>
      </c>
      <c r="Q806" s="132">
        <f>IF(AND(H806="L", P806&gt;=50%), "Pass",
IF(AND(H806="U", P806&gt;=60%), "Pass",
IF(AND(H806="O", P806&gt;=75%), "Pass", "Fail")))</f>
        <v/>
      </c>
      <c r="R806" s="104" t="n"/>
      <c r="S806" s="104" t="n">
        <v>14</v>
      </c>
      <c r="T806" s="104" t="n">
        <v>9</v>
      </c>
      <c r="U806" s="104">
        <f>SUM(S806:T806)</f>
        <v/>
      </c>
      <c r="V806" s="12">
        <f>U806/IF(H806="L",35,IF(H806="U",35,IF(H806="O",35,IF(H806="I",35,""))))</f>
        <v/>
      </c>
      <c r="W806" s="132">
        <f>IF(AND(H806="L", V806&gt;=50%), "Pass",
IF(AND(H806="U", V806&gt;=60%), "Pass",
IF(AND(H806="O", V806&gt;=75%), "Pass", "Fail")))</f>
        <v/>
      </c>
      <c r="X806" s="132">
        <f>IF(AND(Q806="Pass", W806="Pass"), "Pass", "Fail")</f>
        <v/>
      </c>
      <c r="Y806" s="15">
        <f>IF($X806="Pass",$H806,
IF(H806="L","I",
IF(H806="U","L",
IF(H806="O","U",
"I"))))</f>
        <v/>
      </c>
    </row>
    <row r="807">
      <c r="A807" s="147">
        <f>ROW()-2</f>
        <v/>
      </c>
      <c r="B807" s="127" t="inlineStr">
        <is>
          <t>SK2827</t>
        </is>
      </c>
      <c r="C807" s="128" t="inlineStr">
        <is>
          <t>KANAGARAJ</t>
        </is>
      </c>
      <c r="D807" s="127" t="inlineStr">
        <is>
          <t>PRODUCTION</t>
        </is>
      </c>
      <c r="E807" s="129" t="inlineStr">
        <is>
          <t>3 ROLL-P2</t>
        </is>
      </c>
      <c r="F807" s="130" t="n">
        <v>43461</v>
      </c>
      <c r="G807" s="131">
        <f>NOW()-F807</f>
        <v/>
      </c>
      <c r="H807" s="104" t="inlineStr">
        <is>
          <t>O</t>
        </is>
      </c>
      <c r="I807" s="104" t="inlineStr">
        <is>
          <t>U</t>
        </is>
      </c>
      <c r="J807" s="104" t="n">
        <v>7</v>
      </c>
      <c r="K807" s="104" t="n">
        <v>7</v>
      </c>
      <c r="L807" s="104" t="n">
        <v>8</v>
      </c>
      <c r="M807" s="104" t="n">
        <v>6</v>
      </c>
      <c r="N807" s="104" t="n"/>
      <c r="O807" s="104">
        <f>SUM(J807:N807)</f>
        <v/>
      </c>
      <c r="P807" s="12">
        <f>O807/IF(H807="L",20,IF(H807="U",30,IF(H807="O",40,IF(H807="I",20,""))))</f>
        <v/>
      </c>
      <c r="Q807" s="132">
        <f>IF(AND(H807="L", P807&gt;=50%), "Pass",
IF(AND(H807="U", P807&gt;=60%), "Pass",
IF(AND(H807="O", P807&gt;=75%), "Pass", "Fail")))</f>
        <v/>
      </c>
      <c r="R807" s="104" t="n"/>
      <c r="S807" s="104" t="n">
        <v>14</v>
      </c>
      <c r="T807" s="104" t="n">
        <v>8</v>
      </c>
      <c r="U807" s="104">
        <f>SUM(S807:T807)</f>
        <v/>
      </c>
      <c r="V807" s="12">
        <f>U807/IF(H807="L",35,IF(H807="U",35,IF(H807="O",35,IF(H807="I",35,""))))</f>
        <v/>
      </c>
      <c r="W807" s="132">
        <f>IF(AND(H807="L", V807&gt;=50%), "Pass",
IF(AND(H807="U", V807&gt;=60%), "Pass",
IF(AND(H807="O", V807&gt;=75%), "Pass", "Fail")))</f>
        <v/>
      </c>
      <c r="X807" s="132">
        <f>IF(AND(Q807="Pass", W807="Pass"), "Pass", "Fail")</f>
        <v/>
      </c>
      <c r="Y807" s="15">
        <f>IF($X807="Pass",$H807,
IF(H807="L","I",
IF(H807="U","L",
IF(H807="O","U",
"I"))))</f>
        <v/>
      </c>
    </row>
    <row r="808">
      <c r="A808" s="147">
        <f>ROW()-2</f>
        <v/>
      </c>
      <c r="B808" s="127" t="inlineStr">
        <is>
          <t>SR0921</t>
        </is>
      </c>
      <c r="C808" s="128" t="inlineStr">
        <is>
          <t>CHINNATHAMBI  V</t>
        </is>
      </c>
      <c r="D808" s="127" t="inlineStr">
        <is>
          <t>PRODUCTION</t>
        </is>
      </c>
      <c r="E808" s="129" t="inlineStr">
        <is>
          <t>BIAS CUTTING-1</t>
        </is>
      </c>
      <c r="F808" s="130" t="n">
        <v>43461</v>
      </c>
      <c r="G808" s="131">
        <f>NOW()-F808</f>
        <v/>
      </c>
      <c r="H808" s="104" t="inlineStr">
        <is>
          <t>O</t>
        </is>
      </c>
      <c r="I808" s="104" t="inlineStr">
        <is>
          <t>U</t>
        </is>
      </c>
      <c r="J808" s="104" t="n">
        <v>4</v>
      </c>
      <c r="K808" s="104" t="n">
        <v>6</v>
      </c>
      <c r="L808" s="104" t="n">
        <v>4</v>
      </c>
      <c r="M808" s="104" t="n">
        <v>6</v>
      </c>
      <c r="N808" s="104" t="n"/>
      <c r="O808" s="104">
        <f>SUM(J808:N808)</f>
        <v/>
      </c>
      <c r="P808" s="12">
        <f>O808/IF(H808="L",20,IF(H808="U",30,IF(H808="O",40,IF(H808="I",20,""))))</f>
        <v/>
      </c>
      <c r="Q808" s="132">
        <f>IF(AND(H808="L", P808&gt;=50%), "Pass",
IF(AND(H808="U", P808&gt;=60%), "Pass",
IF(AND(H808="O", P808&gt;=75%), "Pass", "Fail")))</f>
        <v/>
      </c>
      <c r="R808" s="104" t="n"/>
      <c r="S808" s="104" t="n">
        <v>18</v>
      </c>
      <c r="T808" s="104" t="n">
        <v>12</v>
      </c>
      <c r="U808" s="104">
        <f>SUM(S808:T808)</f>
        <v/>
      </c>
      <c r="V808" s="12">
        <f>U808/IF(H808="L",35,IF(H808="U",35,IF(H808="O",35,IF(H808="I",35,""))))</f>
        <v/>
      </c>
      <c r="W808" s="132">
        <f>IF(AND(H808="L", V808&gt;=50%), "Pass",
IF(AND(H808="U", V808&gt;=60%), "Pass",
IF(AND(H808="O", V808&gt;=75%), "Pass", "Fail")))</f>
        <v/>
      </c>
      <c r="X808" s="132">
        <f>IF(AND(Q808="Pass", W808="Pass"), "Pass", "Fail")</f>
        <v/>
      </c>
      <c r="Y808" s="15">
        <f>IF($X808="Pass",$H808,
IF(H808="L","I",
IF(H808="U","L",
IF(H808="O","U",
"I"))))</f>
        <v/>
      </c>
    </row>
    <row r="809">
      <c r="A809" s="147">
        <f>ROW()-2</f>
        <v/>
      </c>
      <c r="B809" s="127" t="inlineStr">
        <is>
          <t>AK0872</t>
        </is>
      </c>
      <c r="C809" s="128" t="inlineStr">
        <is>
          <t>PARMBIR KUMAR RAM</t>
        </is>
      </c>
      <c r="D809" s="127" t="inlineStr">
        <is>
          <t>PRODUCTION</t>
        </is>
      </c>
      <c r="E809" s="129" t="inlineStr">
        <is>
          <t>TYRE CURING</t>
        </is>
      </c>
      <c r="F809" s="130" t="n">
        <v>43495</v>
      </c>
      <c r="G809" s="131">
        <f>NOW()-F809</f>
        <v/>
      </c>
      <c r="H809" s="104" t="inlineStr">
        <is>
          <t>O</t>
        </is>
      </c>
      <c r="I809" s="104" t="inlineStr">
        <is>
          <t>U</t>
        </is>
      </c>
      <c r="J809" s="104" t="n">
        <v>5</v>
      </c>
      <c r="K809" s="104" t="n">
        <v>7</v>
      </c>
      <c r="L809" s="104" t="n">
        <v>5</v>
      </c>
      <c r="M809" s="104" t="n">
        <v>2</v>
      </c>
      <c r="N809" s="104" t="n"/>
      <c r="O809" s="104">
        <f>SUM(J809:N809)</f>
        <v/>
      </c>
      <c r="P809" s="12">
        <f>O809/IF(H809="L",20,IF(H809="U",30,IF(H809="O",40,IF(H809="I",20,""))))</f>
        <v/>
      </c>
      <c r="Q809" s="132">
        <f>IF(AND(H809="L", P809&gt;=50%), "Pass",
IF(AND(H809="U", P809&gt;=60%), "Pass",
IF(AND(H809="O", P809&gt;=75%), "Pass", "Fail")))</f>
        <v/>
      </c>
      <c r="R809" s="104" t="n"/>
      <c r="S809" s="104" t="n">
        <v>14</v>
      </c>
      <c r="T809" s="104" t="n">
        <v>12</v>
      </c>
      <c r="U809" s="104">
        <f>SUM(S809:T809)</f>
        <v/>
      </c>
      <c r="V809" s="12">
        <f>U809/IF(H809="L",35,IF(H809="U",35,IF(H809="O",35,IF(H809="I",35,""))))</f>
        <v/>
      </c>
      <c r="W809" s="132">
        <f>IF(AND(H809="L", V809&gt;=50%), "Pass",
IF(AND(H809="U", V809&gt;=60%), "Pass",
IF(AND(H809="O", V809&gt;=75%), "Pass", "Fail")))</f>
        <v/>
      </c>
      <c r="X809" s="132">
        <f>IF(AND(Q809="Pass", W809="Pass"), "Pass", "Fail")</f>
        <v/>
      </c>
      <c r="Y809" s="15">
        <f>IF($X809="Pass",$H809,
IF(H809="L","I",
IF(H809="U","L",
IF(H809="O","U",
"I"))))</f>
        <v/>
      </c>
    </row>
    <row r="810">
      <c r="A810" s="147">
        <f>ROW()-2</f>
        <v/>
      </c>
      <c r="B810" s="133" t="inlineStr">
        <is>
          <t>SK2831</t>
        </is>
      </c>
      <c r="C810" s="148" t="inlineStr">
        <is>
          <t>VIJAYAKUMAR</t>
        </is>
      </c>
      <c r="D810" s="127" t="inlineStr">
        <is>
          <t>PRODUCTION</t>
        </is>
      </c>
      <c r="E810" s="135" t="inlineStr">
        <is>
          <t>MIXING</t>
        </is>
      </c>
      <c r="F810" s="136" t="n">
        <v>43527</v>
      </c>
      <c r="G810" s="131">
        <f>NOW()-F810</f>
        <v/>
      </c>
      <c r="H810" s="104" t="inlineStr">
        <is>
          <t>O</t>
        </is>
      </c>
      <c r="I810" s="104" t="inlineStr">
        <is>
          <t>U</t>
        </is>
      </c>
      <c r="J810" s="104" t="inlineStr">
        <is>
          <t>NIL</t>
        </is>
      </c>
      <c r="K810" s="104" t="n"/>
      <c r="L810" s="104" t="n"/>
      <c r="M810" s="104" t="n"/>
      <c r="N810" s="104" t="n"/>
      <c r="O810" s="104" t="n"/>
      <c r="P810" s="12">
        <f>O810/IF(H810="L",20,IF(H810="U",30,IF(H810="O",40,IF(H810="I",20,""))))</f>
        <v/>
      </c>
      <c r="Q810" s="132">
        <f>IF(AND(H810="L", P810&gt;=50%), "Pass",
IF(AND(H810="U", P810&gt;=60%), "Pass",
IF(AND(H810="O", P810&gt;=75%), "Pass", "Fail")))</f>
        <v/>
      </c>
      <c r="R810" s="104" t="n"/>
      <c r="S810" s="104" t="n">
        <v>13</v>
      </c>
      <c r="T810" s="104" t="n">
        <v>12</v>
      </c>
      <c r="U810" s="104">
        <f>SUM(S810:T810)</f>
        <v/>
      </c>
      <c r="V810" s="12">
        <f>U810/IF(H810="L",35,IF(H810="U",35,IF(H810="O",35,IF(H810="I",35,""))))</f>
        <v/>
      </c>
      <c r="W810" s="132">
        <f>IF(AND(H810="L", V810&gt;=50%), "Pass",
IF(AND(H810="U", V810&gt;=60%), "Pass",
IF(AND(H810="O", V810&gt;=75%), "Pass", "Fail")))</f>
        <v/>
      </c>
      <c r="X810" s="132">
        <f>IF(AND(Q810="Pass", W810="Pass"), "Pass", "Fail")</f>
        <v/>
      </c>
      <c r="Y810" s="15">
        <f>IF($X810="Pass",$H810,
IF(H810="L","I",
IF(H810="U","L",
IF(H810="O","U",
"I"))))</f>
        <v/>
      </c>
    </row>
    <row r="811">
      <c r="A811" s="147">
        <f>ROW()-2</f>
        <v/>
      </c>
      <c r="B811" s="127" t="inlineStr">
        <is>
          <t>SK2833</t>
        </is>
      </c>
      <c r="C811" s="128" t="inlineStr">
        <is>
          <t>RAVI RANJAN KUJUR</t>
        </is>
      </c>
      <c r="D811" s="127" t="inlineStr">
        <is>
          <t>PRODUCTION</t>
        </is>
      </c>
      <c r="E811" s="129" t="inlineStr">
        <is>
          <t>TYRE CURING</t>
        </is>
      </c>
      <c r="F811" s="130" t="n">
        <v>43533</v>
      </c>
      <c r="G811" s="131">
        <f>NOW()-F811</f>
        <v/>
      </c>
      <c r="H811" s="104" t="inlineStr">
        <is>
          <t>O</t>
        </is>
      </c>
      <c r="I811" s="104" t="inlineStr">
        <is>
          <t>U</t>
        </is>
      </c>
      <c r="J811" s="104" t="n">
        <v>9</v>
      </c>
      <c r="K811" s="104" t="n">
        <v>4</v>
      </c>
      <c r="L811" s="104" t="n">
        <v>7</v>
      </c>
      <c r="M811" s="104" t="n">
        <v>5</v>
      </c>
      <c r="N811" s="104" t="n"/>
      <c r="O811" s="104">
        <f>SUM(J811:N811)</f>
        <v/>
      </c>
      <c r="P811" s="12">
        <f>O811/IF(H811="L",20,IF(H811="U",30,IF(H811="O",40,IF(H811="I",20,""))))</f>
        <v/>
      </c>
      <c r="Q811" s="132">
        <f>IF(AND(H811="L", P811&gt;=50%), "Pass",
IF(AND(H811="U", P811&gt;=60%), "Pass",
IF(AND(H811="O", P811&gt;=75%), "Pass", "Fail")))</f>
        <v/>
      </c>
      <c r="R811" s="104" t="n"/>
      <c r="S811" s="104" t="n">
        <v>12</v>
      </c>
      <c r="T811" s="104" t="n">
        <v>10</v>
      </c>
      <c r="U811" s="104">
        <f>SUM(S811:T811)</f>
        <v/>
      </c>
      <c r="V811" s="12">
        <f>U811/IF(H811="L",35,IF(H811="U",35,IF(H811="O",35,IF(H811="I",35,""))))</f>
        <v/>
      </c>
      <c r="W811" s="132">
        <f>IF(AND(H811="L", V811&gt;=50%), "Pass",
IF(AND(H811="U", V811&gt;=60%), "Pass",
IF(AND(H811="O", V811&gt;=75%), "Pass", "Fail")))</f>
        <v/>
      </c>
      <c r="X811" s="132">
        <f>IF(AND(Q811="Pass", W811="Pass"), "Pass", "Fail")</f>
        <v/>
      </c>
      <c r="Y811" s="15">
        <f>IF($X811="Pass",$H811,
IF(H811="L","I",
IF(H811="U","L",
IF(H811="O","U",
"I"))))</f>
        <v/>
      </c>
    </row>
    <row r="812">
      <c r="A812" s="147">
        <f>ROW()-2</f>
        <v/>
      </c>
      <c r="B812" s="127" t="inlineStr">
        <is>
          <t>AK0877</t>
        </is>
      </c>
      <c r="C812" s="128" t="inlineStr">
        <is>
          <t>MAYANDI  A MATHAN</t>
        </is>
      </c>
      <c r="D812" s="127" t="inlineStr">
        <is>
          <t>PRODUCTION</t>
        </is>
      </c>
      <c r="E812" s="129" t="inlineStr">
        <is>
          <t>BIAS MARANGONI&amp;BESTRY</t>
        </is>
      </c>
      <c r="F812" s="130" t="n">
        <v>43550</v>
      </c>
      <c r="G812" s="131">
        <f>NOW()-F812</f>
        <v/>
      </c>
      <c r="H812" s="104" t="inlineStr">
        <is>
          <t>O</t>
        </is>
      </c>
      <c r="I812" s="104" t="inlineStr">
        <is>
          <t>U</t>
        </is>
      </c>
      <c r="J812" s="104" t="n">
        <v>8</v>
      </c>
      <c r="K812" s="104" t="n">
        <v>9</v>
      </c>
      <c r="L812" s="104" t="n">
        <v>10</v>
      </c>
      <c r="M812" s="104" t="n">
        <v>8</v>
      </c>
      <c r="N812" s="104" t="n"/>
      <c r="O812" s="104">
        <f>SUM(J812:N812)</f>
        <v/>
      </c>
      <c r="P812" s="12">
        <f>O812/IF(H812="L",20,IF(H812="U",30,IF(H812="O",40,IF(H812="I",20,""))))</f>
        <v/>
      </c>
      <c r="Q812" s="132">
        <f>IF(AND(H812="L", P812&gt;=50%), "Pass",
IF(AND(H812="U", P812&gt;=60%), "Pass",
IF(AND(H812="O", P812&gt;=75%), "Pass", "Fail")))</f>
        <v/>
      </c>
      <c r="R812" s="104" t="n"/>
      <c r="S812" s="104" t="n">
        <v>15</v>
      </c>
      <c r="T812" s="104" t="n">
        <v>12</v>
      </c>
      <c r="U812" s="104">
        <f>SUM(S812:T812)</f>
        <v/>
      </c>
      <c r="V812" s="12">
        <f>U812/IF(H812="L",35,IF(H812="U",35,IF(H812="O",35,IF(H812="I",35,""))))</f>
        <v/>
      </c>
      <c r="W812" s="132">
        <f>IF(AND(H812="L", V812&gt;=50%), "Pass",
IF(AND(H812="U", V812&gt;=60%), "Pass",
IF(AND(H812="O", V812&gt;=75%), "Pass", "Fail")))</f>
        <v/>
      </c>
      <c r="X812" s="132">
        <f>IF(AND(Q812="Pass", W812="Pass"), "Pass", "Fail")</f>
        <v/>
      </c>
      <c r="Y812" s="15">
        <f>IF($X812="Pass",$H812,
IF(H812="L","I",
IF(H812="U","L",
IF(H812="O","U",
"I"))))</f>
        <v/>
      </c>
    </row>
    <row r="813">
      <c r="A813" s="147">
        <f>ROW()-2</f>
        <v/>
      </c>
      <c r="B813" s="127" t="inlineStr">
        <is>
          <t>AK0878</t>
        </is>
      </c>
      <c r="C813" s="128" t="inlineStr">
        <is>
          <t>ESAKKI RAJA M</t>
        </is>
      </c>
      <c r="D813" s="127" t="inlineStr">
        <is>
          <t>PRODUCTION</t>
        </is>
      </c>
      <c r="E813" s="129" t="inlineStr">
        <is>
          <t>BIAS MARANGONI&amp;BESTRY</t>
        </is>
      </c>
      <c r="F813" s="130" t="n">
        <v>43550</v>
      </c>
      <c r="G813" s="131">
        <f>NOW()-F813</f>
        <v/>
      </c>
      <c r="H813" s="104" t="inlineStr">
        <is>
          <t>O</t>
        </is>
      </c>
      <c r="I813" s="104" t="inlineStr">
        <is>
          <t>U</t>
        </is>
      </c>
      <c r="J813" s="104" t="n">
        <v>7</v>
      </c>
      <c r="K813" s="104" t="n">
        <v>9</v>
      </c>
      <c r="L813" s="104" t="n">
        <v>10</v>
      </c>
      <c r="M813" s="104" t="n">
        <v>6</v>
      </c>
      <c r="N813" s="104" t="n"/>
      <c r="O813" s="104">
        <f>SUM(J813:N813)</f>
        <v/>
      </c>
      <c r="P813" s="12">
        <f>O813/IF(H813="L",20,IF(H813="U",30,IF(H813="O",40,IF(H813="I",20,""))))</f>
        <v/>
      </c>
      <c r="Q813" s="132">
        <f>IF(AND(H813="L", P813&gt;=50%), "Pass",
IF(AND(H813="U", P813&gt;=60%), "Pass",
IF(AND(H813="O", P813&gt;=75%), "Pass", "Fail")))</f>
        <v/>
      </c>
      <c r="R813" s="104" t="n"/>
      <c r="S813" s="104" t="n">
        <v>15</v>
      </c>
      <c r="T813" s="104" t="n">
        <v>12</v>
      </c>
      <c r="U813" s="104">
        <f>SUM(S813:T813)</f>
        <v/>
      </c>
      <c r="V813" s="12">
        <f>U813/IF(H813="L",35,IF(H813="U",35,IF(H813="O",35,IF(H813="I",35,""))))</f>
        <v/>
      </c>
      <c r="W813" s="132">
        <f>IF(AND(H813="L", V813&gt;=50%), "Pass",
IF(AND(H813="U", V813&gt;=60%), "Pass",
IF(AND(H813="O", V813&gt;=75%), "Pass", "Fail")))</f>
        <v/>
      </c>
      <c r="X813" s="132">
        <f>IF(AND(Q813="Pass", W813="Pass"), "Pass", "Fail")</f>
        <v/>
      </c>
      <c r="Y813" s="15">
        <f>IF($X813="Pass",$H813,
IF(H813="L","I",
IF(H813="U","L",
IF(H813="O","U",
"I"))))</f>
        <v/>
      </c>
    </row>
    <row r="814">
      <c r="A814" s="147">
        <f>ROW()-2</f>
        <v/>
      </c>
      <c r="B814" s="127" t="inlineStr">
        <is>
          <t>AK0879</t>
        </is>
      </c>
      <c r="C814" s="128" t="inlineStr">
        <is>
          <t>KARTHICK</t>
        </is>
      </c>
      <c r="D814" s="127" t="inlineStr">
        <is>
          <t>PRODUCTION</t>
        </is>
      </c>
      <c r="E814" s="129" t="inlineStr">
        <is>
          <t>BIAS MARANGONI&amp;BESTRY</t>
        </is>
      </c>
      <c r="F814" s="130" t="n">
        <v>43550</v>
      </c>
      <c r="G814" s="131">
        <f>NOW()-F814</f>
        <v/>
      </c>
      <c r="H814" s="104" t="inlineStr">
        <is>
          <t>O</t>
        </is>
      </c>
      <c r="I814" s="104" t="inlineStr">
        <is>
          <t>U</t>
        </is>
      </c>
      <c r="J814" s="104" t="n">
        <v>8</v>
      </c>
      <c r="K814" s="104" t="n">
        <v>9</v>
      </c>
      <c r="L814" s="104" t="n">
        <v>10</v>
      </c>
      <c r="M814" s="104" t="n">
        <v>7</v>
      </c>
      <c r="N814" s="104" t="n"/>
      <c r="O814" s="104">
        <f>SUM(J814:N814)</f>
        <v/>
      </c>
      <c r="P814" s="12">
        <f>O814/IF(H814="L",20,IF(H814="U",30,IF(H814="O",40,IF(H814="I",20,""))))</f>
        <v/>
      </c>
      <c r="Q814" s="132">
        <f>IF(AND(H814="L", P814&gt;=50%), "Pass",
IF(AND(H814="U", P814&gt;=60%), "Pass",
IF(AND(H814="O", P814&gt;=75%), "Pass", "Fail")))</f>
        <v/>
      </c>
      <c r="R814" s="104" t="n"/>
      <c r="S814" s="104" t="n">
        <v>15</v>
      </c>
      <c r="T814" s="104" t="n">
        <v>12</v>
      </c>
      <c r="U814" s="104">
        <f>SUM(S814:T814)</f>
        <v/>
      </c>
      <c r="V814" s="12">
        <f>U814/IF(H814="L",35,IF(H814="U",35,IF(H814="O",35,IF(H814="I",35,""))))</f>
        <v/>
      </c>
      <c r="W814" s="132">
        <f>IF(AND(H814="L", V814&gt;=50%), "Pass",
IF(AND(H814="U", V814&gt;=60%), "Pass",
IF(AND(H814="O", V814&gt;=75%), "Pass", "Fail")))</f>
        <v/>
      </c>
      <c r="X814" s="132">
        <f>IF(AND(Q814="Pass", W814="Pass"), "Pass", "Fail")</f>
        <v/>
      </c>
      <c r="Y814" s="15">
        <f>IF($X814="Pass",$H814,
IF(H814="L","I",
IF(H814="U","L",
IF(H814="O","U",
"I"))))</f>
        <v/>
      </c>
    </row>
    <row r="815">
      <c r="A815" s="147">
        <f>ROW()-2</f>
        <v/>
      </c>
      <c r="B815" s="127" t="inlineStr">
        <is>
          <t>AK0880</t>
        </is>
      </c>
      <c r="C815" s="128" t="inlineStr">
        <is>
          <t>MUTHUKUMAR N</t>
        </is>
      </c>
      <c r="D815" s="127" t="inlineStr">
        <is>
          <t>PRODUCTION</t>
        </is>
      </c>
      <c r="E815" s="129" t="inlineStr">
        <is>
          <t>BIAS MARANGONI&amp;BESTRY</t>
        </is>
      </c>
      <c r="F815" s="130" t="n">
        <v>43550</v>
      </c>
      <c r="G815" s="131">
        <f>NOW()-F815</f>
        <v/>
      </c>
      <c r="H815" s="104" t="inlineStr">
        <is>
          <t>O</t>
        </is>
      </c>
      <c r="I815" s="104" t="inlineStr">
        <is>
          <t>U</t>
        </is>
      </c>
      <c r="J815" s="104" t="n">
        <v>9</v>
      </c>
      <c r="K815" s="104" t="n">
        <v>9</v>
      </c>
      <c r="L815" s="104" t="n">
        <v>9</v>
      </c>
      <c r="M815" s="104" t="n">
        <v>8</v>
      </c>
      <c r="N815" s="104" t="n"/>
      <c r="O815" s="104">
        <f>SUM(J815:N815)</f>
        <v/>
      </c>
      <c r="P815" s="12">
        <f>O815/IF(H815="L",20,IF(H815="U",30,IF(H815="O",40,IF(H815="I",20,""))))</f>
        <v/>
      </c>
      <c r="Q815" s="132">
        <f>IF(AND(H815="L", P815&gt;=50%), "Pass",
IF(AND(H815="U", P815&gt;=60%), "Pass",
IF(AND(H815="O", P815&gt;=75%), "Pass", "Fail")))</f>
        <v/>
      </c>
      <c r="R815" s="104" t="n"/>
      <c r="S815" s="104" t="n">
        <v>16</v>
      </c>
      <c r="T815" s="104" t="n">
        <v>12</v>
      </c>
      <c r="U815" s="104">
        <f>SUM(S815:T815)</f>
        <v/>
      </c>
      <c r="V815" s="12">
        <f>U815/IF(H815="L",35,IF(H815="U",35,IF(H815="O",35,IF(H815="I",35,""))))</f>
        <v/>
      </c>
      <c r="W815" s="132">
        <f>IF(AND(H815="L", V815&gt;=50%), "Pass",
IF(AND(H815="U", V815&gt;=60%), "Pass",
IF(AND(H815="O", V815&gt;=75%), "Pass", "Fail")))</f>
        <v/>
      </c>
      <c r="X815" s="132">
        <f>IF(AND(Q815="Pass", W815="Pass"), "Pass", "Fail")</f>
        <v/>
      </c>
      <c r="Y815" s="15">
        <f>IF($X815="Pass",$H815,
IF(H815="L","I",
IF(H815="U","L",
IF(H815="O","U",
"I"))))</f>
        <v/>
      </c>
    </row>
    <row r="816">
      <c r="A816" s="147">
        <f>ROW()-2</f>
        <v/>
      </c>
      <c r="B816" s="127" t="inlineStr">
        <is>
          <t>AK0882</t>
        </is>
      </c>
      <c r="C816" s="128" t="inlineStr">
        <is>
          <t>MAHARAJA</t>
        </is>
      </c>
      <c r="D816" s="127" t="inlineStr">
        <is>
          <t>PRODUCTION</t>
        </is>
      </c>
      <c r="E816" s="129" t="inlineStr">
        <is>
          <t>BIAS MARANGONI&amp;BESTRY</t>
        </is>
      </c>
      <c r="F816" s="130" t="n">
        <v>43550</v>
      </c>
      <c r="G816" s="131">
        <f>NOW()-F816</f>
        <v/>
      </c>
      <c r="H816" s="104" t="inlineStr">
        <is>
          <t>O</t>
        </is>
      </c>
      <c r="I816" s="104" t="inlineStr">
        <is>
          <t>U</t>
        </is>
      </c>
      <c r="J816" s="104" t="n">
        <v>10</v>
      </c>
      <c r="K816" s="104" t="n">
        <v>9</v>
      </c>
      <c r="L816" s="104" t="n">
        <v>10</v>
      </c>
      <c r="M816" s="104" t="n">
        <v>7</v>
      </c>
      <c r="N816" s="104" t="n"/>
      <c r="O816" s="104">
        <f>SUM(J816:N816)</f>
        <v/>
      </c>
      <c r="P816" s="12">
        <f>O816/IF(H816="L",20,IF(H816="U",30,IF(H816="O",40,IF(H816="I",20,""))))</f>
        <v/>
      </c>
      <c r="Q816" s="132">
        <f>IF(AND(H816="L", P816&gt;=50%), "Pass",
IF(AND(H816="U", P816&gt;=60%), "Pass",
IF(AND(H816="O", P816&gt;=75%), "Pass", "Fail")))</f>
        <v/>
      </c>
      <c r="R816" s="104" t="n"/>
      <c r="S816" s="104" t="n">
        <v>16</v>
      </c>
      <c r="T816" s="104" t="n">
        <v>12</v>
      </c>
      <c r="U816" s="104">
        <f>SUM(S816:T816)</f>
        <v/>
      </c>
      <c r="V816" s="12">
        <f>U816/IF(H816="L",35,IF(H816="U",35,IF(H816="O",35,IF(H816="I",35,""))))</f>
        <v/>
      </c>
      <c r="W816" s="132">
        <f>IF(AND(H816="L", V816&gt;=50%), "Pass",
IF(AND(H816="U", V816&gt;=60%), "Pass",
IF(AND(H816="O", V816&gt;=75%), "Pass", "Fail")))</f>
        <v/>
      </c>
      <c r="X816" s="132">
        <f>IF(AND(Q816="Pass", W816="Pass"), "Pass", "Fail")</f>
        <v/>
      </c>
      <c r="Y816" s="15">
        <f>IF($X816="Pass",$H816,
IF(H816="L","I",
IF(H816="U","L",
IF(H816="O","U",
"I"))))</f>
        <v/>
      </c>
    </row>
    <row r="817">
      <c r="A817" s="147">
        <f>ROW()-2</f>
        <v/>
      </c>
      <c r="B817" s="127" t="inlineStr">
        <is>
          <t>SK2839</t>
        </is>
      </c>
      <c r="C817" s="128" t="inlineStr">
        <is>
          <t>SAKTHIVEL C</t>
        </is>
      </c>
      <c r="D817" s="127" t="inlineStr">
        <is>
          <t>PRODUCTION</t>
        </is>
      </c>
      <c r="E817" s="129" t="inlineStr">
        <is>
          <t>BIAS MARANGONI&amp;BESTRY</t>
        </is>
      </c>
      <c r="F817" s="130" t="n">
        <v>43550</v>
      </c>
      <c r="G817" s="131">
        <f>NOW()-F817</f>
        <v/>
      </c>
      <c r="H817" s="104" t="inlineStr">
        <is>
          <t>O</t>
        </is>
      </c>
      <c r="I817" s="104" t="inlineStr">
        <is>
          <t>U</t>
        </is>
      </c>
      <c r="J817" s="104" t="n">
        <v>9</v>
      </c>
      <c r="K817" s="104" t="n">
        <v>9</v>
      </c>
      <c r="L817" s="104" t="n">
        <v>8</v>
      </c>
      <c r="M817" s="104" t="n">
        <v>7</v>
      </c>
      <c r="N817" s="104" t="n"/>
      <c r="O817" s="104">
        <f>SUM(J817:N817)</f>
        <v/>
      </c>
      <c r="P817" s="12">
        <f>O817/IF(H817="L",20,IF(H817="U",30,IF(H817="O",40,IF(H817="I",20,""))))</f>
        <v/>
      </c>
      <c r="Q817" s="132">
        <f>IF(AND(H817="L", P817&gt;=50%), "Pass",
IF(AND(H817="U", P817&gt;=60%), "Pass",
IF(AND(H817="O", P817&gt;=75%), "Pass", "Fail")))</f>
        <v/>
      </c>
      <c r="R817" s="104" t="n"/>
      <c r="S817" s="104" t="n">
        <v>16</v>
      </c>
      <c r="T817" s="104" t="n">
        <v>12</v>
      </c>
      <c r="U817" s="104">
        <f>SUM(S817:T817)</f>
        <v/>
      </c>
      <c r="V817" s="12">
        <f>U817/IF(H817="L",35,IF(H817="U",35,IF(H817="O",35,IF(H817="I",35,""))))</f>
        <v/>
      </c>
      <c r="W817" s="132">
        <f>IF(AND(H817="L", V817&gt;=50%), "Pass",
IF(AND(H817="U", V817&gt;=60%), "Pass",
IF(AND(H817="O", V817&gt;=75%), "Pass", "Fail")))</f>
        <v/>
      </c>
      <c r="X817" s="132">
        <f>IF(AND(Q817="Pass", W817="Pass"), "Pass", "Fail")</f>
        <v/>
      </c>
      <c r="Y817" s="15">
        <f>IF($X817="Pass",$H817,
IF(H817="L","I",
IF(H817="U","L",
IF(H817="O","U",
"I"))))</f>
        <v/>
      </c>
    </row>
    <row r="818">
      <c r="A818" s="147">
        <f>ROW()-2</f>
        <v/>
      </c>
      <c r="B818" s="127" t="inlineStr">
        <is>
          <t>SK2842</t>
        </is>
      </c>
      <c r="C818" s="128" t="inlineStr">
        <is>
          <t>ARULSELVAN PAULRAJ</t>
        </is>
      </c>
      <c r="D818" s="127" t="inlineStr">
        <is>
          <t>PRODUCTION</t>
        </is>
      </c>
      <c r="E818" s="129" t="inlineStr">
        <is>
          <t>STEELASTIC</t>
        </is>
      </c>
      <c r="F818" s="130" t="n">
        <v>43555</v>
      </c>
      <c r="G818" s="131">
        <f>NOW()-F818</f>
        <v/>
      </c>
      <c r="H818" s="104" t="inlineStr">
        <is>
          <t>O</t>
        </is>
      </c>
      <c r="I818" s="104" t="inlineStr">
        <is>
          <t>U</t>
        </is>
      </c>
      <c r="J818" s="104" t="n">
        <v>9</v>
      </c>
      <c r="K818" s="104" t="n">
        <v>7</v>
      </c>
      <c r="L818" s="104" t="n">
        <v>5</v>
      </c>
      <c r="M818" s="104" t="n">
        <v>9</v>
      </c>
      <c r="N818" s="104" t="n"/>
      <c r="O818" s="104">
        <f>SUM(J818:N818)</f>
        <v/>
      </c>
      <c r="P818" s="12">
        <f>O818/IF(H818="L",20,IF(H818="U",30,IF(H818="O",40,IF(H818="I",20,""))))</f>
        <v/>
      </c>
      <c r="Q818" s="132">
        <f>IF(AND(H818="L", P818&gt;=50%), "Pass",
IF(AND(H818="U", P818&gt;=60%), "Pass",
IF(AND(H818="O", P818&gt;=75%), "Pass", "Fail")))</f>
        <v/>
      </c>
      <c r="R818" s="104" t="n"/>
      <c r="S818" s="104" t="n">
        <v>16</v>
      </c>
      <c r="T818" s="104" t="n">
        <v>13</v>
      </c>
      <c r="U818" s="104">
        <f>SUM(S818:T818)</f>
        <v/>
      </c>
      <c r="V818" s="12">
        <f>U818/IF(H818="L",35,IF(H818="U",35,IF(H818="O",35,IF(H818="I",35,""))))</f>
        <v/>
      </c>
      <c r="W818" s="132">
        <f>IF(AND(H818="L", V818&gt;=50%), "Pass",
IF(AND(H818="U", V818&gt;=60%), "Pass",
IF(AND(H818="O", V818&gt;=75%), "Pass", "Fail")))</f>
        <v/>
      </c>
      <c r="X818" s="132">
        <f>IF(AND(Q818="Pass", W818="Pass"), "Pass", "Fail")</f>
        <v/>
      </c>
      <c r="Y818" s="15">
        <f>IF($X818="Pass",$H818,
IF(H818="L","I",
IF(H818="U","L",
IF(H818="O","U",
"I"))))</f>
        <v/>
      </c>
    </row>
    <row r="819">
      <c r="A819" s="147">
        <f>ROW()-2</f>
        <v/>
      </c>
      <c r="B819" s="127" t="inlineStr">
        <is>
          <t>SK2849</t>
        </is>
      </c>
      <c r="C819" s="128" t="inlineStr">
        <is>
          <t>SUNIL  KUSHWAHA</t>
        </is>
      </c>
      <c r="D819" s="127" t="inlineStr">
        <is>
          <t>PRODUCTION</t>
        </is>
      </c>
      <c r="E819" s="129" t="inlineStr">
        <is>
          <t>TYRE BUILDING-P3</t>
        </is>
      </c>
      <c r="F819" s="130" t="n">
        <v>43572</v>
      </c>
      <c r="G819" s="131">
        <f>NOW()-F819</f>
        <v/>
      </c>
      <c r="H819" s="104" t="inlineStr">
        <is>
          <t>O</t>
        </is>
      </c>
      <c r="I819" s="104" t="inlineStr">
        <is>
          <t>U</t>
        </is>
      </c>
      <c r="J819" s="104" t="n">
        <v>9</v>
      </c>
      <c r="K819" s="104" t="n">
        <v>7</v>
      </c>
      <c r="L819" s="104" t="n">
        <v>6</v>
      </c>
      <c r="M819" s="104" t="n">
        <v>5</v>
      </c>
      <c r="N819" s="104" t="n"/>
      <c r="O819" s="104">
        <f>SUM(J819:N819)</f>
        <v/>
      </c>
      <c r="P819" s="12">
        <f>O819/IF(H819="L",20,IF(H819="U",30,IF(H819="O",40,IF(H819="I",20,""))))</f>
        <v/>
      </c>
      <c r="Q819" s="132">
        <f>IF(AND(H819="L", P819&gt;=50%), "Pass",
IF(AND(H819="U", P819&gt;=60%), "Pass",
IF(AND(H819="O", P819&gt;=75%), "Pass", "Fail")))</f>
        <v/>
      </c>
      <c r="R819" s="104" t="n"/>
      <c r="S819" s="104" t="n">
        <v>18</v>
      </c>
      <c r="T819" s="104" t="n">
        <v>14</v>
      </c>
      <c r="U819" s="104">
        <f>SUM(S819:T819)</f>
        <v/>
      </c>
      <c r="V819" s="12">
        <f>U819/IF(H819="L",35,IF(H819="U",35,IF(H819="O",35,IF(H819="I",35,""))))</f>
        <v/>
      </c>
      <c r="W819" s="132">
        <f>IF(AND(H819="L", V819&gt;=50%), "Pass",
IF(AND(H819="U", V819&gt;=60%), "Pass",
IF(AND(H819="O", V819&gt;=75%), "Pass", "Fail")))</f>
        <v/>
      </c>
      <c r="X819" s="132">
        <f>IF(AND(Q819="Pass", W819="Pass"), "Pass", "Fail")</f>
        <v/>
      </c>
      <c r="Y819" s="15">
        <f>IF($X819="Pass",$H819,
IF(H819="L","I",
IF(H819="U","L",
IF(H819="O","U",
"I"))))</f>
        <v/>
      </c>
    </row>
    <row r="820">
      <c r="A820" s="147">
        <f>ROW()-2</f>
        <v/>
      </c>
      <c r="B820" s="127" t="inlineStr">
        <is>
          <t>SR0944</t>
        </is>
      </c>
      <c r="C820" s="128" t="inlineStr">
        <is>
          <t>PERAMUKUMAR P</t>
        </is>
      </c>
      <c r="D820" s="127" t="inlineStr">
        <is>
          <t>PRODUCTION</t>
        </is>
      </c>
      <c r="E820" s="129" t="inlineStr">
        <is>
          <t>BAND BUILDING-P2</t>
        </is>
      </c>
      <c r="F820" s="130" t="n">
        <v>43572</v>
      </c>
      <c r="G820" s="131">
        <f>NOW()-F820</f>
        <v/>
      </c>
      <c r="H820" s="104" t="inlineStr">
        <is>
          <t>O</t>
        </is>
      </c>
      <c r="I820" s="104" t="inlineStr">
        <is>
          <t>U</t>
        </is>
      </c>
      <c r="J820" s="104" t="n">
        <v>9</v>
      </c>
      <c r="K820" s="104" t="n">
        <v>9</v>
      </c>
      <c r="L820" s="104" t="n">
        <v>7</v>
      </c>
      <c r="M820" s="104" t="n">
        <v>7</v>
      </c>
      <c r="N820" s="104" t="n"/>
      <c r="O820" s="104">
        <f>SUM(J820:N820)</f>
        <v/>
      </c>
      <c r="P820" s="12">
        <f>O820/IF(H820="L",20,IF(H820="U",30,IF(H820="O",40,IF(H820="I",20,""))))</f>
        <v/>
      </c>
      <c r="Q820" s="132">
        <f>IF(AND(H820="L", P820&gt;=50%), "Pass",
IF(AND(H820="U", P820&gt;=60%), "Pass",
IF(AND(H820="O", P820&gt;=75%), "Pass", "Fail")))</f>
        <v/>
      </c>
      <c r="R820" s="104" t="n"/>
      <c r="S820" s="104" t="n">
        <v>13</v>
      </c>
      <c r="T820" s="104" t="n">
        <v>9</v>
      </c>
      <c r="U820" s="104">
        <f>SUM(S820:T820)</f>
        <v/>
      </c>
      <c r="V820" s="12">
        <f>U820/IF(H820="L",35,IF(H820="U",35,IF(H820="O",35,IF(H820="I",35,""))))</f>
        <v/>
      </c>
      <c r="W820" s="132">
        <f>IF(AND(H820="L", V820&gt;=50%), "Pass",
IF(AND(H820="U", V820&gt;=60%), "Pass",
IF(AND(H820="O", V820&gt;=75%), "Pass", "Fail")))</f>
        <v/>
      </c>
      <c r="X820" s="132">
        <f>IF(AND(Q820="Pass", W820="Pass"), "Pass", "Fail")</f>
        <v/>
      </c>
      <c r="Y820" s="15">
        <f>IF($X820="Pass",$H820,
IF(H820="L","I",
IF(H820="U","L",
IF(H820="O","U",
"I"))))</f>
        <v/>
      </c>
    </row>
    <row r="821">
      <c r="A821" s="147">
        <f>ROW()-2</f>
        <v/>
      </c>
      <c r="B821" s="127" t="inlineStr">
        <is>
          <t>SR0945</t>
        </is>
      </c>
      <c r="C821" s="128" t="inlineStr">
        <is>
          <t>ARUMUGARAJA</t>
        </is>
      </c>
      <c r="D821" s="127" t="inlineStr">
        <is>
          <t>PRODUCTION</t>
        </is>
      </c>
      <c r="E821" s="129" t="inlineStr">
        <is>
          <t>BIAS CUTTING-4</t>
        </is>
      </c>
      <c r="F821" s="130" t="n">
        <v>43572</v>
      </c>
      <c r="G821" s="131">
        <f>NOW()-F821</f>
        <v/>
      </c>
      <c r="H821" s="104" t="inlineStr">
        <is>
          <t>O</t>
        </is>
      </c>
      <c r="I821" s="104" t="inlineStr">
        <is>
          <t>O</t>
        </is>
      </c>
      <c r="J821" s="104" t="n">
        <v>8</v>
      </c>
      <c r="K821" s="104" t="n">
        <v>5</v>
      </c>
      <c r="L821" s="104" t="n">
        <v>4</v>
      </c>
      <c r="M821" s="104" t="n">
        <v>8</v>
      </c>
      <c r="N821" s="104" t="n"/>
      <c r="O821" s="104">
        <f>SUM(J821:N821)</f>
        <v/>
      </c>
      <c r="P821" s="12">
        <f>O821/IF(H821="L",20,IF(H821="U",30,IF(H821="O",40,IF(H821="I",20,""))))</f>
        <v/>
      </c>
      <c r="Q821" s="132">
        <f>IF(AND(H821="L", P821&gt;=50%), "Pass",
IF(AND(H821="U", P821&gt;=60%), "Pass",
IF(AND(H821="O", P821&gt;=75%), "Pass", "Fail")))</f>
        <v/>
      </c>
      <c r="R821" s="104" t="n"/>
      <c r="S821" s="104" t="n">
        <v>16</v>
      </c>
      <c r="T821" s="104" t="n">
        <v>11</v>
      </c>
      <c r="U821" s="104">
        <f>SUM(S821:T821)</f>
        <v/>
      </c>
      <c r="V821" s="12">
        <f>U821/IF(H821="L",35,IF(H821="U",35,IF(H821="O",35,IF(H821="I",35,""))))</f>
        <v/>
      </c>
      <c r="W821" s="132">
        <f>IF(AND(H821="L", V821&gt;=50%), "Pass",
IF(AND(H821="U", V821&gt;=60%), "Pass",
IF(AND(H821="O", V821&gt;=75%), "Pass", "Fail")))</f>
        <v/>
      </c>
      <c r="X821" s="132">
        <f>IF(AND(Q821="Pass", W821="Pass"), "Pass", "Fail")</f>
        <v/>
      </c>
      <c r="Y821" s="15">
        <f>IF($X821="Pass",$H821,
IF(H821="L","I",
IF(H821="U","L",
IF(H821="O","U",
"I"))))</f>
        <v/>
      </c>
    </row>
    <row r="822">
      <c r="A822" s="147">
        <f>ROW()-2</f>
        <v/>
      </c>
      <c r="B822" s="127" t="inlineStr">
        <is>
          <t>AK0885</t>
        </is>
      </c>
      <c r="C822" s="128" t="inlineStr">
        <is>
          <t>C KRISHNAMOORTHY</t>
        </is>
      </c>
      <c r="D822" s="127" t="inlineStr">
        <is>
          <t>PRODUCTION</t>
        </is>
      </c>
      <c r="E822" s="129" t="inlineStr">
        <is>
          <t>RADIAL MARANGONI</t>
        </is>
      </c>
      <c r="F822" s="130" t="n">
        <v>43574</v>
      </c>
      <c r="G822" s="131">
        <f>NOW()-F822</f>
        <v/>
      </c>
      <c r="H822" s="104" t="inlineStr">
        <is>
          <t>O</t>
        </is>
      </c>
      <c r="I822" s="104" t="inlineStr">
        <is>
          <t>U</t>
        </is>
      </c>
      <c r="J822" s="104" t="n">
        <v>9</v>
      </c>
      <c r="K822" s="104" t="n">
        <v>9</v>
      </c>
      <c r="L822" s="104" t="n">
        <v>9</v>
      </c>
      <c r="M822" s="104" t="n">
        <v>7</v>
      </c>
      <c r="N822" s="104" t="n"/>
      <c r="O822" s="104">
        <f>SUM(J822:N822)</f>
        <v/>
      </c>
      <c r="P822" s="12">
        <f>O822/IF(H822="L",20,IF(H822="U",30,IF(H822="O",40,IF(H822="I",20,""))))</f>
        <v/>
      </c>
      <c r="Q822" s="132">
        <f>IF(AND(H822="L", P822&gt;=50%), "Pass",
IF(AND(H822="U", P822&gt;=60%), "Pass",
IF(AND(H822="O", P822&gt;=75%), "Pass", "Fail")))</f>
        <v/>
      </c>
      <c r="R822" s="104" t="n"/>
      <c r="S822" s="104" t="n">
        <v>13</v>
      </c>
      <c r="T822" s="104" t="n">
        <v>11</v>
      </c>
      <c r="U822" s="104">
        <f>SUM(S822:T822)</f>
        <v/>
      </c>
      <c r="V822" s="12">
        <f>U822/IF(H822="L",35,IF(H822="U",35,IF(H822="O",35,IF(H822="I",35,""))))</f>
        <v/>
      </c>
      <c r="W822" s="132">
        <f>IF(AND(H822="L", V822&gt;=50%), "Pass",
IF(AND(H822="U", V822&gt;=60%), "Pass",
IF(AND(H822="O", V822&gt;=75%), "Pass", "Fail")))</f>
        <v/>
      </c>
      <c r="X822" s="132">
        <f>IF(AND(Q822="Pass", W822="Pass"), "Pass", "Fail")</f>
        <v/>
      </c>
      <c r="Y822" s="15">
        <f>IF($X822="Pass",$H822,
IF(H822="L","I",
IF(H822="U","L",
IF(H822="O","U",
"I"))))</f>
        <v/>
      </c>
    </row>
    <row r="823">
      <c r="A823" s="147">
        <f>ROW()-2</f>
        <v/>
      </c>
      <c r="B823" s="127" t="inlineStr">
        <is>
          <t>AK0888</t>
        </is>
      </c>
      <c r="C823" s="128" t="inlineStr">
        <is>
          <t>A ANANTHASAMY</t>
        </is>
      </c>
      <c r="D823" s="127" t="inlineStr">
        <is>
          <t>PRODUCTION</t>
        </is>
      </c>
      <c r="E823" s="129" t="inlineStr">
        <is>
          <t>BIAS CUTTING-5</t>
        </is>
      </c>
      <c r="F823" s="130" t="n">
        <v>43592</v>
      </c>
      <c r="G823" s="131">
        <f>NOW()-F823</f>
        <v/>
      </c>
      <c r="H823" s="104" t="inlineStr">
        <is>
          <t>O</t>
        </is>
      </c>
      <c r="I823" s="104" t="inlineStr">
        <is>
          <t>U</t>
        </is>
      </c>
      <c r="J823" s="104" t="n">
        <v>9</v>
      </c>
      <c r="K823" s="104" t="n">
        <v>9</v>
      </c>
      <c r="L823" s="104" t="n">
        <v>8</v>
      </c>
      <c r="M823" s="104" t="n">
        <v>9</v>
      </c>
      <c r="N823" s="104" t="n"/>
      <c r="O823" s="104">
        <f>SUM(J823:N823)</f>
        <v/>
      </c>
      <c r="P823" s="12">
        <f>O823/IF(H823="L",20,IF(H823="U",30,IF(H823="O",40,IF(H823="I",20,""))))</f>
        <v/>
      </c>
      <c r="Q823" s="132">
        <f>IF(AND(H823="L", P823&gt;=50%), "Pass",
IF(AND(H823="U", P823&gt;=60%), "Pass",
IF(AND(H823="O", P823&gt;=75%), "Pass", "Fail")))</f>
        <v/>
      </c>
      <c r="R823" s="104" t="n"/>
      <c r="S823" s="104" t="n">
        <v>17</v>
      </c>
      <c r="T823" s="104" t="n">
        <v>12</v>
      </c>
      <c r="U823" s="104">
        <f>SUM(S823:T823)</f>
        <v/>
      </c>
      <c r="V823" s="12">
        <f>U823/IF(H823="L",35,IF(H823="U",35,IF(H823="O",35,IF(H823="I",35,""))))</f>
        <v/>
      </c>
      <c r="W823" s="132">
        <f>IF(AND(H823="L", V823&gt;=50%), "Pass",
IF(AND(H823="U", V823&gt;=60%), "Pass",
IF(AND(H823="O", V823&gt;=75%), "Pass", "Fail")))</f>
        <v/>
      </c>
      <c r="X823" s="132">
        <f>IF(AND(Q823="Pass", W823="Pass"), "Pass", "Fail")</f>
        <v/>
      </c>
      <c r="Y823" s="15">
        <f>IF($X823="Pass",$H823,
IF(H823="L","I",
IF(H823="U","L",
IF(H823="O","U",
"I"))))</f>
        <v/>
      </c>
    </row>
    <row r="824">
      <c r="A824" s="147">
        <f>ROW()-2</f>
        <v/>
      </c>
      <c r="B824" s="127" t="inlineStr">
        <is>
          <t>PK0986</t>
        </is>
      </c>
      <c r="C824" s="128" t="inlineStr">
        <is>
          <t>AKHILESH RAM</t>
        </is>
      </c>
      <c r="D824" s="127" t="inlineStr">
        <is>
          <t>PRODUCTION</t>
        </is>
      </c>
      <c r="E824" s="129" t="inlineStr">
        <is>
          <t>TYRE CURING</t>
        </is>
      </c>
      <c r="F824" s="130" t="n">
        <v>43593</v>
      </c>
      <c r="G824" s="131">
        <f>NOW()-F824</f>
        <v/>
      </c>
      <c r="H824" s="104" t="inlineStr">
        <is>
          <t>O</t>
        </is>
      </c>
      <c r="I824" s="104" t="inlineStr">
        <is>
          <t>O</t>
        </is>
      </c>
      <c r="J824" s="104" t="n">
        <v>9</v>
      </c>
      <c r="K824" s="104" t="n">
        <v>8</v>
      </c>
      <c r="L824" s="104" t="n">
        <v>8</v>
      </c>
      <c r="M824" s="104" t="n">
        <v>5</v>
      </c>
      <c r="N824" s="104" t="n"/>
      <c r="O824" s="104">
        <f>SUM(J824:N824)</f>
        <v/>
      </c>
      <c r="P824" s="12">
        <f>O824/IF(H824="L",20,IF(H824="U",30,IF(H824="O",40,IF(H824="I",20,""))))</f>
        <v/>
      </c>
      <c r="Q824" s="132">
        <f>IF(AND(H824="L", P824&gt;=50%), "Pass",
IF(AND(H824="U", P824&gt;=60%), "Pass",
IF(AND(H824="O", P824&gt;=75%), "Pass", "Fail")))</f>
        <v/>
      </c>
      <c r="R824" s="104" t="n"/>
      <c r="S824" s="104" t="n">
        <v>10</v>
      </c>
      <c r="T824" s="104" t="n">
        <v>8</v>
      </c>
      <c r="U824" s="104">
        <f>SUM(S824:T824)</f>
        <v/>
      </c>
      <c r="V824" s="12">
        <f>U824/IF(H824="L",35,IF(H824="U",35,IF(H824="O",35,IF(H824="I",35,""))))</f>
        <v/>
      </c>
      <c r="W824" s="132">
        <f>IF(AND(H824="L", V824&gt;=50%), "Pass",
IF(AND(H824="U", V824&gt;=60%), "Pass",
IF(AND(H824="O", V824&gt;=75%), "Pass", "Fail")))</f>
        <v/>
      </c>
      <c r="X824" s="132">
        <f>IF(AND(Q824="Pass", W824="Pass"), "Pass", "Fail")</f>
        <v/>
      </c>
      <c r="Y824" s="15">
        <f>IF($X824="Pass",$H824,
IF(H824="L","I",
IF(H824="U","L",
IF(H824="O","U",
"I"))))</f>
        <v/>
      </c>
    </row>
    <row r="825">
      <c r="A825" s="147">
        <f>ROW()-2</f>
        <v/>
      </c>
      <c r="B825" s="127" t="inlineStr">
        <is>
          <t>SK2858</t>
        </is>
      </c>
      <c r="C825" s="128" t="inlineStr">
        <is>
          <t>MICHEALRAJAN L</t>
        </is>
      </c>
      <c r="D825" s="127" t="inlineStr">
        <is>
          <t>PRODUCTION</t>
        </is>
      </c>
      <c r="E825" s="129" t="inlineStr">
        <is>
          <t>RADIAL MARANGONI</t>
        </is>
      </c>
      <c r="F825" s="130" t="n">
        <v>43601</v>
      </c>
      <c r="G825" s="131">
        <f>NOW()-F825</f>
        <v/>
      </c>
      <c r="H825" s="104" t="inlineStr">
        <is>
          <t>O</t>
        </is>
      </c>
      <c r="I825" s="104" t="inlineStr">
        <is>
          <t>O</t>
        </is>
      </c>
      <c r="J825" s="104" t="n">
        <v>9</v>
      </c>
      <c r="K825" s="104" t="n">
        <v>9</v>
      </c>
      <c r="L825" s="104" t="n">
        <v>9</v>
      </c>
      <c r="M825" s="104" t="n">
        <v>9</v>
      </c>
      <c r="N825" s="104" t="n"/>
      <c r="O825" s="104">
        <f>SUM(J825:N825)</f>
        <v/>
      </c>
      <c r="P825" s="12">
        <f>O825/IF(H825="L",20,IF(H825="U",30,IF(H825="O",40,IF(H825="I",20,""))))</f>
        <v/>
      </c>
      <c r="Q825" s="132">
        <f>IF(AND(H825="L", P825&gt;=50%), "Pass",
IF(AND(H825="U", P825&gt;=60%), "Pass",
IF(AND(H825="O", P825&gt;=75%), "Pass", "Fail")))</f>
        <v/>
      </c>
      <c r="R825" s="104" t="n"/>
      <c r="S825" s="104" t="n">
        <v>15</v>
      </c>
      <c r="T825" s="104" t="n">
        <v>12</v>
      </c>
      <c r="U825" s="104">
        <f>SUM(S825:T825)</f>
        <v/>
      </c>
      <c r="V825" s="12">
        <f>U825/IF(H825="L",35,IF(H825="U",35,IF(H825="O",35,IF(H825="I",35,""))))</f>
        <v/>
      </c>
      <c r="W825" s="132">
        <f>IF(AND(H825="L", V825&gt;=50%), "Pass",
IF(AND(H825="U", V825&gt;=60%), "Pass",
IF(AND(H825="O", V825&gt;=75%), "Pass", "Fail")))</f>
        <v/>
      </c>
      <c r="X825" s="132">
        <f>IF(AND(Q825="Pass", W825="Pass"), "Pass", "Fail")</f>
        <v/>
      </c>
      <c r="Y825" s="15">
        <f>IF($X825="Pass",$H825,
IF(H825="L","I",
IF(H825="U","L",
IF(H825="O","U",
"I"))))</f>
        <v/>
      </c>
    </row>
    <row r="826">
      <c r="A826" s="147">
        <f>ROW()-2</f>
        <v/>
      </c>
      <c r="B826" s="127" t="inlineStr">
        <is>
          <t>AK0903</t>
        </is>
      </c>
      <c r="C826" s="128" t="inlineStr">
        <is>
          <t>MAHARAJA D</t>
        </is>
      </c>
      <c r="D826" s="127" t="inlineStr">
        <is>
          <t>PRODUCTION</t>
        </is>
      </c>
      <c r="E826" s="129" t="inlineStr">
        <is>
          <t>TYRE BUILDING-P3</t>
        </is>
      </c>
      <c r="F826" s="130" t="n">
        <v>43605</v>
      </c>
      <c r="G826" s="131">
        <f>NOW()-F826</f>
        <v/>
      </c>
      <c r="H826" s="104" t="inlineStr">
        <is>
          <t>O</t>
        </is>
      </c>
      <c r="I826" s="104" t="inlineStr">
        <is>
          <t>U</t>
        </is>
      </c>
      <c r="J826" s="104" t="n">
        <v>10</v>
      </c>
      <c r="K826" s="104" t="n">
        <v>8</v>
      </c>
      <c r="L826" s="104" t="n">
        <v>5</v>
      </c>
      <c r="M826" s="104" t="n">
        <v>9</v>
      </c>
      <c r="N826" s="104" t="n"/>
      <c r="O826" s="104">
        <f>SUM(J826:N826)</f>
        <v/>
      </c>
      <c r="P826" s="12">
        <f>O826/IF(H826="L",20,IF(H826="U",30,IF(H826="O",40,IF(H826="I",20,""))))</f>
        <v/>
      </c>
      <c r="Q826" s="132">
        <f>IF(AND(H826="L", P826&gt;=50%), "Pass",
IF(AND(H826="U", P826&gt;=60%), "Pass",
IF(AND(H826="O", P826&gt;=75%), "Pass", "Fail")))</f>
        <v/>
      </c>
      <c r="R826" s="104" t="n"/>
      <c r="S826" s="104" t="n">
        <v>18</v>
      </c>
      <c r="T826" s="104" t="n">
        <v>14</v>
      </c>
      <c r="U826" s="104">
        <f>SUM(S826:T826)</f>
        <v/>
      </c>
      <c r="V826" s="12">
        <f>U826/IF(H826="L",35,IF(H826="U",35,IF(H826="O",35,IF(H826="I",35,""))))</f>
        <v/>
      </c>
      <c r="W826" s="132">
        <f>IF(AND(H826="L", V826&gt;=50%), "Pass",
IF(AND(H826="U", V826&gt;=60%), "Pass",
IF(AND(H826="O", V826&gt;=75%), "Pass", "Fail")))</f>
        <v/>
      </c>
      <c r="X826" s="132">
        <f>IF(AND(Q826="Pass", W826="Pass"), "Pass", "Fail")</f>
        <v/>
      </c>
      <c r="Y826" s="15">
        <f>IF($X826="Pass",$H826,
IF(H826="L","I",
IF(H826="U","L",
IF(H826="O","U",
"I"))))</f>
        <v/>
      </c>
    </row>
    <row r="827">
      <c r="A827" s="147">
        <f>ROW()-2</f>
        <v/>
      </c>
      <c r="B827" s="127" t="inlineStr">
        <is>
          <t>PK0988</t>
        </is>
      </c>
      <c r="C827" s="128" t="inlineStr">
        <is>
          <t>SUDALAIMUTHU RAVIKUMAR</t>
        </is>
      </c>
      <c r="D827" s="127" t="inlineStr">
        <is>
          <t>PRODUCTION</t>
        </is>
      </c>
      <c r="E827" s="129" t="inlineStr">
        <is>
          <t>TYRE BUILDING-P3</t>
        </is>
      </c>
      <c r="F827" s="130" t="n">
        <v>43605</v>
      </c>
      <c r="G827" s="131">
        <f>NOW()-F827</f>
        <v/>
      </c>
      <c r="H827" s="104" t="inlineStr">
        <is>
          <t>O</t>
        </is>
      </c>
      <c r="I827" s="104" t="inlineStr">
        <is>
          <t>U</t>
        </is>
      </c>
      <c r="J827" s="104" t="n">
        <v>10</v>
      </c>
      <c r="K827" s="104" t="n">
        <v>9</v>
      </c>
      <c r="L827" s="104" t="n">
        <v>5</v>
      </c>
      <c r="M827" s="104" t="n">
        <v>9</v>
      </c>
      <c r="N827" s="104" t="n"/>
      <c r="O827" s="104">
        <f>SUM(J827:N827)</f>
        <v/>
      </c>
      <c r="P827" s="12">
        <f>O827/IF(H827="L",20,IF(H827="U",30,IF(H827="O",40,IF(H827="I",20,""))))</f>
        <v/>
      </c>
      <c r="Q827" s="132">
        <f>IF(AND(H827="L", P827&gt;=50%), "Pass",
IF(AND(H827="U", P827&gt;=60%), "Pass",
IF(AND(H827="O", P827&gt;=75%), "Pass", "Fail")))</f>
        <v/>
      </c>
      <c r="R827" s="104" t="n"/>
      <c r="S827" s="104" t="n">
        <v>19</v>
      </c>
      <c r="T827" s="104" t="n">
        <v>14</v>
      </c>
      <c r="U827" s="104">
        <f>SUM(S827:T827)</f>
        <v/>
      </c>
      <c r="V827" s="12">
        <f>U827/IF(H827="L",35,IF(H827="U",35,IF(H827="O",35,IF(H827="I",35,""))))</f>
        <v/>
      </c>
      <c r="W827" s="132">
        <f>IF(AND(H827="L", V827&gt;=50%), "Pass",
IF(AND(H827="U", V827&gt;=60%), "Pass",
IF(AND(H827="O", V827&gt;=75%), "Pass", "Fail")))</f>
        <v/>
      </c>
      <c r="X827" s="132">
        <f>IF(AND(Q827="Pass", W827="Pass"), "Pass", "Fail")</f>
        <v/>
      </c>
      <c r="Y827" s="15">
        <f>IF($X827="Pass",$H827,
IF(H827="L","I",
IF(H827="U","L",
IF(H827="O","U",
"I"))))</f>
        <v/>
      </c>
    </row>
    <row r="828">
      <c r="A828" s="147">
        <f>ROW()-2</f>
        <v/>
      </c>
      <c r="B828" s="127" t="inlineStr">
        <is>
          <t>PK0989</t>
        </is>
      </c>
      <c r="C828" s="128" t="inlineStr">
        <is>
          <t>SUBBIAH</t>
        </is>
      </c>
      <c r="D828" s="127" t="inlineStr">
        <is>
          <t>PRODUCTION</t>
        </is>
      </c>
      <c r="E828" s="129" t="inlineStr">
        <is>
          <t>TYRE BUILDING-P3</t>
        </is>
      </c>
      <c r="F828" s="130" t="n">
        <v>43605</v>
      </c>
      <c r="G828" s="131">
        <f>NOW()-F828</f>
        <v/>
      </c>
      <c r="H828" s="104" t="inlineStr">
        <is>
          <t>O</t>
        </is>
      </c>
      <c r="I828" s="104" t="inlineStr">
        <is>
          <t>U</t>
        </is>
      </c>
      <c r="J828" s="104" t="n">
        <v>10</v>
      </c>
      <c r="K828" s="104" t="n">
        <v>8</v>
      </c>
      <c r="L828" s="104" t="n">
        <v>2</v>
      </c>
      <c r="M828" s="104" t="n">
        <v>9</v>
      </c>
      <c r="N828" s="104" t="n"/>
      <c r="O828" s="104">
        <f>SUM(J828:N828)</f>
        <v/>
      </c>
      <c r="P828" s="12">
        <f>O828/IF(H828="L",20,IF(H828="U",30,IF(H828="O",40,IF(H828="I",20,""))))</f>
        <v/>
      </c>
      <c r="Q828" s="132">
        <f>IF(AND(H828="L", P828&gt;=50%), "Pass",
IF(AND(H828="U", P828&gt;=60%), "Pass",
IF(AND(H828="O", P828&gt;=75%), "Pass", "Fail")))</f>
        <v/>
      </c>
      <c r="R828" s="104" t="n"/>
      <c r="S828" s="104" t="n">
        <v>18</v>
      </c>
      <c r="T828" s="104" t="n">
        <v>15</v>
      </c>
      <c r="U828" s="104">
        <f>SUM(S828:T828)</f>
        <v/>
      </c>
      <c r="V828" s="12">
        <f>U828/IF(H828="L",35,IF(H828="U",35,IF(H828="O",35,IF(H828="I",35,""))))</f>
        <v/>
      </c>
      <c r="W828" s="132">
        <f>IF(AND(H828="L", V828&gt;=50%), "Pass",
IF(AND(H828="U", V828&gt;=60%), "Pass",
IF(AND(H828="O", V828&gt;=75%), "Pass", "Fail")))</f>
        <v/>
      </c>
      <c r="X828" s="132">
        <f>IF(AND(Q828="Pass", W828="Pass"), "Pass", "Fail")</f>
        <v/>
      </c>
      <c r="Y828" s="15">
        <f>IF($X828="Pass",$H828,
IF(H828="L","I",
IF(H828="U","L",
IF(H828="O","U",
"I"))))</f>
        <v/>
      </c>
    </row>
    <row r="829">
      <c r="A829" s="147">
        <f>ROW()-2</f>
        <v/>
      </c>
      <c r="B829" s="127" t="inlineStr">
        <is>
          <t>KK1053</t>
        </is>
      </c>
      <c r="C829" s="128" t="inlineStr">
        <is>
          <t>SUDHAKAR E</t>
        </is>
      </c>
      <c r="D829" s="127" t="inlineStr">
        <is>
          <t>PRODUCTION</t>
        </is>
      </c>
      <c r="E829" s="129" t="inlineStr">
        <is>
          <t>TYRE CURING</t>
        </is>
      </c>
      <c r="F829" s="130" t="n">
        <v>43606</v>
      </c>
      <c r="G829" s="131">
        <f>NOW()-F829</f>
        <v/>
      </c>
      <c r="H829" s="104" t="inlineStr">
        <is>
          <t>O</t>
        </is>
      </c>
      <c r="I829" s="104" t="inlineStr">
        <is>
          <t>O</t>
        </is>
      </c>
      <c r="J829" s="104" t="n">
        <v>7</v>
      </c>
      <c r="K829" s="104" t="n">
        <v>5</v>
      </c>
      <c r="L829" s="104" t="n">
        <v>5</v>
      </c>
      <c r="M829" s="104" t="n">
        <v>3</v>
      </c>
      <c r="N829" s="104" t="n"/>
      <c r="O829" s="104">
        <f>SUM(J829:N829)</f>
        <v/>
      </c>
      <c r="P829" s="12">
        <f>O829/IF(H829="L",20,IF(H829="U",30,IF(H829="O",40,IF(H829="I",20,""))))</f>
        <v/>
      </c>
      <c r="Q829" s="132">
        <f>IF(AND(H829="L", P829&gt;=50%), "Pass",
IF(AND(H829="U", P829&gt;=60%), "Pass",
IF(AND(H829="O", P829&gt;=75%), "Pass", "Fail")))</f>
        <v/>
      </c>
      <c r="R829" s="104" t="n"/>
      <c r="S829" s="104" t="n">
        <v>12</v>
      </c>
      <c r="T829" s="104" t="n">
        <v>11</v>
      </c>
      <c r="U829" s="104">
        <f>SUM(S829:T829)</f>
        <v/>
      </c>
      <c r="V829" s="12">
        <f>U829/IF(H829="L",35,IF(H829="U",35,IF(H829="O",35,IF(H829="I",35,""))))</f>
        <v/>
      </c>
      <c r="W829" s="132">
        <f>IF(AND(H829="L", V829&gt;=50%), "Pass",
IF(AND(H829="U", V829&gt;=60%), "Pass",
IF(AND(H829="O", V829&gt;=75%), "Pass", "Fail")))</f>
        <v/>
      </c>
      <c r="X829" s="132">
        <f>IF(AND(Q829="Pass", W829="Pass"), "Pass", "Fail")</f>
        <v/>
      </c>
      <c r="Y829" s="15">
        <f>IF($X829="Pass",$H829,
IF(H829="L","I",
IF(H829="U","L",
IF(H829="O","U",
"I"))))</f>
        <v/>
      </c>
      <c r="Z829" s="81">
        <f>V829-75%</f>
        <v/>
      </c>
    </row>
    <row r="830">
      <c r="A830" s="147">
        <f>ROW()-2</f>
        <v/>
      </c>
      <c r="B830" s="127" t="inlineStr">
        <is>
          <t>SK2866</t>
        </is>
      </c>
      <c r="C830" s="128" t="inlineStr">
        <is>
          <t>MANIKANDAN SENTHILKUMAR</t>
        </is>
      </c>
      <c r="D830" s="127" t="inlineStr">
        <is>
          <t>PRODUCTION</t>
        </is>
      </c>
      <c r="E830" s="129" t="inlineStr">
        <is>
          <t>TYRE BUILDING-P3</t>
        </is>
      </c>
      <c r="F830" s="130" t="n">
        <v>43606</v>
      </c>
      <c r="G830" s="131">
        <f>NOW()-F830</f>
        <v/>
      </c>
      <c r="H830" s="104" t="inlineStr">
        <is>
          <t>O</t>
        </is>
      </c>
      <c r="I830" s="104" t="inlineStr">
        <is>
          <t>U</t>
        </is>
      </c>
      <c r="J830" s="104" t="n">
        <v>10</v>
      </c>
      <c r="K830" s="104" t="n">
        <v>9</v>
      </c>
      <c r="L830" s="104" t="n">
        <v>6</v>
      </c>
      <c r="M830" s="104" t="n">
        <v>9</v>
      </c>
      <c r="N830" s="104" t="n"/>
      <c r="O830" s="104">
        <f>SUM(J830:N830)</f>
        <v/>
      </c>
      <c r="P830" s="12">
        <f>O830/IF(H830="L",20,IF(H830="U",30,IF(H830="O",40,IF(H830="I",20,""))))</f>
        <v/>
      </c>
      <c r="Q830" s="132">
        <f>IF(AND(H830="L", P830&gt;=50%), "Pass",
IF(AND(H830="U", P830&gt;=60%), "Pass",
IF(AND(H830="O", P830&gt;=75%), "Pass", "Fail")))</f>
        <v/>
      </c>
      <c r="R830" s="104" t="n"/>
      <c r="S830" s="104" t="n">
        <v>18</v>
      </c>
      <c r="T830" s="104" t="n">
        <v>14</v>
      </c>
      <c r="U830" s="104">
        <f>SUM(S830:T830)</f>
        <v/>
      </c>
      <c r="V830" s="12">
        <f>U830/IF(H830="L",35,IF(H830="U",35,IF(H830="O",35,IF(H830="I",35,""))))</f>
        <v/>
      </c>
      <c r="W830" s="132">
        <f>IF(AND(H830="L", V830&gt;=50%), "Pass",
IF(AND(H830="U", V830&gt;=60%), "Pass",
IF(AND(H830="O", V830&gt;=75%), "Pass", "Fail")))</f>
        <v/>
      </c>
      <c r="X830" s="132">
        <f>IF(AND(Q830="Pass", W830="Pass"), "Pass", "Fail")</f>
        <v/>
      </c>
      <c r="Y830" s="15">
        <f>IF($X830="Pass",$H830,
IF(H830="L","I",
IF(H830="U","L",
IF(H830="O","U",
"I"))))</f>
        <v/>
      </c>
    </row>
    <row r="831">
      <c r="A831" s="147">
        <f>ROW()-2</f>
        <v/>
      </c>
      <c r="B831" s="127" t="inlineStr">
        <is>
          <t>SK2868</t>
        </is>
      </c>
      <c r="C831" s="128" t="inlineStr">
        <is>
          <t>MARIAPPAN A MATHAN</t>
        </is>
      </c>
      <c r="D831" s="127" t="inlineStr">
        <is>
          <t>PRODUCTION</t>
        </is>
      </c>
      <c r="E831" s="129" t="inlineStr">
        <is>
          <t>TYRE CURING</t>
        </is>
      </c>
      <c r="F831" s="130" t="n">
        <v>43606</v>
      </c>
      <c r="G831" s="131">
        <f>NOW()-F831</f>
        <v/>
      </c>
      <c r="H831" s="104" t="inlineStr">
        <is>
          <t>O</t>
        </is>
      </c>
      <c r="I831" s="104" t="inlineStr">
        <is>
          <t>U</t>
        </is>
      </c>
      <c r="J831" s="104" t="n">
        <v>9</v>
      </c>
      <c r="K831" s="104" t="n">
        <v>9</v>
      </c>
      <c r="L831" s="104" t="n">
        <v>6</v>
      </c>
      <c r="M831" s="104" t="n">
        <v>4</v>
      </c>
      <c r="N831" s="104" t="n"/>
      <c r="O831" s="104">
        <f>SUM(J831:N831)</f>
        <v/>
      </c>
      <c r="P831" s="12">
        <f>O831/IF(H831="L",20,IF(H831="U",30,IF(H831="O",40,IF(H831="I",20,""))))</f>
        <v/>
      </c>
      <c r="Q831" s="132">
        <f>IF(AND(H831="L", P831&gt;=50%), "Pass",
IF(AND(H831="U", P831&gt;=60%), "Pass",
IF(AND(H831="O", P831&gt;=75%), "Pass", "Fail")))</f>
        <v/>
      </c>
      <c r="R831" s="104" t="n"/>
      <c r="S831" s="104" t="n">
        <v>15</v>
      </c>
      <c r="T831" s="104" t="n">
        <v>12</v>
      </c>
      <c r="U831" s="104">
        <f>SUM(S831:T831)</f>
        <v/>
      </c>
      <c r="V831" s="12">
        <f>U831/IF(H831="L",35,IF(H831="U",35,IF(H831="O",35,IF(H831="I",35,""))))</f>
        <v/>
      </c>
      <c r="W831" s="132">
        <f>IF(AND(H831="L", V831&gt;=50%), "Pass",
IF(AND(H831="U", V831&gt;=60%), "Pass",
IF(AND(H831="O", V831&gt;=75%), "Pass", "Fail")))</f>
        <v/>
      </c>
      <c r="X831" s="132">
        <f>IF(AND(Q831="Pass", W831="Pass"), "Pass", "Fail")</f>
        <v/>
      </c>
      <c r="Y831" s="15">
        <f>IF($X831="Pass",$H831,
IF(H831="L","I",
IF(H831="U","L",
IF(H831="O","U",
"I"))))</f>
        <v/>
      </c>
    </row>
    <row r="832">
      <c r="A832" s="147">
        <f>ROW()-2</f>
        <v/>
      </c>
      <c r="B832" s="127" t="inlineStr">
        <is>
          <t>SK2872</t>
        </is>
      </c>
      <c r="C832" s="128" t="inlineStr">
        <is>
          <t>THASARATHAN N</t>
        </is>
      </c>
      <c r="D832" s="127" t="inlineStr">
        <is>
          <t>PRODUCTION</t>
        </is>
      </c>
      <c r="E832" s="129" t="inlineStr">
        <is>
          <t>TYRE BUILDING-P3</t>
        </is>
      </c>
      <c r="F832" s="130" t="n">
        <v>43608</v>
      </c>
      <c r="G832" s="131">
        <f>NOW()-F832</f>
        <v/>
      </c>
      <c r="H832" s="104" t="inlineStr">
        <is>
          <t>O</t>
        </is>
      </c>
      <c r="I832" s="104" t="inlineStr">
        <is>
          <t>O</t>
        </is>
      </c>
      <c r="J832" s="104" t="n">
        <v>10</v>
      </c>
      <c r="K832" s="104" t="n">
        <v>10</v>
      </c>
      <c r="L832" s="104" t="n">
        <v>6</v>
      </c>
      <c r="M832" s="104" t="n">
        <v>9</v>
      </c>
      <c r="N832" s="104" t="n"/>
      <c r="O832" s="104">
        <f>SUM(J832:N832)</f>
        <v/>
      </c>
      <c r="P832" s="12">
        <f>O832/IF(H832="L",20,IF(H832="U",30,IF(H832="O",40,IF(H832="I",20,""))))</f>
        <v/>
      </c>
      <c r="Q832" s="132">
        <f>IF(AND(H832="L", P832&gt;=50%), "Pass",
IF(AND(H832="U", P832&gt;=60%), "Pass",
IF(AND(H832="O", P832&gt;=75%), "Pass", "Fail")))</f>
        <v/>
      </c>
      <c r="R832" s="104" t="n"/>
      <c r="S832" s="104" t="n">
        <v>18</v>
      </c>
      <c r="T832" s="104" t="n">
        <v>15</v>
      </c>
      <c r="U832" s="104">
        <f>SUM(S832:T832)</f>
        <v/>
      </c>
      <c r="V832" s="12">
        <f>U832/IF(H832="L",35,IF(H832="U",35,IF(H832="O",35,IF(H832="I",35,""))))</f>
        <v/>
      </c>
      <c r="W832" s="132">
        <f>IF(AND(H832="L", V832&gt;=50%), "Pass",
IF(AND(H832="U", V832&gt;=60%), "Pass",
IF(AND(H832="O", V832&gt;=75%), "Pass", "Fail")))</f>
        <v/>
      </c>
      <c r="X832" s="132">
        <f>IF(AND(Q832="Pass", W832="Pass"), "Pass", "Fail")</f>
        <v/>
      </c>
      <c r="Y832" s="15">
        <f>IF($X832="Pass",$H832,
IF(H832="L","I",
IF(H832="U","L",
IF(H832="O","U",
"I"))))</f>
        <v/>
      </c>
    </row>
    <row r="833">
      <c r="A833" s="147">
        <f>ROW()-2</f>
        <v/>
      </c>
      <c r="B833" s="127" t="inlineStr">
        <is>
          <t>SR0968</t>
        </is>
      </c>
      <c r="C833" s="128" t="inlineStr">
        <is>
          <t>MUTHUKRISHNAN M</t>
        </is>
      </c>
      <c r="D833" s="127" t="inlineStr">
        <is>
          <t>PRODUCTION</t>
        </is>
      </c>
      <c r="E833" s="129" t="inlineStr">
        <is>
          <t>BAND BUILDING-P1</t>
        </is>
      </c>
      <c r="F833" s="130" t="n">
        <v>43619</v>
      </c>
      <c r="G833" s="131">
        <f>NOW()-F833</f>
        <v/>
      </c>
      <c r="H833" s="104" t="inlineStr">
        <is>
          <t>O</t>
        </is>
      </c>
      <c r="I833" s="104" t="inlineStr">
        <is>
          <t>U</t>
        </is>
      </c>
      <c r="J833" s="104" t="n">
        <v>10</v>
      </c>
      <c r="K833" s="104" t="n">
        <v>8</v>
      </c>
      <c r="L833" s="104" t="n">
        <v>7</v>
      </c>
      <c r="M833" s="104" t="n">
        <v>6</v>
      </c>
      <c r="N833" s="104" t="n"/>
      <c r="O833" s="104">
        <f>SUM(J833:N833)</f>
        <v/>
      </c>
      <c r="P833" s="12">
        <f>O833/IF(H833="L",20,IF(H833="U",30,IF(H833="O",40,IF(H833="I",20,""))))</f>
        <v/>
      </c>
      <c r="Q833" s="132">
        <f>IF(AND(H833="L", P833&gt;=50%), "Pass",
IF(AND(H833="U", P833&gt;=60%), "Pass",
IF(AND(H833="O", P833&gt;=75%), "Pass", "Fail")))</f>
        <v/>
      </c>
      <c r="R833" s="104" t="n"/>
      <c r="S833" s="104" t="n">
        <v>17</v>
      </c>
      <c r="T833" s="104" t="n">
        <v>15</v>
      </c>
      <c r="U833" s="104">
        <f>SUM(S833:T833)</f>
        <v/>
      </c>
      <c r="V833" s="12">
        <f>U833/IF(H833="L",35,IF(H833="U",35,IF(H833="O",35,IF(H833="I",35,""))))</f>
        <v/>
      </c>
      <c r="W833" s="132">
        <f>IF(AND(H833="L", V833&gt;=50%), "Pass",
IF(AND(H833="U", V833&gt;=60%), "Pass",
IF(AND(H833="O", V833&gt;=75%), "Pass", "Fail")))</f>
        <v/>
      </c>
      <c r="X833" s="132">
        <f>IF(AND(Q833="Pass", W833="Pass"), "Pass", "Fail")</f>
        <v/>
      </c>
      <c r="Y833" s="15">
        <f>IF($X833="Pass",$H833,
IF(H833="L","I",
IF(H833="U","L",
IF(H833="O","U",
"I"))))</f>
        <v/>
      </c>
    </row>
    <row r="834">
      <c r="A834" s="147">
        <f>ROW()-2</f>
        <v/>
      </c>
      <c r="B834" s="127" t="inlineStr">
        <is>
          <t>SR0972</t>
        </is>
      </c>
      <c r="C834" s="128" t="inlineStr">
        <is>
          <t>MARIYAPPAN P</t>
        </is>
      </c>
      <c r="D834" s="127" t="inlineStr">
        <is>
          <t>PRODUCTION</t>
        </is>
      </c>
      <c r="E834" s="129" t="inlineStr">
        <is>
          <t>TYRE BUILDING-P3</t>
        </is>
      </c>
      <c r="F834" s="130" t="n">
        <v>43623</v>
      </c>
      <c r="G834" s="131">
        <f>NOW()-F834</f>
        <v/>
      </c>
      <c r="H834" s="104" t="inlineStr">
        <is>
          <t>O</t>
        </is>
      </c>
      <c r="I834" s="104" t="inlineStr">
        <is>
          <t>O</t>
        </is>
      </c>
      <c r="J834" s="104" t="n">
        <v>8</v>
      </c>
      <c r="K834" s="104" t="n">
        <v>7</v>
      </c>
      <c r="L834" s="104" t="n">
        <v>9</v>
      </c>
      <c r="M834" s="104" t="n">
        <v>8</v>
      </c>
      <c r="N834" s="104" t="n"/>
      <c r="O834" s="104">
        <f>SUM(J834:N834)</f>
        <v/>
      </c>
      <c r="P834" s="12">
        <f>O834/IF(H834="L",20,IF(H834="U",30,IF(H834="O",40,IF(H834="I",20,""))))</f>
        <v/>
      </c>
      <c r="Q834" s="132">
        <f>IF(AND(H834="L", P834&gt;=50%), "Pass",
IF(AND(H834="U", P834&gt;=60%), "Pass",
IF(AND(H834="O", P834&gt;=75%), "Pass", "Fail")))</f>
        <v/>
      </c>
      <c r="R834" s="104" t="n"/>
      <c r="S834" s="104" t="n">
        <v>17</v>
      </c>
      <c r="T834" s="104" t="n">
        <v>14</v>
      </c>
      <c r="U834" s="104">
        <f>SUM(S834:T834)</f>
        <v/>
      </c>
      <c r="V834" s="12">
        <f>U834/IF(H834="L",35,IF(H834="U",35,IF(H834="O",35,IF(H834="I",35,""))))</f>
        <v/>
      </c>
      <c r="W834" s="132">
        <f>IF(AND(H834="L", V834&gt;=50%), "Pass",
IF(AND(H834="U", V834&gt;=60%), "Pass",
IF(AND(H834="O", V834&gt;=75%), "Pass", "Fail")))</f>
        <v/>
      </c>
      <c r="X834" s="132">
        <f>IF(AND(Q834="Pass", W834="Pass"), "Pass", "Fail")</f>
        <v/>
      </c>
      <c r="Y834" s="15">
        <f>IF($X834="Pass",$H834,
IF(H834="L","I",
IF(H834="U","L",
IF(H834="O","U",
"I"))))</f>
        <v/>
      </c>
    </row>
    <row r="835">
      <c r="A835" s="147">
        <f>ROW()-2</f>
        <v/>
      </c>
      <c r="B835" s="127" t="inlineStr">
        <is>
          <t>MG1335</t>
        </is>
      </c>
      <c r="C835" s="128" t="inlineStr">
        <is>
          <t>VASUDEVAN</t>
        </is>
      </c>
      <c r="D835" s="127" t="inlineStr">
        <is>
          <t>PRODUCTION</t>
        </is>
      </c>
      <c r="E835" s="129" t="inlineStr">
        <is>
          <t>TYRE BUILDING-P3</t>
        </is>
      </c>
      <c r="F835" s="130" t="n">
        <v>43629</v>
      </c>
      <c r="G835" s="131">
        <f>NOW()-F835</f>
        <v/>
      </c>
      <c r="H835" s="104" t="inlineStr">
        <is>
          <t>O</t>
        </is>
      </c>
      <c r="I835" s="104" t="inlineStr">
        <is>
          <t>U</t>
        </is>
      </c>
      <c r="J835" s="104" t="n">
        <v>10</v>
      </c>
      <c r="K835" s="104" t="n">
        <v>9</v>
      </c>
      <c r="L835" s="104" t="n">
        <v>5</v>
      </c>
      <c r="M835" s="104" t="n">
        <v>9</v>
      </c>
      <c r="N835" s="104" t="n"/>
      <c r="O835" s="104">
        <f>SUM(J835:N835)</f>
        <v/>
      </c>
      <c r="P835" s="12">
        <f>O835/IF(H835="L",20,IF(H835="U",30,IF(H835="O",40,IF(H835="I",20,""))))</f>
        <v/>
      </c>
      <c r="Q835" s="132">
        <f>IF(AND(H835="L", P835&gt;=50%), "Pass",
 IF(AND(H835="U", P835&gt;=60%), "Pass",
 IF(AND(H835="O", P835&gt;=75%), "Pass", "Fail")))</f>
        <v/>
      </c>
      <c r="R835" s="104" t="n"/>
      <c r="S835" s="104" t="n">
        <v>18</v>
      </c>
      <c r="T835" s="104" t="n">
        <v>14</v>
      </c>
      <c r="U835" s="104">
        <f>SUM(S835:T835)</f>
        <v/>
      </c>
      <c r="V835" s="12">
        <f>U835/IF(H835="L",35,IF(H835="U",35,IF(H835="O",35,IF(H835="I",35,""))))</f>
        <v/>
      </c>
      <c r="W835" s="132">
        <f>IF(AND(H835="L", V835&gt;=50%), "Pass",
 IF(AND(H835="U", V835&gt;=60%), "Pass",
 IF(AND(H835="O", V835&gt;=75%), "Pass", "Fail")))</f>
        <v/>
      </c>
      <c r="X835" s="132">
        <f>IF(AND(Q835="Pass", W835="Pass"), "Pass", "Fail")</f>
        <v/>
      </c>
      <c r="Y835" s="15">
        <f>IF($X835="Pass",$H835,
IF(H835="L","I",
IF(H835="U","L",
IF(H835="O","U",
"I"))))</f>
        <v/>
      </c>
      <c r="Z835" s="81">
        <f>V835-75%</f>
        <v/>
      </c>
    </row>
    <row r="836">
      <c r="A836" s="147">
        <f>ROW()-2</f>
        <v/>
      </c>
      <c r="B836" s="127" t="inlineStr">
        <is>
          <t>PK0998</t>
        </is>
      </c>
      <c r="C836" s="128" t="inlineStr">
        <is>
          <t>P MURUGESAN</t>
        </is>
      </c>
      <c r="D836" s="127" t="inlineStr">
        <is>
          <t>PRODUCTION</t>
        </is>
      </c>
      <c r="E836" s="129" t="inlineStr">
        <is>
          <t>TYRE BUILDING-P1</t>
        </is>
      </c>
      <c r="F836" s="130" t="n">
        <v>43629</v>
      </c>
      <c r="G836" s="131">
        <f>NOW()-F836</f>
        <v/>
      </c>
      <c r="H836" s="104" t="inlineStr">
        <is>
          <t>O</t>
        </is>
      </c>
      <c r="I836" s="104" t="inlineStr">
        <is>
          <t>U</t>
        </is>
      </c>
      <c r="J836" s="104" t="n">
        <v>8</v>
      </c>
      <c r="K836" s="104" t="n">
        <v>10</v>
      </c>
      <c r="L836" s="104" t="n">
        <v>7</v>
      </c>
      <c r="M836" s="104" t="n">
        <v>9</v>
      </c>
      <c r="N836" s="104" t="n"/>
      <c r="O836" s="104">
        <f>SUM(J836:N836)</f>
        <v/>
      </c>
      <c r="P836" s="12">
        <f>O836/IF(H836="L",20,IF(H836="U",30,IF(H836="O",40,IF(H836="I",20,""))))</f>
        <v/>
      </c>
      <c r="Q836" s="132">
        <f>IF(AND(H836="L", P836&gt;=50%), "Pass",
IF(AND(H836="U", P836&gt;=60%), "Pass",
IF(AND(H836="O", P836&gt;=75%), "Pass", "Fail")))</f>
        <v/>
      </c>
      <c r="R836" s="104" t="n"/>
      <c r="S836" s="104" t="n">
        <v>10</v>
      </c>
      <c r="T836" s="104" t="n">
        <v>12</v>
      </c>
      <c r="U836" s="104">
        <f>SUM(S836:T836)</f>
        <v/>
      </c>
      <c r="V836" s="12">
        <f>U836/IF(H836="L",35,IF(H836="U",35,IF(H836="O",35,IF(H836="I",35,""))))</f>
        <v/>
      </c>
      <c r="W836" s="132">
        <f>IF(AND(H836="L", V836&gt;=50%), "Pass",
IF(AND(H836="U", V836&gt;=60%), "Pass",
IF(AND(H836="O", V836&gt;=75%), "Pass", "Fail")))</f>
        <v/>
      </c>
      <c r="X836" s="132">
        <f>IF(AND(Q836="Pass", W836="Pass"), "Pass", "Fail")</f>
        <v/>
      </c>
      <c r="Y836" s="15">
        <f>IF($X836="Pass",$H836,
IF(H836="L","I",
IF(H836="U","L",
IF(H836="O","U",
"I"))))</f>
        <v/>
      </c>
    </row>
    <row r="837">
      <c r="A837" s="147">
        <f>ROW()-2</f>
        <v/>
      </c>
      <c r="B837" s="127" t="inlineStr">
        <is>
          <t>KK1081</t>
        </is>
      </c>
      <c r="C837" s="128" t="inlineStr">
        <is>
          <t>THANGAM</t>
        </is>
      </c>
      <c r="D837" s="127" t="inlineStr">
        <is>
          <t>PRODUCTION</t>
        </is>
      </c>
      <c r="E837" s="129" t="inlineStr">
        <is>
          <t>TYRE BUILDING-P1</t>
        </is>
      </c>
      <c r="F837" s="130" t="n">
        <v>43636</v>
      </c>
      <c r="G837" s="131">
        <f>NOW()-F837</f>
        <v/>
      </c>
      <c r="H837" s="104" t="inlineStr">
        <is>
          <t>O</t>
        </is>
      </c>
      <c r="I837" s="104" t="inlineStr">
        <is>
          <t>U</t>
        </is>
      </c>
      <c r="J837" s="104" t="n">
        <v>10</v>
      </c>
      <c r="K837" s="104" t="n">
        <v>10</v>
      </c>
      <c r="L837" s="104" t="n">
        <v>7</v>
      </c>
      <c r="M837" s="104" t="n">
        <v>6</v>
      </c>
      <c r="N837" s="104" t="n"/>
      <c r="O837" s="104">
        <f>SUM(J837:N837)</f>
        <v/>
      </c>
      <c r="P837" s="12">
        <f>O837/IF(H837="L",20,IF(H837="U",30,IF(H837="O",40,IF(H837="I",20,""))))</f>
        <v/>
      </c>
      <c r="Q837" s="132">
        <f>IF(AND(H837="L", P837&gt;=50%), "Pass",
IF(AND(H837="U", P837&gt;=60%), "Pass",
IF(AND(H837="O", P837&gt;=75%), "Pass", "Fail")))</f>
        <v/>
      </c>
      <c r="R837" s="104" t="n"/>
      <c r="S837" s="104" t="n">
        <v>11</v>
      </c>
      <c r="T837" s="104" t="n">
        <v>11</v>
      </c>
      <c r="U837" s="104">
        <f>SUM(S837:T837)</f>
        <v/>
      </c>
      <c r="V837" s="12">
        <f>U837/IF(H837="L",35,IF(H837="U",35,IF(H837="O",35,IF(H837="I",35,""))))</f>
        <v/>
      </c>
      <c r="W837" s="132">
        <f>IF(AND(H837="L", V837&gt;=50%), "Pass",
IF(AND(H837="U", V837&gt;=60%), "Pass",
IF(AND(H837="O", V837&gt;=75%), "Pass", "Fail")))</f>
        <v/>
      </c>
      <c r="X837" s="132">
        <f>IF(AND(Q837="Pass", W837="Pass"), "Pass", "Fail")</f>
        <v/>
      </c>
      <c r="Y837" s="15">
        <f>IF($X837="Pass",$H837,
IF(H837="L","I",
IF(H837="U","L",
IF(H837="O","U",
"I"))))</f>
        <v/>
      </c>
    </row>
    <row r="838">
      <c r="A838" s="147">
        <f>ROW()-2</f>
        <v/>
      </c>
      <c r="B838" s="127" t="inlineStr">
        <is>
          <t>SR0982</t>
        </is>
      </c>
      <c r="C838" s="128" t="inlineStr">
        <is>
          <t>IRULLAPPADAS S</t>
        </is>
      </c>
      <c r="D838" s="127" t="inlineStr">
        <is>
          <t>PRODUCTION</t>
        </is>
      </c>
      <c r="E838" s="129" t="inlineStr">
        <is>
          <t>TYRE BUILDING-P1</t>
        </is>
      </c>
      <c r="F838" s="130" t="n">
        <v>43636</v>
      </c>
      <c r="G838" s="131">
        <f>NOW()-F838</f>
        <v/>
      </c>
      <c r="H838" s="104" t="inlineStr">
        <is>
          <t>O</t>
        </is>
      </c>
      <c r="I838" s="104" t="inlineStr">
        <is>
          <t>U</t>
        </is>
      </c>
      <c r="J838" s="104" t="n">
        <v>10</v>
      </c>
      <c r="K838" s="104" t="n">
        <v>7</v>
      </c>
      <c r="L838" s="104" t="n">
        <v>5</v>
      </c>
      <c r="M838" s="104" t="n">
        <v>7</v>
      </c>
      <c r="N838" s="104" t="n"/>
      <c r="O838" s="104">
        <f>SUM(J838:N838)</f>
        <v/>
      </c>
      <c r="P838" s="12">
        <f>O838/IF(H838="L",20,IF(H838="U",30,IF(H838="O",40,IF(H838="I",20,""))))</f>
        <v/>
      </c>
      <c r="Q838" s="132">
        <f>IF(AND(H838="L", P838&gt;=50%), "Pass",
IF(AND(H838="U", P838&gt;=60%), "Pass",
IF(AND(H838="O", P838&gt;=75%), "Pass", "Fail")))</f>
        <v/>
      </c>
      <c r="R838" s="104" t="n"/>
      <c r="S838" s="104" t="n">
        <v>9</v>
      </c>
      <c r="T838" s="104" t="n">
        <v>12</v>
      </c>
      <c r="U838" s="104">
        <f>SUM(S838:T838)</f>
        <v/>
      </c>
      <c r="V838" s="12">
        <f>U838/IF(H838="L",35,IF(H838="U",35,IF(H838="O",35,IF(H838="I",35,""))))</f>
        <v/>
      </c>
      <c r="W838" s="132">
        <f>IF(AND(H838="L", V838&gt;=50%), "Pass",
IF(AND(H838="U", V838&gt;=60%), "Pass",
IF(AND(H838="O", V838&gt;=75%), "Pass", "Fail")))</f>
        <v/>
      </c>
      <c r="X838" s="132">
        <f>IF(AND(Q838="Pass", W838="Pass"), "Pass", "Fail")</f>
        <v/>
      </c>
      <c r="Y838" s="15">
        <f>IF($X838="Pass",$H838,
IF(H838="L","I",
IF(H838="U","L",
IF(H838="O","U",
"I"))))</f>
        <v/>
      </c>
    </row>
    <row r="839">
      <c r="A839" s="147">
        <f>ROW()-2</f>
        <v/>
      </c>
      <c r="B839" s="127" t="inlineStr">
        <is>
          <t>KK1084</t>
        </is>
      </c>
      <c r="C839" s="128" t="inlineStr">
        <is>
          <t>MURUGAN</t>
        </is>
      </c>
      <c r="D839" s="127" t="inlineStr">
        <is>
          <t>PRODUCTION</t>
        </is>
      </c>
      <c r="E839" s="129" t="inlineStr">
        <is>
          <t>BAND BUILDING-P3</t>
        </is>
      </c>
      <c r="F839" s="130" t="n">
        <v>43690</v>
      </c>
      <c r="G839" s="131">
        <f>NOW()-F839</f>
        <v/>
      </c>
      <c r="H839" s="104" t="inlineStr">
        <is>
          <t>O</t>
        </is>
      </c>
      <c r="I839" s="104" t="inlineStr">
        <is>
          <t>O</t>
        </is>
      </c>
      <c r="J839" s="104" t="n">
        <v>9</v>
      </c>
      <c r="K839" s="104" t="n">
        <v>6</v>
      </c>
      <c r="L839" s="104" t="n">
        <v>7</v>
      </c>
      <c r="M839" s="104" t="n">
        <v>8</v>
      </c>
      <c r="N839" s="104" t="n"/>
      <c r="O839" s="104">
        <f>SUM(J839:N839)</f>
        <v/>
      </c>
      <c r="P839" s="12">
        <f>O839/IF(H839="L",20,IF(H839="U",30,IF(H839="O",40,IF(H839="I",20,""))))</f>
        <v/>
      </c>
      <c r="Q839" s="132">
        <f>IF(AND(H839="L", P839&gt;=50%), "Pass",
IF(AND(H839="U", P839&gt;=60%), "Pass",
IF(AND(H839="O", P839&gt;=75%), "Pass", "Fail")))</f>
        <v/>
      </c>
      <c r="R839" s="104" t="n"/>
      <c r="S839" s="104" t="n">
        <v>17</v>
      </c>
      <c r="T839" s="104" t="n">
        <v>14</v>
      </c>
      <c r="U839" s="104">
        <f>SUM(S839:T839)</f>
        <v/>
      </c>
      <c r="V839" s="12">
        <f>U839/IF(H839="L",35,IF(H839="U",35,IF(H839="O",35,IF(H839="I",35,""))))</f>
        <v/>
      </c>
      <c r="W839" s="132">
        <f>IF(AND(H839="L", V839&gt;=50%), "Pass",
IF(AND(H839="U", V839&gt;=60%), "Pass",
IF(AND(H839="O", V839&gt;=75%), "Pass", "Fail")))</f>
        <v/>
      </c>
      <c r="X839" s="132">
        <f>IF(AND(Q839="Pass", W839="Pass"), "Pass", "Fail")</f>
        <v/>
      </c>
      <c r="Y839" s="15">
        <f>IF($X839="Pass",$H839,
IF(H839="L","I",
IF(H839="U","L",
IF(H839="O","U",
"I"))))</f>
        <v/>
      </c>
    </row>
    <row r="840">
      <c r="A840" s="147">
        <f>ROW()-2</f>
        <v/>
      </c>
      <c r="B840" s="127" t="inlineStr">
        <is>
          <t>SK2913</t>
        </is>
      </c>
      <c r="C840" s="128" t="inlineStr">
        <is>
          <t>ANAND</t>
        </is>
      </c>
      <c r="D840" s="127" t="inlineStr">
        <is>
          <t>PRODUCTION</t>
        </is>
      </c>
      <c r="E840" s="129" t="inlineStr">
        <is>
          <t>BAND BUILDING-P3</t>
        </is>
      </c>
      <c r="F840" s="130" t="n">
        <v>43727</v>
      </c>
      <c r="G840" s="131">
        <f>NOW()-F840</f>
        <v/>
      </c>
      <c r="H840" s="104" t="inlineStr">
        <is>
          <t>O</t>
        </is>
      </c>
      <c r="I840" s="104" t="inlineStr">
        <is>
          <t>U</t>
        </is>
      </c>
      <c r="J840" s="104" t="n">
        <v>6</v>
      </c>
      <c r="K840" s="104" t="n">
        <v>7</v>
      </c>
      <c r="L840" s="104" t="n">
        <v>7</v>
      </c>
      <c r="M840" s="104" t="n">
        <v>8</v>
      </c>
      <c r="N840" s="104" t="n"/>
      <c r="O840" s="104">
        <f>SUM(J840:N840)</f>
        <v/>
      </c>
      <c r="P840" s="12">
        <f>O840/IF(H840="L",20,IF(H840="U",30,IF(H840="O",40,IF(H840="I",20,""))))</f>
        <v/>
      </c>
      <c r="Q840" s="132">
        <f>IF(AND(H840="L", P840&gt;=50%), "Pass",
IF(AND(H840="U", P840&gt;=60%), "Pass",
IF(AND(H840="O", P840&gt;=75%), "Pass", "Fail")))</f>
        <v/>
      </c>
      <c r="R840" s="104" t="n"/>
      <c r="S840" s="104" t="n">
        <v>13</v>
      </c>
      <c r="T840" s="104" t="n">
        <v>11</v>
      </c>
      <c r="U840" s="104">
        <f>SUM(S840:T840)</f>
        <v/>
      </c>
      <c r="V840" s="12">
        <f>U840/IF(H840="L",35,IF(H840="U",35,IF(H840="O",35,IF(H840="I",35,""))))</f>
        <v/>
      </c>
      <c r="W840" s="132">
        <f>IF(AND(H840="L", V840&gt;=50%), "Pass",
IF(AND(H840="U", V840&gt;=60%), "Pass",
IF(AND(H840="O", V840&gt;=75%), "Pass", "Fail")))</f>
        <v/>
      </c>
      <c r="X840" s="132">
        <f>IF(AND(Q840="Pass", W840="Pass"), "Pass", "Fail")</f>
        <v/>
      </c>
      <c r="Y840" s="15">
        <f>IF($X840="Pass",$H840,
IF(H840="L","I",
IF(H840="U","L",
IF(H840="O","U",
"I"))))</f>
        <v/>
      </c>
      <c r="Z840" s="82">
        <f>V840-75%</f>
        <v/>
      </c>
    </row>
    <row r="841">
      <c r="A841" s="147">
        <f>ROW()-2</f>
        <v/>
      </c>
      <c r="B841" s="127" t="inlineStr">
        <is>
          <t>KK1091</t>
        </is>
      </c>
      <c r="C841" s="128" t="inlineStr">
        <is>
          <t>MOORTHY</t>
        </is>
      </c>
      <c r="D841" s="127" t="inlineStr">
        <is>
          <t>PRODUCTION</t>
        </is>
      </c>
      <c r="E841" s="129" t="inlineStr">
        <is>
          <t>YANTHAI</t>
        </is>
      </c>
      <c r="F841" s="130" t="n">
        <v>43775</v>
      </c>
      <c r="G841" s="131">
        <f>NOW()-F841</f>
        <v/>
      </c>
      <c r="H841" s="104" t="inlineStr">
        <is>
          <t>O</t>
        </is>
      </c>
      <c r="I841" s="104" t="inlineStr">
        <is>
          <t>O</t>
        </is>
      </c>
      <c r="J841" s="104" t="n">
        <v>10</v>
      </c>
      <c r="K841" s="104" t="n">
        <v>10</v>
      </c>
      <c r="L841" s="104" t="n">
        <v>9</v>
      </c>
      <c r="M841" s="104" t="n">
        <v>6</v>
      </c>
      <c r="N841" s="104" t="n"/>
      <c r="O841" s="104">
        <f>SUM(J841:N841)</f>
        <v/>
      </c>
      <c r="P841" s="12">
        <f>O841/IF(H841="L",20,IF(H841="U",30,IF(H841="O",40,IF(H841="I",20,""))))</f>
        <v/>
      </c>
      <c r="Q841" s="132">
        <f>IF(AND(H841="L", P841&gt;=50%), "Pass",
IF(AND(H841="U", P841&gt;=60%), "Pass",
IF(AND(H841="O", P841&gt;=75%), "Pass", "Fail")))</f>
        <v/>
      </c>
      <c r="R841" s="104" t="n"/>
      <c r="S841" s="104" t="n">
        <v>20</v>
      </c>
      <c r="T841" s="104" t="n">
        <v>13</v>
      </c>
      <c r="U841" s="104">
        <f>SUM(S841:T841)</f>
        <v/>
      </c>
      <c r="V841" s="12">
        <f>U841/IF(H841="L",35,IF(H841="U",35,IF(H841="O",35,IF(H841="I",35,""))))</f>
        <v/>
      </c>
      <c r="W841" s="132">
        <f>IF(AND(H841="L", V841&gt;=50%), "Pass",
IF(AND(H841="U", V841&gt;=60%), "Pass",
IF(AND(H841="O", V841&gt;=75%), "Pass", "Fail")))</f>
        <v/>
      </c>
      <c r="X841" s="132">
        <f>IF(AND(Q841="Pass", W841="Pass"), "Pass", "Fail")</f>
        <v/>
      </c>
      <c r="Y841" s="15">
        <f>IF($X841="Pass",$H841,
IF(H841="L","I",
IF(H841="U","L",
IF(H841="O","U",
"I"))))</f>
        <v/>
      </c>
    </row>
    <row r="842">
      <c r="A842" s="147">
        <f>ROW()-2</f>
        <v/>
      </c>
      <c r="B842" s="127" t="inlineStr">
        <is>
          <t>SR0999</t>
        </is>
      </c>
      <c r="C842" s="128" t="inlineStr">
        <is>
          <t>ASHOK KUMAR S</t>
        </is>
      </c>
      <c r="D842" s="127" t="inlineStr">
        <is>
          <t>PRODUCTION</t>
        </is>
      </c>
      <c r="E842" s="129" t="inlineStr">
        <is>
          <t>RADIAL MARANGONI</t>
        </is>
      </c>
      <c r="F842" s="130" t="n">
        <v>43775</v>
      </c>
      <c r="G842" s="131">
        <f>NOW()-F842</f>
        <v/>
      </c>
      <c r="H842" s="104" t="inlineStr">
        <is>
          <t>O</t>
        </is>
      </c>
      <c r="I842" s="104" t="inlineStr">
        <is>
          <t>O</t>
        </is>
      </c>
      <c r="J842" s="104" t="n">
        <v>9</v>
      </c>
      <c r="K842" s="104" t="n">
        <v>10</v>
      </c>
      <c r="L842" s="104" t="n">
        <v>9</v>
      </c>
      <c r="M842" s="104" t="n">
        <v>9</v>
      </c>
      <c r="N842" s="104" t="n"/>
      <c r="O842" s="104">
        <f>SUM(J842:N842)</f>
        <v/>
      </c>
      <c r="P842" s="12">
        <f>O842/IF(H842="L",20,IF(H842="U",30,IF(H842="O",40,IF(H842="I",20,""))))</f>
        <v/>
      </c>
      <c r="Q842" s="132">
        <f>IF(AND(H842="L", P842&gt;=50%), "Pass",
IF(AND(H842="U", P842&gt;=60%), "Pass",
IF(AND(H842="O", P842&gt;=75%), "Pass", "Fail")))</f>
        <v/>
      </c>
      <c r="R842" s="104" t="n"/>
      <c r="S842" s="104" t="n">
        <v>15</v>
      </c>
      <c r="T842" s="104" t="n">
        <v>12</v>
      </c>
      <c r="U842" s="104">
        <f>SUM(S842:T842)</f>
        <v/>
      </c>
      <c r="V842" s="12">
        <f>U842/IF(H842="L",35,IF(H842="U",35,IF(H842="O",35,IF(H842="I",35,""))))</f>
        <v/>
      </c>
      <c r="W842" s="132">
        <f>IF(AND(H842="L", V842&gt;=50%), "Pass",
IF(AND(H842="U", V842&gt;=60%), "Pass",
IF(AND(H842="O", V842&gt;=75%), "Pass", "Fail")))</f>
        <v/>
      </c>
      <c r="X842" s="132">
        <f>IF(AND(Q842="Pass", W842="Pass"), "Pass", "Fail")</f>
        <v/>
      </c>
      <c r="Y842" s="15">
        <f>IF($X842="Pass",$H842,
IF(H842="L","I",
IF(H842="U","L",
IF(H842="O","U",
"I"))))</f>
        <v/>
      </c>
    </row>
    <row r="843">
      <c r="A843" s="147">
        <f>ROW()-2</f>
        <v/>
      </c>
      <c r="B843" s="127" t="inlineStr">
        <is>
          <t>PK1018</t>
        </is>
      </c>
      <c r="C843" s="128" t="inlineStr">
        <is>
          <t>KANAGARAJ</t>
        </is>
      </c>
      <c r="D843" s="127" t="inlineStr">
        <is>
          <t>PRODUCTION</t>
        </is>
      </c>
      <c r="E843" s="129" t="inlineStr">
        <is>
          <t>TYRE BUILDING-P3</t>
        </is>
      </c>
      <c r="F843" s="130" t="n">
        <v>43777</v>
      </c>
      <c r="G843" s="131">
        <f>NOW()-F843</f>
        <v/>
      </c>
      <c r="H843" s="104" t="inlineStr">
        <is>
          <t>O</t>
        </is>
      </c>
      <c r="I843" s="104" t="inlineStr">
        <is>
          <t>O</t>
        </is>
      </c>
      <c r="J843" s="104" t="n">
        <v>10</v>
      </c>
      <c r="K843" s="104" t="n">
        <v>10</v>
      </c>
      <c r="L843" s="104" t="n">
        <v>6</v>
      </c>
      <c r="M843" s="104" t="n">
        <v>5</v>
      </c>
      <c r="N843" s="104" t="n"/>
      <c r="O843" s="104">
        <f>SUM(J843:N843)</f>
        <v/>
      </c>
      <c r="P843" s="12">
        <f>O843/IF(H843="L",20,IF(H843="U",30,IF(H843="O",40,IF(H843="I",20,""))))</f>
        <v/>
      </c>
      <c r="Q843" s="132">
        <f>IF(AND(H843="L", P843&gt;=50%), "Pass",
IF(AND(H843="U", P843&gt;=60%), "Pass",
IF(AND(H843="O", P843&gt;=75%), "Pass", "Fail")))</f>
        <v/>
      </c>
      <c r="R843" s="104" t="n"/>
      <c r="S843" s="104" t="n">
        <v>18</v>
      </c>
      <c r="T843" s="104" t="n">
        <v>15</v>
      </c>
      <c r="U843" s="104">
        <f>SUM(S843:T843)</f>
        <v/>
      </c>
      <c r="V843" s="12">
        <f>U843/IF(H843="L",35,IF(H843="U",35,IF(H843="O",35,IF(H843="I",35,""))))</f>
        <v/>
      </c>
      <c r="W843" s="132">
        <f>IF(AND(H843="L", V843&gt;=50%), "Pass",
IF(AND(H843="U", V843&gt;=60%), "Pass",
IF(AND(H843="O", V843&gt;=75%), "Pass", "Fail")))</f>
        <v/>
      </c>
      <c r="X843" s="132">
        <f>IF(AND(Q843="Pass", W843="Pass"), "Pass", "Fail")</f>
        <v/>
      </c>
      <c r="Y843" s="15">
        <f>IF($X843="Pass",$H843,
IF(H843="L","I",
IF(H843="U","L",
IF(H843="O","U",
"I"))))</f>
        <v/>
      </c>
      <c r="Z843" s="81">
        <f>V843-75%</f>
        <v/>
      </c>
    </row>
    <row r="844">
      <c r="A844" s="147">
        <f>ROW()-2</f>
        <v/>
      </c>
      <c r="B844" s="127" t="inlineStr">
        <is>
          <t>KK1094</t>
        </is>
      </c>
      <c r="C844" s="128" t="inlineStr">
        <is>
          <t>KANNAN P</t>
        </is>
      </c>
      <c r="D844" s="127" t="inlineStr">
        <is>
          <t>PRODUCTION</t>
        </is>
      </c>
      <c r="E844" s="129" t="inlineStr">
        <is>
          <t>TYRE BUILDING-P3</t>
        </is>
      </c>
      <c r="F844" s="130" t="n">
        <v>43781</v>
      </c>
      <c r="G844" s="131">
        <f>NOW()-F844</f>
        <v/>
      </c>
      <c r="H844" s="104" t="inlineStr">
        <is>
          <t>O</t>
        </is>
      </c>
      <c r="I844" s="104" t="inlineStr">
        <is>
          <t>O</t>
        </is>
      </c>
      <c r="J844" s="104" t="n">
        <v>10</v>
      </c>
      <c r="K844" s="104" t="n">
        <v>10</v>
      </c>
      <c r="L844" s="104" t="n">
        <v>9</v>
      </c>
      <c r="M844" s="104" t="n">
        <v>9</v>
      </c>
      <c r="N844" s="104" t="n"/>
      <c r="O844" s="104">
        <f>SUM(J844:N844)</f>
        <v/>
      </c>
      <c r="P844" s="12">
        <f>O844/IF(H844="L",20,IF(H844="U",30,IF(H844="O",40,IF(H844="I",20,""))))</f>
        <v/>
      </c>
      <c r="Q844" s="132">
        <f>IF(AND(H844="L", P844&gt;=50%), "Pass",
IF(AND(H844="U", P844&gt;=60%), "Pass",
IF(AND(H844="O", P844&gt;=75%), "Pass", "Fail")))</f>
        <v/>
      </c>
      <c r="R844" s="104" t="n"/>
      <c r="S844" s="104" t="n">
        <v>19</v>
      </c>
      <c r="T844" s="104" t="n">
        <v>13</v>
      </c>
      <c r="U844" s="104">
        <f>SUM(S844:T844)</f>
        <v/>
      </c>
      <c r="V844" s="12">
        <f>U844/IF(H844="L",35,IF(H844="U",35,IF(H844="O",35,IF(H844="I",35,""))))</f>
        <v/>
      </c>
      <c r="W844" s="132">
        <f>IF(AND(H844="L", V844&gt;=50%), "Pass",
IF(AND(H844="U", V844&gt;=60%), "Pass",
IF(AND(H844="O", V844&gt;=75%), "Pass", "Fail")))</f>
        <v/>
      </c>
      <c r="X844" s="132">
        <f>IF(AND(Q844="Pass", W844="Pass"), "Pass", "Fail")</f>
        <v/>
      </c>
      <c r="Y844" s="15">
        <f>IF($X844="Pass",$H844,
IF(H844="L","I",
IF(H844="U","L",
IF(H844="O","U",
"I"))))</f>
        <v/>
      </c>
    </row>
    <row r="845">
      <c r="A845" s="147">
        <f>ROW()-2</f>
        <v/>
      </c>
      <c r="B845" s="127" t="inlineStr">
        <is>
          <t>SK2922</t>
        </is>
      </c>
      <c r="C845" s="128" t="inlineStr">
        <is>
          <t>SELVAMANI</t>
        </is>
      </c>
      <c r="D845" s="127" t="inlineStr">
        <is>
          <t>PRODUCTION</t>
        </is>
      </c>
      <c r="E845" s="129" t="inlineStr">
        <is>
          <t>TYRE BUILDING-P3</t>
        </is>
      </c>
      <c r="F845" s="130" t="n">
        <v>43781</v>
      </c>
      <c r="G845" s="131">
        <f>NOW()-F845</f>
        <v/>
      </c>
      <c r="H845" s="104" t="inlineStr">
        <is>
          <t>O</t>
        </is>
      </c>
      <c r="I845" s="104" t="inlineStr">
        <is>
          <t>O</t>
        </is>
      </c>
      <c r="J845" s="104" t="n">
        <v>10</v>
      </c>
      <c r="K845" s="104" t="n">
        <v>8</v>
      </c>
      <c r="L845" s="104" t="n">
        <v>5</v>
      </c>
      <c r="M845" s="104" t="n">
        <v>9</v>
      </c>
      <c r="N845" s="104" t="n"/>
      <c r="O845" s="104">
        <f>SUM(J845:N845)</f>
        <v/>
      </c>
      <c r="P845" s="12">
        <f>O845/IF(H845="L",20,IF(H845="U",30,IF(H845="O",40,IF(H845="I",20,""))))</f>
        <v/>
      </c>
      <c r="Q845" s="132">
        <f>IF(AND(H845="L", P845&gt;=50%), "Pass",
IF(AND(H845="U", P845&gt;=60%), "Pass",
IF(AND(H845="O", P845&gt;=75%), "Pass", "Fail")))</f>
        <v/>
      </c>
      <c r="R845" s="104" t="n"/>
      <c r="S845" s="104" t="n">
        <v>20</v>
      </c>
      <c r="T845" s="104" t="n">
        <v>15</v>
      </c>
      <c r="U845" s="104">
        <f>SUM(S845:T845)</f>
        <v/>
      </c>
      <c r="V845" s="12">
        <f>U845/IF(H845="L",35,IF(H845="U",35,IF(H845="O",35,IF(H845="I",35,""))))</f>
        <v/>
      </c>
      <c r="W845" s="132">
        <f>IF(AND(H845="L", V845&gt;=50%), "Pass",
IF(AND(H845="U", V845&gt;=60%), "Pass",
IF(AND(H845="O", V845&gt;=75%), "Pass", "Fail")))</f>
        <v/>
      </c>
      <c r="X845" s="132">
        <f>IF(AND(Q845="Pass", W845="Pass"), "Pass", "Fail")</f>
        <v/>
      </c>
      <c r="Y845" s="15">
        <f>IF($X845="Pass",$H845,
IF(H845="L","I",
IF(H845="U","L",
IF(H845="O","U",
"I"))))</f>
        <v/>
      </c>
    </row>
    <row r="846">
      <c r="A846" s="147">
        <f>ROW()-2</f>
        <v/>
      </c>
      <c r="B846" s="127" t="inlineStr">
        <is>
          <t>SK2923</t>
        </is>
      </c>
      <c r="C846" s="128" t="inlineStr">
        <is>
          <t>AJAY</t>
        </is>
      </c>
      <c r="D846" s="127" t="inlineStr">
        <is>
          <t>PRODUCTION</t>
        </is>
      </c>
      <c r="E846" s="129" t="inlineStr">
        <is>
          <t>TYRE BUILDING-P3</t>
        </is>
      </c>
      <c r="F846" s="130" t="n">
        <v>43781</v>
      </c>
      <c r="G846" s="131">
        <f>NOW()-F846</f>
        <v/>
      </c>
      <c r="H846" s="104" t="inlineStr">
        <is>
          <t>O</t>
        </is>
      </c>
      <c r="I846" s="104" t="inlineStr">
        <is>
          <t>O</t>
        </is>
      </c>
      <c r="J846" s="104" t="n">
        <v>9</v>
      </c>
      <c r="K846" s="104" t="n">
        <v>10</v>
      </c>
      <c r="L846" s="104" t="n">
        <v>7</v>
      </c>
      <c r="M846" s="104" t="n">
        <v>9</v>
      </c>
      <c r="N846" s="104" t="n"/>
      <c r="O846" s="104">
        <f>SUM(J846:N846)</f>
        <v/>
      </c>
      <c r="P846" s="12">
        <f>O846/IF(H846="L",20,IF(H846="U",30,IF(H846="O",40,IF(H846="I",20,""))))</f>
        <v/>
      </c>
      <c r="Q846" s="132">
        <f>IF(AND(H846="L", P846&gt;=50%), "Pass",
IF(AND(H846="U", P846&gt;=60%), "Pass",
IF(AND(H846="O", P846&gt;=75%), "Pass", "Fail")))</f>
        <v/>
      </c>
      <c r="R846" s="104" t="n"/>
      <c r="S846" s="104" t="n">
        <v>19</v>
      </c>
      <c r="T846" s="104" t="n">
        <v>14</v>
      </c>
      <c r="U846" s="104">
        <f>SUM(S846:T846)</f>
        <v/>
      </c>
      <c r="V846" s="12">
        <f>U846/IF(H846="L",35,IF(H846="U",35,IF(H846="O",35,IF(H846="I",35,""))))</f>
        <v/>
      </c>
      <c r="W846" s="132">
        <f>IF(AND(H846="L", V846&gt;=50%), "Pass",
IF(AND(H846="U", V846&gt;=60%), "Pass",
IF(AND(H846="O", V846&gt;=75%), "Pass", "Fail")))</f>
        <v/>
      </c>
      <c r="X846" s="132">
        <f>IF(AND(Q846="Pass", W846="Pass"), "Pass", "Fail")</f>
        <v/>
      </c>
      <c r="Y846" s="15">
        <f>IF($X846="Pass",$H846,
IF(H846="L","I",
IF(H846="U","L",
IF(H846="O","U",
"I"))))</f>
        <v/>
      </c>
      <c r="Z846" s="81">
        <f>V846-75%</f>
        <v/>
      </c>
    </row>
    <row r="847">
      <c r="A847" s="147">
        <f>ROW()-2</f>
        <v/>
      </c>
      <c r="B847" s="127" t="inlineStr">
        <is>
          <t>SK2924</t>
        </is>
      </c>
      <c r="C847" s="128" t="inlineStr">
        <is>
          <t>DARMBIR KUMAR RAM</t>
        </is>
      </c>
      <c r="D847" s="127" t="inlineStr">
        <is>
          <t>PRODUCTION</t>
        </is>
      </c>
      <c r="E847" s="129" t="inlineStr">
        <is>
          <t>TYRE BUILDING-P3</t>
        </is>
      </c>
      <c r="F847" s="130" t="n">
        <v>43796</v>
      </c>
      <c r="G847" s="131">
        <f>NOW()-F847</f>
        <v/>
      </c>
      <c r="H847" s="104" t="inlineStr">
        <is>
          <t>O</t>
        </is>
      </c>
      <c r="I847" s="104" t="inlineStr">
        <is>
          <t>U</t>
        </is>
      </c>
      <c r="J847" s="104" t="n">
        <v>4</v>
      </c>
      <c r="K847" s="104" t="n">
        <v>9</v>
      </c>
      <c r="L847" s="104" t="n">
        <v>8</v>
      </c>
      <c r="M847" s="104" t="n">
        <v>9</v>
      </c>
      <c r="N847" s="104" t="n"/>
      <c r="O847" s="104">
        <f>SUM(J847:N847)</f>
        <v/>
      </c>
      <c r="P847" s="12">
        <f>O847/IF(H847="L",20,IF(H847="U",30,IF(H847="O",40,IF(H847="I",20,""))))</f>
        <v/>
      </c>
      <c r="Q847" s="132">
        <f>IF(AND(H847="L", P847&gt;=50%), "Pass",
IF(AND(H847="U", P847&gt;=60%), "Pass",
IF(AND(H847="O", P847&gt;=75%), "Pass", "Fail")))</f>
        <v/>
      </c>
      <c r="R847" s="104" t="n"/>
      <c r="S847" s="104" t="n">
        <v>18</v>
      </c>
      <c r="T847" s="104" t="n">
        <v>14</v>
      </c>
      <c r="U847" s="104">
        <f>SUM(S847:T847)</f>
        <v/>
      </c>
      <c r="V847" s="12">
        <f>U847/IF(H847="L",35,IF(H847="U",35,IF(H847="O",35,IF(H847="I",35,""))))</f>
        <v/>
      </c>
      <c r="W847" s="132">
        <f>IF(AND(H847="L", V847&gt;=50%), "Pass",
IF(AND(H847="U", V847&gt;=60%), "Pass",
IF(AND(H847="O", V847&gt;=75%), "Pass", "Fail")))</f>
        <v/>
      </c>
      <c r="X847" s="132">
        <f>IF(AND(Q847="Pass", W847="Pass"), "Pass", "Fail")</f>
        <v/>
      </c>
      <c r="Y847" s="15">
        <f>IF($X847="Pass",$H847,
IF(H847="L","I",
IF(H847="U","L",
IF(H847="O","U",
"I"))))</f>
        <v/>
      </c>
    </row>
    <row r="848">
      <c r="A848" s="147">
        <f>ROW()-2</f>
        <v/>
      </c>
      <c r="B848" s="127" t="inlineStr">
        <is>
          <t>KK1100</t>
        </is>
      </c>
      <c r="C848" s="128" t="inlineStr">
        <is>
          <t>SIVA</t>
        </is>
      </c>
      <c r="D848" s="127" t="inlineStr">
        <is>
          <t>PRODUCTION</t>
        </is>
      </c>
      <c r="E848" s="129" t="inlineStr">
        <is>
          <t>TYRE CURING</t>
        </is>
      </c>
      <c r="F848" s="130" t="n">
        <v>43797</v>
      </c>
      <c r="G848" s="131">
        <f>NOW()-F848</f>
        <v/>
      </c>
      <c r="H848" s="104" t="inlineStr">
        <is>
          <t>O</t>
        </is>
      </c>
      <c r="I848" s="104" t="inlineStr">
        <is>
          <t>O</t>
        </is>
      </c>
      <c r="J848" s="104" t="n">
        <v>10</v>
      </c>
      <c r="K848" s="104" t="n">
        <v>9</v>
      </c>
      <c r="L848" s="104" t="n">
        <v>8</v>
      </c>
      <c r="M848" s="104" t="n">
        <v>7</v>
      </c>
      <c r="N848" s="104" t="n"/>
      <c r="O848" s="104">
        <f>SUM(J848:N848)</f>
        <v/>
      </c>
      <c r="P848" s="12">
        <f>O848/IF(H848="L",20,IF(H848="U",30,IF(H848="O",40,IF(H848="I",20,""))))</f>
        <v/>
      </c>
      <c r="Q848" s="132">
        <f>IF(AND(H848="L", P848&gt;=50%), "Pass",
IF(AND(H848="U", P848&gt;=60%), "Pass",
IF(AND(H848="O", P848&gt;=75%), "Pass", "Fail")))</f>
        <v/>
      </c>
      <c r="R848" s="104" t="n"/>
      <c r="S848" s="104" t="n">
        <v>13</v>
      </c>
      <c r="T848" s="104" t="n">
        <v>9</v>
      </c>
      <c r="U848" s="104">
        <f>SUM(S848:T848)</f>
        <v/>
      </c>
      <c r="V848" s="12">
        <f>U848/IF(H848="L",35,IF(H848="U",35,IF(H848="O",35,IF(H848="I",35,""))))</f>
        <v/>
      </c>
      <c r="W848" s="132">
        <f>IF(AND(H848="L", V848&gt;=50%), "Pass",
IF(AND(H848="U", V848&gt;=60%), "Pass",
IF(AND(H848="O", V848&gt;=75%), "Pass", "Fail")))</f>
        <v/>
      </c>
      <c r="X848" s="132">
        <f>IF(AND(Q848="Pass", W848="Pass"), "Pass", "Fail")</f>
        <v/>
      </c>
      <c r="Y848" s="15">
        <f>IF($X848="Pass",$H848,
IF(H848="L","I",
IF(H848="U","L",
IF(H848="O","U",
"I"))))</f>
        <v/>
      </c>
    </row>
    <row r="849">
      <c r="A849" s="147">
        <f>ROW()-2</f>
        <v/>
      </c>
      <c r="B849" s="127" t="inlineStr">
        <is>
          <t>KK1103</t>
        </is>
      </c>
      <c r="C849" s="128" t="inlineStr">
        <is>
          <t>ESAKKIMUTHU P</t>
        </is>
      </c>
      <c r="D849" s="127" t="inlineStr">
        <is>
          <t>PRODUCTION</t>
        </is>
      </c>
      <c r="E849" s="129" t="inlineStr">
        <is>
          <t>RADIAL MARANGONI</t>
        </is>
      </c>
      <c r="F849" s="130" t="n">
        <v>43798</v>
      </c>
      <c r="G849" s="131">
        <f>NOW()-F849</f>
        <v/>
      </c>
      <c r="H849" s="104" t="inlineStr">
        <is>
          <t>O</t>
        </is>
      </c>
      <c r="I849" s="104" t="inlineStr">
        <is>
          <t>U</t>
        </is>
      </c>
      <c r="J849" s="104" t="n">
        <v>8</v>
      </c>
      <c r="K849" s="104" t="n">
        <v>8</v>
      </c>
      <c r="L849" s="104" t="n">
        <v>7</v>
      </c>
      <c r="M849" s="104" t="n">
        <v>8</v>
      </c>
      <c r="N849" s="104" t="n"/>
      <c r="O849" s="104">
        <f>SUM(J849:N849)</f>
        <v/>
      </c>
      <c r="P849" s="12">
        <f>O849/IF(H849="L",20,IF(H849="U",30,IF(H849="O",40,IF(H849="I",20,""))))</f>
        <v/>
      </c>
      <c r="Q849" s="132">
        <f>IF(AND(H849="L", P849&gt;=50%), "Pass",
IF(AND(H849="U", P849&gt;=60%), "Pass",
IF(AND(H849="O", P849&gt;=75%), "Pass", "Fail")))</f>
        <v/>
      </c>
      <c r="R849" s="104" t="n"/>
      <c r="S849" s="104" t="n">
        <v>14</v>
      </c>
      <c r="T849" s="104" t="n">
        <v>12</v>
      </c>
      <c r="U849" s="104">
        <f>SUM(S849:T849)</f>
        <v/>
      </c>
      <c r="V849" s="12">
        <f>U849/IF(H849="L",35,IF(H849="U",35,IF(H849="O",35,IF(H849="I",35,""))))</f>
        <v/>
      </c>
      <c r="W849" s="132">
        <f>IF(AND(H849="L", V849&gt;=50%), "Pass",
IF(AND(H849="U", V849&gt;=60%), "Pass",
IF(AND(H849="O", V849&gt;=75%), "Pass", "Fail")))</f>
        <v/>
      </c>
      <c r="X849" s="132">
        <f>IF(AND(Q849="Pass", W849="Pass"), "Pass", "Fail")</f>
        <v/>
      </c>
      <c r="Y849" s="15">
        <f>IF($X849="Pass",$H849,
IF(H849="L","I",
IF(H849="U","L",
IF(H849="O","U",
"I"))))</f>
        <v/>
      </c>
    </row>
    <row r="850">
      <c r="A850" s="147">
        <f>ROW()-2</f>
        <v/>
      </c>
      <c r="B850" s="127" t="inlineStr">
        <is>
          <t>SK2927</t>
        </is>
      </c>
      <c r="C850" s="128" t="inlineStr">
        <is>
          <t>MARIKANNAN</t>
        </is>
      </c>
      <c r="D850" s="127" t="inlineStr">
        <is>
          <t>PRODUCTION</t>
        </is>
      </c>
      <c r="E850" s="129" t="inlineStr">
        <is>
          <t>YANTHAI</t>
        </is>
      </c>
      <c r="F850" s="130" t="n">
        <v>43798</v>
      </c>
      <c r="G850" s="131">
        <f>NOW()-F850</f>
        <v/>
      </c>
      <c r="H850" s="104" t="inlineStr">
        <is>
          <t>O</t>
        </is>
      </c>
      <c r="I850" s="104" t="inlineStr">
        <is>
          <t>U</t>
        </is>
      </c>
      <c r="J850" s="104" t="n">
        <v>9</v>
      </c>
      <c r="K850" s="104" t="n">
        <v>7</v>
      </c>
      <c r="L850" s="104" t="n">
        <v>8</v>
      </c>
      <c r="M850" s="104" t="n">
        <v>9</v>
      </c>
      <c r="N850" s="104" t="n"/>
      <c r="O850" s="104">
        <f>SUM(J850:N850)</f>
        <v/>
      </c>
      <c r="P850" s="12">
        <f>O850/IF(H850="L",20,IF(H850="U",30,IF(H850="O",40,IF(H850="I",20,""))))</f>
        <v/>
      </c>
      <c r="Q850" s="132">
        <f>IF(AND(H850="L", P850&gt;=50%), "Pass",
IF(AND(H850="U", P850&gt;=60%), "Pass",
IF(AND(H850="O", P850&gt;=75%), "Pass", "Fail")))</f>
        <v/>
      </c>
      <c r="R850" s="104" t="n"/>
      <c r="S850" s="104" t="n">
        <v>18</v>
      </c>
      <c r="T850" s="104" t="n">
        <v>14</v>
      </c>
      <c r="U850" s="104">
        <f>SUM(S850:T850)</f>
        <v/>
      </c>
      <c r="V850" s="12">
        <f>U850/IF(H850="L",35,IF(H850="U",35,IF(H850="O",35,IF(H850="I",35,""))))</f>
        <v/>
      </c>
      <c r="W850" s="132">
        <f>IF(AND(H850="L", V850&gt;=50%), "Pass",
IF(AND(H850="U", V850&gt;=60%), "Pass",
IF(AND(H850="O", V850&gt;=75%), "Pass", "Fail")))</f>
        <v/>
      </c>
      <c r="X850" s="132">
        <f>IF(AND(Q850="Pass", W850="Pass"), "Pass", "Fail")</f>
        <v/>
      </c>
      <c r="Y850" s="15">
        <f>IF($X850="Pass",$H850,
IF(H850="L","I",
IF(H850="U","L",
IF(H850="O","U",
"I"))))</f>
        <v/>
      </c>
    </row>
    <row r="851">
      <c r="A851" s="147">
        <f>ROW()-2</f>
        <v/>
      </c>
      <c r="B851" s="127" t="inlineStr">
        <is>
          <t>SK2933</t>
        </is>
      </c>
      <c r="C851" s="128" t="inlineStr">
        <is>
          <t>THULASIMANI</t>
        </is>
      </c>
      <c r="D851" s="127" t="inlineStr">
        <is>
          <t>PRODUCTION</t>
        </is>
      </c>
      <c r="E851" s="129" t="inlineStr">
        <is>
          <t>TYRE BUILDING-P3</t>
        </is>
      </c>
      <c r="F851" s="130" t="n">
        <v>43805</v>
      </c>
      <c r="G851" s="131">
        <f>NOW()-F851</f>
        <v/>
      </c>
      <c r="H851" s="104" t="inlineStr">
        <is>
          <t>O</t>
        </is>
      </c>
      <c r="I851" s="104" t="inlineStr">
        <is>
          <t>O</t>
        </is>
      </c>
      <c r="J851" s="104" t="n">
        <v>9</v>
      </c>
      <c r="K851" s="104" t="n">
        <v>9</v>
      </c>
      <c r="L851" s="104" t="n">
        <v>7</v>
      </c>
      <c r="M851" s="104" t="n">
        <v>7</v>
      </c>
      <c r="N851" s="104" t="n"/>
      <c r="O851" s="104">
        <f>SUM(J851:N851)</f>
        <v/>
      </c>
      <c r="P851" s="12">
        <f>O851/IF(H851="L",20,IF(H851="U",30,IF(H851="O",40,IF(H851="I",20,""))))</f>
        <v/>
      </c>
      <c r="Q851" s="132">
        <f>IF(AND(H851="L", P851&gt;=50%), "Pass",
IF(AND(H851="U", P851&gt;=60%), "Pass",
IF(AND(H851="O", P851&gt;=75%), "Pass", "Fail")))</f>
        <v/>
      </c>
      <c r="R851" s="104" t="n"/>
      <c r="S851" s="104" t="n">
        <v>18</v>
      </c>
      <c r="T851" s="104" t="n">
        <v>14</v>
      </c>
      <c r="U851" s="104">
        <f>SUM(S851:T851)</f>
        <v/>
      </c>
      <c r="V851" s="12">
        <f>U851/IF(H851="L",35,IF(H851="U",35,IF(H851="O",35,IF(H851="I",35,""))))</f>
        <v/>
      </c>
      <c r="W851" s="132">
        <f>IF(AND(H851="L", V851&gt;=50%), "Pass",
IF(AND(H851="U", V851&gt;=60%), "Pass",
IF(AND(H851="O", V851&gt;=75%), "Pass", "Fail")))</f>
        <v/>
      </c>
      <c r="X851" s="132">
        <f>IF(AND(Q851="Pass", W851="Pass"), "Pass", "Fail")</f>
        <v/>
      </c>
      <c r="Y851" s="15">
        <f>IF($X851="Pass",$H851,
IF(H851="L","I",
IF(H851="U","L",
IF(H851="O","U",
"I"))))</f>
        <v/>
      </c>
      <c r="Z851" s="82" t="n"/>
    </row>
    <row r="852">
      <c r="A852" s="147">
        <f>ROW()-2</f>
        <v/>
      </c>
      <c r="B852" s="127" t="inlineStr">
        <is>
          <t>SR1010</t>
        </is>
      </c>
      <c r="C852" s="128" t="inlineStr">
        <is>
          <t>SURESH M</t>
        </is>
      </c>
      <c r="D852" s="127" t="inlineStr">
        <is>
          <t>PRODUCTION</t>
        </is>
      </c>
      <c r="E852" s="129" t="inlineStr">
        <is>
          <t>TYRE CURING</t>
        </is>
      </c>
      <c r="F852" s="130" t="n">
        <v>43805</v>
      </c>
      <c r="G852" s="131">
        <f>NOW()-F852</f>
        <v/>
      </c>
      <c r="H852" s="104" t="inlineStr">
        <is>
          <t>O</t>
        </is>
      </c>
      <c r="I852" s="104" t="inlineStr">
        <is>
          <t>O</t>
        </is>
      </c>
      <c r="J852" s="104" t="n">
        <v>9</v>
      </c>
      <c r="K852" s="104" t="n">
        <v>9</v>
      </c>
      <c r="L852" s="104" t="n">
        <v>9</v>
      </c>
      <c r="M852" s="104" t="n">
        <v>7</v>
      </c>
      <c r="N852" s="104" t="n"/>
      <c r="O852" s="104">
        <f>SUM(J852:N852)</f>
        <v/>
      </c>
      <c r="P852" s="12">
        <f>O852/IF(H852="L",20,IF(H852="U",30,IF(H852="O",40,IF(H852="I",20,""))))</f>
        <v/>
      </c>
      <c r="Q852" s="132">
        <f>IF(AND(H852="L", P852&gt;=50%), "Pass",
IF(AND(H852="U", P852&gt;=60%), "Pass",
IF(AND(H852="O", P852&gt;=75%), "Pass", "Fail")))</f>
        <v/>
      </c>
      <c r="R852" s="104" t="n"/>
      <c r="S852" s="104" t="n">
        <v>16</v>
      </c>
      <c r="T852" s="104" t="n">
        <v>11</v>
      </c>
      <c r="U852" s="104">
        <f>SUM(S852:T852)</f>
        <v/>
      </c>
      <c r="V852" s="12">
        <f>U852/IF(H852="L",35,IF(H852="U",35,IF(H852="O",35,IF(H852="I",35,""))))</f>
        <v/>
      </c>
      <c r="W852" s="132">
        <f>IF(AND(H852="L", V852&gt;=50%), "Pass",
IF(AND(H852="U", V852&gt;=60%), "Pass",
IF(AND(H852="O", V852&gt;=75%), "Pass", "Fail")))</f>
        <v/>
      </c>
      <c r="X852" s="132">
        <f>IF(AND(Q852="Pass", W852="Pass"), "Pass", "Fail")</f>
        <v/>
      </c>
      <c r="Y852" s="15">
        <f>IF($X852="Pass",$H852,
IF(H852="L","I",
IF(H852="U","L",
IF(H852="O","U",
"I"))))</f>
        <v/>
      </c>
    </row>
    <row r="853">
      <c r="A853" s="147">
        <f>ROW()-2</f>
        <v/>
      </c>
      <c r="B853" s="127" t="inlineStr">
        <is>
          <t>SK2940</t>
        </is>
      </c>
      <c r="C853" s="128" t="inlineStr">
        <is>
          <t>ESAKKIMUTHU</t>
        </is>
      </c>
      <c r="D853" s="127" t="inlineStr">
        <is>
          <t>PRODUCTION</t>
        </is>
      </c>
      <c r="E853" s="129" t="inlineStr">
        <is>
          <t>BIAS MARANGONI&amp;BESTRY</t>
        </is>
      </c>
      <c r="F853" s="130" t="n">
        <v>43819</v>
      </c>
      <c r="G853" s="131">
        <f>NOW()-F853</f>
        <v/>
      </c>
      <c r="H853" s="104" t="inlineStr">
        <is>
          <t>O</t>
        </is>
      </c>
      <c r="I853" s="104" t="inlineStr">
        <is>
          <t>U</t>
        </is>
      </c>
      <c r="J853" s="104" t="n">
        <v>9</v>
      </c>
      <c r="K853" s="104" t="n">
        <v>7</v>
      </c>
      <c r="L853" s="104" t="n">
        <v>9</v>
      </c>
      <c r="M853" s="104" t="n">
        <v>8</v>
      </c>
      <c r="N853" s="104" t="n"/>
      <c r="O853" s="104">
        <f>SUM(J853:N853)</f>
        <v/>
      </c>
      <c r="P853" s="12">
        <f>O853/IF(H853="L",20,IF(H853="U",30,IF(H853="O",40,IF(H853="I",20,""))))</f>
        <v/>
      </c>
      <c r="Q853" s="132">
        <f>IF(AND(H853="L", P853&gt;=50%), "Pass",
IF(AND(H853="U", P853&gt;=60%), "Pass",
IF(AND(H853="O", P853&gt;=75%), "Pass", "Fail")))</f>
        <v/>
      </c>
      <c r="R853" s="104" t="n"/>
      <c r="S853" s="104" t="n">
        <v>13</v>
      </c>
      <c r="T853" s="104" t="n">
        <v>10</v>
      </c>
      <c r="U853" s="104">
        <f>SUM(S853:T853)</f>
        <v/>
      </c>
      <c r="V853" s="12">
        <f>U853/IF(H853="L",35,IF(H853="U",35,IF(H853="O",35,IF(H853="I",35,""))))</f>
        <v/>
      </c>
      <c r="W853" s="132">
        <f>IF(AND(H853="L", V853&gt;=50%), "Pass",
IF(AND(H853="U", V853&gt;=60%), "Pass",
IF(AND(H853="O", V853&gt;=75%), "Pass", "Fail")))</f>
        <v/>
      </c>
      <c r="X853" s="132">
        <f>IF(AND(Q853="Pass", W853="Pass"), "Pass", "Fail")</f>
        <v/>
      </c>
      <c r="Y853" s="15">
        <f>IF($X853="Pass",$H853,
IF(H853="L","I",
IF(H853="U","L",
IF(H853="O","U",
"I"))))</f>
        <v/>
      </c>
      <c r="Z853" s="82">
        <f>V853-75%</f>
        <v/>
      </c>
    </row>
    <row r="854">
      <c r="A854" s="147">
        <f>ROW()-2</f>
        <v/>
      </c>
      <c r="B854" s="127" t="inlineStr">
        <is>
          <t>SK2945</t>
        </is>
      </c>
      <c r="C854" s="128" t="inlineStr">
        <is>
          <t>KALIMUTHU SUDALAI</t>
        </is>
      </c>
      <c r="D854" s="127" t="inlineStr">
        <is>
          <t>PRODUCTION</t>
        </is>
      </c>
      <c r="E854" s="129" t="inlineStr">
        <is>
          <t>TYRE BUILDING-P3</t>
        </is>
      </c>
      <c r="F854" s="130" t="n">
        <v>43823</v>
      </c>
      <c r="G854" s="131">
        <f>NOW()-F854</f>
        <v/>
      </c>
      <c r="H854" s="104" t="inlineStr">
        <is>
          <t>O</t>
        </is>
      </c>
      <c r="I854" s="104" t="inlineStr">
        <is>
          <t>O</t>
        </is>
      </c>
      <c r="J854" s="104" t="n">
        <v>10</v>
      </c>
      <c r="K854" s="104" t="n">
        <v>9</v>
      </c>
      <c r="L854" s="104" t="n">
        <v>5</v>
      </c>
      <c r="M854" s="104" t="n">
        <v>10</v>
      </c>
      <c r="N854" s="104" t="n"/>
      <c r="O854" s="104">
        <f>SUM(J854:N854)</f>
        <v/>
      </c>
      <c r="P854" s="12">
        <f>O854/IF(H854="L",20,IF(H854="U",30,IF(H854="O",40,IF(H854="I",20,""))))</f>
        <v/>
      </c>
      <c r="Q854" s="132">
        <f>IF(AND(H854="L", P854&gt;=50%), "Pass",
IF(AND(H854="U", P854&gt;=60%), "Pass",
IF(AND(H854="O", P854&gt;=75%), "Pass", "Fail")))</f>
        <v/>
      </c>
      <c r="R854" s="104" t="n"/>
      <c r="S854" s="104" t="n">
        <v>17</v>
      </c>
      <c r="T854" s="104" t="n">
        <v>14</v>
      </c>
      <c r="U854" s="104">
        <f>SUM(S854:T854)</f>
        <v/>
      </c>
      <c r="V854" s="12">
        <f>U854/IF(H854="L",35,IF(H854="U",35,IF(H854="O",35,IF(H854="I",35,""))))</f>
        <v/>
      </c>
      <c r="W854" s="132">
        <f>IF(AND(H854="L", V854&gt;=50%), "Pass",
IF(AND(H854="U", V854&gt;=60%), "Pass",
IF(AND(H854="O", V854&gt;=75%), "Pass", "Fail")))</f>
        <v/>
      </c>
      <c r="X854" s="132">
        <f>IF(AND(Q854="Pass", W854="Pass"), "Pass", "Fail")</f>
        <v/>
      </c>
      <c r="Y854" s="15">
        <f>IF($X854="Pass",$H854,
IF(H854="L","I",
IF(H854="U","L",
IF(H854="O","U",
"I"))))</f>
        <v/>
      </c>
      <c r="Z854" s="81">
        <f>V854-75%</f>
        <v/>
      </c>
    </row>
    <row r="855">
      <c r="A855" s="147">
        <f>ROW()-2</f>
        <v/>
      </c>
      <c r="B855" s="127" t="inlineStr">
        <is>
          <t>SK2952</t>
        </is>
      </c>
      <c r="C855" s="128" t="inlineStr">
        <is>
          <t>BALMURUGAN</t>
        </is>
      </c>
      <c r="D855" s="127" t="inlineStr">
        <is>
          <t>PRODUCTION</t>
        </is>
      </c>
      <c r="E855" s="129" t="inlineStr">
        <is>
          <t>BAND BUILDING-P1</t>
        </is>
      </c>
      <c r="F855" s="130" t="n">
        <v>43854</v>
      </c>
      <c r="G855" s="131">
        <f>NOW()-F855</f>
        <v/>
      </c>
      <c r="H855" s="104" t="inlineStr">
        <is>
          <t>O</t>
        </is>
      </c>
      <c r="I855" s="104" t="inlineStr">
        <is>
          <t>U</t>
        </is>
      </c>
      <c r="J855" s="104" t="n">
        <v>10</v>
      </c>
      <c r="K855" s="104" t="n">
        <v>7</v>
      </c>
      <c r="L855" s="104" t="n">
        <v>6</v>
      </c>
      <c r="M855" s="104" t="n">
        <v>6</v>
      </c>
      <c r="N855" s="104" t="n"/>
      <c r="O855" s="104">
        <f>SUM(J855:N855)</f>
        <v/>
      </c>
      <c r="P855" s="12">
        <f>O855/IF(H855="L",20,IF(H855="U",30,IF(H855="O",40,IF(H855="I",20,""))))</f>
        <v/>
      </c>
      <c r="Q855" s="132">
        <f>IF(AND(H855="L", P855&gt;=50%), "Pass",
IF(AND(H855="U", P855&gt;=60%), "Pass",
IF(AND(H855="O", P855&gt;=75%), "Pass", "Fail")))</f>
        <v/>
      </c>
      <c r="R855" s="104" t="n"/>
      <c r="S855" s="104" t="n">
        <v>18</v>
      </c>
      <c r="T855" s="104" t="n">
        <v>13</v>
      </c>
      <c r="U855" s="104">
        <f>SUM(S855:T855)</f>
        <v/>
      </c>
      <c r="V855" s="12">
        <f>U855/IF(H855="L",35,IF(H855="U",35,IF(H855="O",35,IF(H855="I",35,""))))</f>
        <v/>
      </c>
      <c r="W855" s="132">
        <f>IF(AND(H855="L", V855&gt;=50%), "Pass",
IF(AND(H855="U", V855&gt;=60%), "Pass",
IF(AND(H855="O", V855&gt;=75%), "Pass", "Fail")))</f>
        <v/>
      </c>
      <c r="X855" s="132">
        <f>IF(AND(Q855="Pass", W855="Pass"), "Pass", "Fail")</f>
        <v/>
      </c>
      <c r="Y855" s="15">
        <f>IF($X855="Pass",$H855,
IF(H855="L","I",
IF(H855="U","L",
IF(H855="O","U",
"I"))))</f>
        <v/>
      </c>
    </row>
    <row r="856">
      <c r="A856" s="147">
        <f>ROW()-2</f>
        <v/>
      </c>
      <c r="B856" s="127" t="inlineStr">
        <is>
          <t>PK1037</t>
        </is>
      </c>
      <c r="C856" s="128" t="inlineStr">
        <is>
          <t>MUTHUKUMAR E</t>
        </is>
      </c>
      <c r="D856" s="127" t="inlineStr">
        <is>
          <t>PRODUCTION</t>
        </is>
      </c>
      <c r="E856" s="129" t="inlineStr">
        <is>
          <t>3 ROLL-P2</t>
        </is>
      </c>
      <c r="F856" s="130" t="n">
        <v>43882</v>
      </c>
      <c r="G856" s="131">
        <f>NOW()-F856</f>
        <v/>
      </c>
      <c r="H856" s="104" t="inlineStr">
        <is>
          <t>O</t>
        </is>
      </c>
      <c r="I856" s="104" t="inlineStr">
        <is>
          <t>U</t>
        </is>
      </c>
      <c r="J856" s="104" t="n">
        <v>3</v>
      </c>
      <c r="K856" s="104" t="n">
        <v>6</v>
      </c>
      <c r="L856" s="104" t="n">
        <v>4</v>
      </c>
      <c r="M856" s="104" t="n">
        <v>4</v>
      </c>
      <c r="N856" s="104" t="n"/>
      <c r="O856" s="104">
        <f>SUM(J856:N856)</f>
        <v/>
      </c>
      <c r="P856" s="12">
        <f>O856/IF(H856="L",20,IF(H856="U",30,IF(H856="O",40,IF(H856="I",20,""))))</f>
        <v/>
      </c>
      <c r="Q856" s="132">
        <f>IF(AND(H856="L", P856&gt;=50%), "Pass",
IF(AND(H856="U", P856&gt;=60%), "Pass",
IF(AND(H856="O", P856&gt;=75%), "Pass", "Fail")))</f>
        <v/>
      </c>
      <c r="R856" s="104" t="n"/>
      <c r="S856" s="104" t="n">
        <v>14</v>
      </c>
      <c r="T856" s="104" t="n">
        <v>7</v>
      </c>
      <c r="U856" s="104">
        <f>SUM(S856:T856)</f>
        <v/>
      </c>
      <c r="V856" s="12">
        <f>U856/IF(H856="L",35,IF(H856="U",35,IF(H856="O",35,IF(H856="I",35,""))))</f>
        <v/>
      </c>
      <c r="W856" s="132">
        <f>IF(AND(H856="L", V856&gt;=50%), "Pass",
IF(AND(H856="U", V856&gt;=60%), "Pass",
IF(AND(H856="O", V856&gt;=75%), "Pass", "Fail")))</f>
        <v/>
      </c>
      <c r="X856" s="132">
        <f>IF(AND(Q856="Pass", W856="Pass"), "Pass", "Fail")</f>
        <v/>
      </c>
      <c r="Y856" s="15">
        <f>IF($X856="Pass",$H856,
IF(H856="L","I",
IF(H856="U","L",
IF(H856="O","U",
"I"))))</f>
        <v/>
      </c>
    </row>
    <row r="857">
      <c r="A857" s="147">
        <f>ROW()-2</f>
        <v/>
      </c>
      <c r="B857" s="127" t="inlineStr">
        <is>
          <t>PK1042</t>
        </is>
      </c>
      <c r="C857" s="128" t="inlineStr">
        <is>
          <t>ARUL RAJ M</t>
        </is>
      </c>
      <c r="D857" s="127" t="inlineStr">
        <is>
          <t>PRODUCTION</t>
        </is>
      </c>
      <c r="E857" s="129" t="inlineStr">
        <is>
          <t>TYRE CURING</t>
        </is>
      </c>
      <c r="F857" s="130" t="n">
        <v>43902</v>
      </c>
      <c r="G857" s="131">
        <f>NOW()-F857</f>
        <v/>
      </c>
      <c r="H857" s="104" t="inlineStr">
        <is>
          <t>O</t>
        </is>
      </c>
      <c r="I857" s="104" t="inlineStr">
        <is>
          <t>O</t>
        </is>
      </c>
      <c r="J857" s="104" t="n">
        <v>9</v>
      </c>
      <c r="K857" s="104" t="n">
        <v>9</v>
      </c>
      <c r="L857" s="104" t="n">
        <v>8</v>
      </c>
      <c r="M857" s="104" t="n">
        <v>7</v>
      </c>
      <c r="N857" s="104" t="n"/>
      <c r="O857" s="104">
        <f>SUM(J857:N857)</f>
        <v/>
      </c>
      <c r="P857" s="12">
        <f>O857/IF(H857="L",20,IF(H857="U",30,IF(H857="O",40,IF(H857="I",20,""))))</f>
        <v/>
      </c>
      <c r="Q857" s="132">
        <f>IF(AND(H857="L", P857&gt;=50%), "Pass",
IF(AND(H857="U", P857&gt;=60%), "Pass",
IF(AND(H857="O", P857&gt;=75%), "Pass", "Fail")))</f>
        <v/>
      </c>
      <c r="R857" s="104" t="n"/>
      <c r="S857" s="104" t="n">
        <v>12</v>
      </c>
      <c r="T857" s="104" t="n">
        <v>11</v>
      </c>
      <c r="U857" s="104">
        <f>SUM(S857:T857)</f>
        <v/>
      </c>
      <c r="V857" s="12">
        <f>U857/IF(H857="L",35,IF(H857="U",35,IF(H857="O",35,IF(H857="I",35,""))))</f>
        <v/>
      </c>
      <c r="W857" s="132">
        <f>IF(AND(H857="L", V857&gt;=50%), "Pass",
IF(AND(H857="U", V857&gt;=60%), "Pass",
IF(AND(H857="O", V857&gt;=75%), "Pass", "Fail")))</f>
        <v/>
      </c>
      <c r="X857" s="132">
        <f>IF(AND(Q857="Pass", W857="Pass"), "Pass", "Fail")</f>
        <v/>
      </c>
      <c r="Y857" s="15">
        <f>IF($X857="Pass",$H857,
IF(H857="L","I",
IF(H857="U","L",
IF(H857="O","U",
"I"))))</f>
        <v/>
      </c>
    </row>
    <row r="858">
      <c r="A858" s="147">
        <f>ROW()-2</f>
        <v/>
      </c>
      <c r="B858" s="127" t="inlineStr">
        <is>
          <t>SR1031</t>
        </is>
      </c>
      <c r="C858" s="128" t="inlineStr">
        <is>
          <t>SUBASH K</t>
        </is>
      </c>
      <c r="D858" s="127" t="inlineStr">
        <is>
          <t>PRODUCTION</t>
        </is>
      </c>
      <c r="E858" s="129" t="inlineStr">
        <is>
          <t>TYRE CURING</t>
        </is>
      </c>
      <c r="F858" s="130" t="n">
        <v>43902</v>
      </c>
      <c r="G858" s="131">
        <f>NOW()-F858</f>
        <v/>
      </c>
      <c r="H858" s="104" t="inlineStr">
        <is>
          <t>O</t>
        </is>
      </c>
      <c r="I858" s="104" t="inlineStr">
        <is>
          <t>O</t>
        </is>
      </c>
      <c r="J858" s="104" t="n">
        <v>9</v>
      </c>
      <c r="K858" s="104" t="n">
        <v>9</v>
      </c>
      <c r="L858" s="104" t="n">
        <v>9</v>
      </c>
      <c r="M858" s="104" t="n">
        <v>9</v>
      </c>
      <c r="N858" s="104" t="n"/>
      <c r="O858" s="104">
        <f>SUM(J858:N858)</f>
        <v/>
      </c>
      <c r="P858" s="12">
        <f>O858/IF(H858="L",20,IF(H858="U",30,IF(H858="O",40,IF(H858="I",20,""))))</f>
        <v/>
      </c>
      <c r="Q858" s="132">
        <f>IF(AND(H858="L", P858&gt;=50%), "Pass",
IF(AND(H858="U", P858&gt;=60%), "Pass",
IF(AND(H858="O", P858&gt;=75%), "Pass", "Fail")))</f>
        <v/>
      </c>
      <c r="R858" s="104" t="n"/>
      <c r="S858" s="104" t="n">
        <v>13</v>
      </c>
      <c r="T858" s="104" t="n">
        <v>10</v>
      </c>
      <c r="U858" s="104">
        <f>SUM(S858:T858)</f>
        <v/>
      </c>
      <c r="V858" s="12">
        <f>U858/IF(H858="L",35,IF(H858="U",35,IF(H858="O",35,IF(H858="I",35,""))))</f>
        <v/>
      </c>
      <c r="W858" s="132">
        <f>IF(AND(H858="L", V858&gt;=50%), "Pass",
IF(AND(H858="U", V858&gt;=60%), "Pass",
IF(AND(H858="O", V858&gt;=75%), "Pass", "Fail")))</f>
        <v/>
      </c>
      <c r="X858" s="132">
        <f>IF(AND(Q858="Pass", W858="Pass"), "Pass", "Fail")</f>
        <v/>
      </c>
      <c r="Y858" s="15">
        <f>IF($X858="Pass",$H858,
IF(H858="L","I",
IF(H858="U","L",
IF(H858="O","U",
"I"))))</f>
        <v/>
      </c>
      <c r="Z858" s="81">
        <f>V858-75%</f>
        <v/>
      </c>
    </row>
    <row r="859">
      <c r="A859" s="147">
        <f>ROW()-2</f>
        <v/>
      </c>
      <c r="B859" s="127" t="inlineStr">
        <is>
          <t>AK0924</t>
        </is>
      </c>
      <c r="C859" s="128" t="inlineStr">
        <is>
          <t>MADASAMY</t>
        </is>
      </c>
      <c r="D859" s="127" t="inlineStr">
        <is>
          <t>PRODUCTION</t>
        </is>
      </c>
      <c r="E859" s="129" t="inlineStr">
        <is>
          <t>TYRE BUILDING-P3</t>
        </is>
      </c>
      <c r="F859" s="130" t="n">
        <v>43904</v>
      </c>
      <c r="G859" s="131">
        <f>NOW()-F859</f>
        <v/>
      </c>
      <c r="H859" s="104" t="inlineStr">
        <is>
          <t>O</t>
        </is>
      </c>
      <c r="I859" s="104" t="inlineStr">
        <is>
          <t>O</t>
        </is>
      </c>
      <c r="J859" s="104" t="n">
        <v>10</v>
      </c>
      <c r="K859" s="104" t="n">
        <v>10</v>
      </c>
      <c r="L859" s="104" t="n">
        <v>8</v>
      </c>
      <c r="M859" s="104" t="n">
        <v>9</v>
      </c>
      <c r="N859" s="104" t="n"/>
      <c r="O859" s="104">
        <f>SUM(J859:N859)</f>
        <v/>
      </c>
      <c r="P859" s="12">
        <f>O859/IF(H859="L",20,IF(H859="U",30,IF(H859="O",40,IF(H859="I",20,""))))</f>
        <v/>
      </c>
      <c r="Q859" s="132">
        <f>IF(AND(H859="L", P859&gt;=50%), "Pass",
IF(AND(H859="U", P859&gt;=60%), "Pass",
IF(AND(H859="O", P859&gt;=75%), "Pass", "Fail")))</f>
        <v/>
      </c>
      <c r="R859" s="104" t="n"/>
      <c r="S859" s="104" t="n">
        <v>18</v>
      </c>
      <c r="T859" s="104" t="n">
        <v>14</v>
      </c>
      <c r="U859" s="104">
        <f>SUM(S859:T859)</f>
        <v/>
      </c>
      <c r="V859" s="12">
        <f>U859/IF(H859="L",35,IF(H859="U",35,IF(H859="O",35,IF(H859="I",35,""))))</f>
        <v/>
      </c>
      <c r="W859" s="132">
        <f>IF(AND(H859="L", V859&gt;=50%), "Pass",
IF(AND(H859="U", V859&gt;=60%), "Pass",
IF(AND(H859="O", V859&gt;=75%), "Pass", "Fail")))</f>
        <v/>
      </c>
      <c r="X859" s="132">
        <f>IF(AND(Q859="Pass", W859="Pass"), "Pass", "Fail")</f>
        <v/>
      </c>
      <c r="Y859" s="15">
        <f>IF($X859="Pass",$H859,
IF(H859="L","I",
IF(H859="U","L",
IF(H859="O","U",
"I"))))</f>
        <v/>
      </c>
    </row>
    <row r="860">
      <c r="A860" s="147">
        <f>ROW()-2</f>
        <v/>
      </c>
      <c r="B860" s="127" t="inlineStr">
        <is>
          <t>SK2990</t>
        </is>
      </c>
      <c r="C860" s="128" t="inlineStr">
        <is>
          <t>ASIR DEVASAHAYAM T</t>
        </is>
      </c>
      <c r="D860" s="127" t="inlineStr">
        <is>
          <t>PRODUCTION</t>
        </is>
      </c>
      <c r="E860" s="129" t="inlineStr">
        <is>
          <t>BIAS CUTTING-2</t>
        </is>
      </c>
      <c r="F860" s="130" t="n">
        <v>43952</v>
      </c>
      <c r="G860" s="131">
        <f>NOW()-F860</f>
        <v/>
      </c>
      <c r="H860" s="104" t="inlineStr">
        <is>
          <t>O</t>
        </is>
      </c>
      <c r="I860" s="104" t="inlineStr">
        <is>
          <t>U</t>
        </is>
      </c>
      <c r="J860" s="104" t="n">
        <v>8</v>
      </c>
      <c r="K860" s="104" t="n">
        <v>9</v>
      </c>
      <c r="L860" s="104" t="n">
        <v>9</v>
      </c>
      <c r="M860" s="104" t="n">
        <v>8</v>
      </c>
      <c r="N860" s="104" t="n"/>
      <c r="O860" s="104">
        <f>SUM(J860:N860)</f>
        <v/>
      </c>
      <c r="P860" s="12">
        <f>O860/IF(H860="L",20,IF(H860="U",30,IF(H860="O",40,IF(H860="I",20,""))))</f>
        <v/>
      </c>
      <c r="Q860" s="132">
        <f>IF(AND(H860="L", P860&gt;=50%), "Pass",
IF(AND(H860="U", P860&gt;=60%), "Pass",
IF(AND(H860="O", P860&gt;=75%), "Pass", "Fail")))</f>
        <v/>
      </c>
      <c r="R860" s="104" t="n"/>
      <c r="S860" s="104" t="n">
        <v>17</v>
      </c>
      <c r="T860" s="104" t="n">
        <v>14</v>
      </c>
      <c r="U860" s="104">
        <f>SUM(S860:T860)</f>
        <v/>
      </c>
      <c r="V860" s="12">
        <f>U860/IF(H860="L",35,IF(H860="U",35,IF(H860="O",35,IF(H860="I",35,""))))</f>
        <v/>
      </c>
      <c r="W860" s="132">
        <f>IF(AND(H860="L", V860&gt;=50%), "Pass",
IF(AND(H860="U", V860&gt;=60%), "Pass",
IF(AND(H860="O", V860&gt;=75%), "Pass", "Fail")))</f>
        <v/>
      </c>
      <c r="X860" s="132">
        <f>IF(AND(Q860="Pass", W860="Pass"), "Pass", "Fail")</f>
        <v/>
      </c>
      <c r="Y860" s="15">
        <f>IF($X860="Pass",$H860,
IF(H860="L","I",
IF(H860="U","L",
IF(H860="O","U",
"I"))))</f>
        <v/>
      </c>
    </row>
    <row r="861">
      <c r="A861" s="147">
        <f>ROW()-2</f>
        <v/>
      </c>
      <c r="B861" s="133" t="inlineStr">
        <is>
          <t>KK1131</t>
        </is>
      </c>
      <c r="C861" s="148" t="inlineStr">
        <is>
          <t>SIVAPRAKASH</t>
        </is>
      </c>
      <c r="D861" s="127" t="inlineStr">
        <is>
          <t>PRODUCTION</t>
        </is>
      </c>
      <c r="E861" s="135" t="inlineStr">
        <is>
          <t>MIXING</t>
        </is>
      </c>
      <c r="F861" s="136" t="n">
        <v>43973</v>
      </c>
      <c r="G861" s="131">
        <f>NOW()-F861</f>
        <v/>
      </c>
      <c r="H861" s="104" t="inlineStr">
        <is>
          <t>O</t>
        </is>
      </c>
      <c r="I861" s="104" t="inlineStr">
        <is>
          <t>O</t>
        </is>
      </c>
      <c r="J861" s="104" t="inlineStr">
        <is>
          <t>NIL</t>
        </is>
      </c>
      <c r="K861" s="104" t="n"/>
      <c r="L861" s="104" t="n"/>
      <c r="M861" s="104" t="n"/>
      <c r="N861" s="104" t="n"/>
      <c r="O861" s="104" t="n"/>
      <c r="P861" s="12">
        <f>O861/IF(H861="L",20,IF(H861="U",30,IF(H861="O",40,IF(H861="I",20,""))))</f>
        <v/>
      </c>
      <c r="Q861" s="132">
        <f>IF(AND(H861="L", P861&gt;=50%), "Pass",
IF(AND(H861="U", P861&gt;=60%), "Pass",
IF(AND(H861="O", P861&gt;=75%), "Pass", "Fail")))</f>
        <v/>
      </c>
      <c r="R861" s="104" t="n"/>
      <c r="S861" s="104" t="n">
        <v>14</v>
      </c>
      <c r="T861" s="104" t="n">
        <v>12</v>
      </c>
      <c r="U861" s="104">
        <f>SUM(S861:T861)</f>
        <v/>
      </c>
      <c r="V861" s="12">
        <f>U861/IF(H861="L",35,IF(H861="U",35,IF(H861="O",35,IF(H861="I",35,""))))</f>
        <v/>
      </c>
      <c r="W861" s="132">
        <f>IF(AND(H861="L", V861&gt;=50%), "Pass",
IF(AND(H861="U", V861&gt;=60%), "Pass",
IF(AND(H861="O", V861&gt;=75%), "Pass", "Fail")))</f>
        <v/>
      </c>
      <c r="X861" s="132">
        <f>IF(AND(Q861="Pass", W861="Pass"), "Pass", "Fail")</f>
        <v/>
      </c>
      <c r="Y861" s="15">
        <f>IF($X861="Pass",$H861,
IF(H861="L","I",
IF(H861="U","L",
IF(H861="O","U",
"I"))))</f>
        <v/>
      </c>
    </row>
    <row r="862">
      <c r="A862" s="147">
        <f>ROW()-2</f>
        <v/>
      </c>
      <c r="B862" s="127" t="inlineStr">
        <is>
          <t>AK0930</t>
        </is>
      </c>
      <c r="C862" s="128" t="inlineStr">
        <is>
          <t>THANGAPANDI V</t>
        </is>
      </c>
      <c r="D862" s="127" t="inlineStr">
        <is>
          <t>PRODUCTION</t>
        </is>
      </c>
      <c r="E862" s="129" t="inlineStr">
        <is>
          <t>EXTRUDER</t>
        </is>
      </c>
      <c r="F862" s="130" t="n">
        <v>43982</v>
      </c>
      <c r="G862" s="131">
        <f>NOW()-F862</f>
        <v/>
      </c>
      <c r="H862" s="104" t="inlineStr">
        <is>
          <t>O</t>
        </is>
      </c>
      <c r="I862" s="104" t="inlineStr">
        <is>
          <t>U</t>
        </is>
      </c>
      <c r="J862" s="104" t="n">
        <v>7</v>
      </c>
      <c r="K862" s="104" t="n">
        <v>6</v>
      </c>
      <c r="L862" s="104" t="n">
        <v>10</v>
      </c>
      <c r="M862" s="104" t="n">
        <v>8</v>
      </c>
      <c r="N862" s="104" t="n"/>
      <c r="O862" s="104">
        <f>SUM(J862:N862)</f>
        <v/>
      </c>
      <c r="P862" s="12">
        <f>O862/IF(H862="L",20,IF(H862="U",30,IF(H862="O",40,IF(H862="I",20,""))))</f>
        <v/>
      </c>
      <c r="Q862" s="132">
        <f>IF(AND(H862="L", P862&gt;=50%), "Pass",
IF(AND(H862="U", P862&gt;=60%), "Pass",
IF(AND(H862="O", P862&gt;=75%), "Pass", "Fail")))</f>
        <v/>
      </c>
      <c r="R862" s="104" t="n"/>
      <c r="S862" s="104" t="n">
        <v>16</v>
      </c>
      <c r="T862" s="104" t="n">
        <v>11</v>
      </c>
      <c r="U862" s="104">
        <f>SUM(S862:T862)</f>
        <v/>
      </c>
      <c r="V862" s="12">
        <f>U862/IF(H862="L",35,IF(H862="U",35,IF(H862="O",35,IF(H862="I",35,""))))</f>
        <v/>
      </c>
      <c r="W862" s="132">
        <f>IF(AND(H862="L", V862&gt;=50%), "Pass",
IF(AND(H862="U", V862&gt;=60%), "Pass",
IF(AND(H862="O", V862&gt;=75%), "Pass", "Fail")))</f>
        <v/>
      </c>
      <c r="X862" s="132">
        <f>IF(AND(Q862="Pass", W862="Pass"), "Pass", "Fail")</f>
        <v/>
      </c>
      <c r="Y862" s="15">
        <f>IF($X862="Pass",$H862,
IF(H862="L","I",
IF(H862="U","L",
IF(H862="O","U",
"I"))))</f>
        <v/>
      </c>
    </row>
    <row r="863">
      <c r="A863" s="147">
        <f>ROW()-2</f>
        <v/>
      </c>
      <c r="B863" s="127" t="inlineStr">
        <is>
          <t>AK0931</t>
        </is>
      </c>
      <c r="C863" s="128" t="inlineStr">
        <is>
          <t>PATTU RAJA AYYADURAI</t>
        </is>
      </c>
      <c r="D863" s="127" t="inlineStr">
        <is>
          <t>PRODUCTION</t>
        </is>
      </c>
      <c r="E863" s="129" t="inlineStr">
        <is>
          <t>BEAD WINDING</t>
        </is>
      </c>
      <c r="F863" s="130" t="n">
        <v>43982</v>
      </c>
      <c r="G863" s="131">
        <f>NOW()-F863</f>
        <v/>
      </c>
      <c r="H863" s="104" t="inlineStr">
        <is>
          <t>O</t>
        </is>
      </c>
      <c r="I863" s="104" t="inlineStr">
        <is>
          <t>O</t>
        </is>
      </c>
      <c r="J863" s="104" t="n">
        <v>9</v>
      </c>
      <c r="K863" s="104" t="n">
        <v>9</v>
      </c>
      <c r="L863" s="104" t="n">
        <v>7</v>
      </c>
      <c r="M863" s="104" t="n">
        <v>9</v>
      </c>
      <c r="N863" s="104" t="n"/>
      <c r="O863" s="104">
        <f>SUM(J863:N863)</f>
        <v/>
      </c>
      <c r="P863" s="12">
        <f>O863/IF(H863="L",20,IF(H863="U",30,IF(H863="O",40,IF(H863="I",20,""))))</f>
        <v/>
      </c>
      <c r="Q863" s="132">
        <f>IF(AND(H863="L", P863&gt;=50%), "Pass",
IF(AND(H863="U", P863&gt;=60%), "Pass",
IF(AND(H863="O", P863&gt;=75%), "Pass", "Fail")))</f>
        <v/>
      </c>
      <c r="R863" s="104" t="n"/>
      <c r="S863" s="104" t="n">
        <v>15</v>
      </c>
      <c r="T863" s="104" t="n">
        <v>7</v>
      </c>
      <c r="U863" s="104">
        <f>SUM(S863:T863)</f>
        <v/>
      </c>
      <c r="V863" s="12">
        <f>U863/IF(H863="L",35,IF(H863="U",35,IF(H863="O",35,IF(H863="I",35,""))))</f>
        <v/>
      </c>
      <c r="W863" s="132">
        <f>IF(AND(H863="L", V863&gt;=50%), "Pass",
IF(AND(H863="U", V863&gt;=60%), "Pass",
IF(AND(H863="O", V863&gt;=75%), "Pass", "Fail")))</f>
        <v/>
      </c>
      <c r="X863" s="132">
        <f>IF(AND(Q863="Pass", W863="Pass"), "Pass", "Fail")</f>
        <v/>
      </c>
      <c r="Y863" s="15">
        <f>IF($X863="Pass",$H863,
IF(H863="L","I",
IF(H863="U","L",
IF(H863="O","U",
"I"))))</f>
        <v/>
      </c>
    </row>
    <row r="864">
      <c r="A864" s="147">
        <f>ROW()-2</f>
        <v/>
      </c>
      <c r="B864" s="127" t="inlineStr">
        <is>
          <t>SR1043</t>
        </is>
      </c>
      <c r="C864" s="128" t="inlineStr">
        <is>
          <t>ESAKKIRAJ U</t>
        </is>
      </c>
      <c r="D864" s="127" t="inlineStr">
        <is>
          <t>PRODUCTION</t>
        </is>
      </c>
      <c r="E864" s="129" t="inlineStr">
        <is>
          <t>TYRE CURING</t>
        </is>
      </c>
      <c r="F864" s="130" t="n">
        <v>43982</v>
      </c>
      <c r="G864" s="131">
        <f>NOW()-F864</f>
        <v/>
      </c>
      <c r="H864" s="104" t="inlineStr">
        <is>
          <t>O</t>
        </is>
      </c>
      <c r="I864" s="104" t="inlineStr">
        <is>
          <t>O</t>
        </is>
      </c>
      <c r="J864" s="104" t="n">
        <v>9</v>
      </c>
      <c r="K864" s="104" t="n">
        <v>7</v>
      </c>
      <c r="L864" s="104" t="n">
        <v>8</v>
      </c>
      <c r="M864" s="104" t="n">
        <v>8</v>
      </c>
      <c r="N864" s="104" t="n"/>
      <c r="O864" s="104">
        <f>SUM(J864:N864)</f>
        <v/>
      </c>
      <c r="P864" s="12">
        <f>O864/IF(H864="L",20,IF(H864="U",30,IF(H864="O",40,IF(H864="I",20,""))))</f>
        <v/>
      </c>
      <c r="Q864" s="132">
        <f>IF(AND(H864="L", P864&gt;=50%), "Pass",
IF(AND(H864="U", P864&gt;=60%), "Pass",
IF(AND(H864="O", P864&gt;=75%), "Pass", "Fail")))</f>
        <v/>
      </c>
      <c r="R864" s="104" t="n"/>
      <c r="S864" s="104" t="n">
        <v>7</v>
      </c>
      <c r="T864" s="104" t="n">
        <v>4</v>
      </c>
      <c r="U864" s="104">
        <f>SUM(S864:T864)</f>
        <v/>
      </c>
      <c r="V864" s="12">
        <f>U864/IF(H864="L",35,IF(H864="U",35,IF(H864="O",35,IF(H864="I",35,""))))</f>
        <v/>
      </c>
      <c r="W864" s="132">
        <f>IF(AND(H864="L", V864&gt;=50%), "Pass",
IF(AND(H864="U", V864&gt;=60%), "Pass",
IF(AND(H864="O", V864&gt;=75%), "Pass", "Fail")))</f>
        <v/>
      </c>
      <c r="X864" s="132">
        <f>IF(AND(Q864="Pass", W864="Pass"), "Pass", "Fail")</f>
        <v/>
      </c>
      <c r="Y864" s="15">
        <f>IF($X864="Pass",$H864,
IF(H864="L","I",
IF(H864="U","L",
IF(H864="O","U",
"I"))))</f>
        <v/>
      </c>
    </row>
    <row r="865">
      <c r="A865" s="147">
        <f>ROW()-2</f>
        <v/>
      </c>
      <c r="B865" s="133" t="inlineStr">
        <is>
          <t>SK2994</t>
        </is>
      </c>
      <c r="C865" s="148" t="inlineStr">
        <is>
          <t>PARVATHINATHAN GANAPATHI</t>
        </is>
      </c>
      <c r="D865" s="127" t="inlineStr">
        <is>
          <t>PRODUCTION</t>
        </is>
      </c>
      <c r="E865" s="135" t="inlineStr">
        <is>
          <t>LINER DRESSING</t>
        </is>
      </c>
      <c r="F865" s="136" t="n">
        <v>43983</v>
      </c>
      <c r="G865" s="131">
        <f>NOW()-F865</f>
        <v/>
      </c>
      <c r="H865" s="104" t="inlineStr">
        <is>
          <t>O</t>
        </is>
      </c>
      <c r="I865" s="104" t="inlineStr">
        <is>
          <t>U</t>
        </is>
      </c>
      <c r="J865" s="104" t="n">
        <v>8</v>
      </c>
      <c r="K865" s="104" t="n">
        <v>6</v>
      </c>
      <c r="L865" s="104" t="n">
        <v>5</v>
      </c>
      <c r="M865" s="104" t="n">
        <v>7</v>
      </c>
      <c r="N865" s="104" t="n"/>
      <c r="O865" s="104">
        <f>SUM(J865:N865)</f>
        <v/>
      </c>
      <c r="P865" s="12">
        <f>O865/IF(H865="L",20,IF(H865="U",30,IF(H865="O",40,IF(H865="I",20,""))))</f>
        <v/>
      </c>
      <c r="Q865" s="132">
        <f>IF(AND(H865="L", P865&gt;=50%), "Pass",
IF(AND(H865="U", P865&gt;=60%), "Pass",
IF(AND(H865="O", P865&gt;=75%), "Pass", "Fail")))</f>
        <v/>
      </c>
      <c r="R865" s="104" t="n"/>
      <c r="S865" s="104" t="n">
        <v>13</v>
      </c>
      <c r="T865" s="104" t="n">
        <v>6</v>
      </c>
      <c r="U865" s="104">
        <f>SUM(S865:T865)</f>
        <v/>
      </c>
      <c r="V865" s="12">
        <f>U865/IF(H865="L",35,IF(H865="U",35,IF(H865="O",35,IF(H865="I",35,""))))</f>
        <v/>
      </c>
      <c r="W865" s="132">
        <f>IF(AND(H865="L", V865&gt;=50%), "Pass",
IF(AND(H865="U", V865&gt;=60%), "Pass",
IF(AND(H865="O", V865&gt;=75%), "Pass", "Fail")))</f>
        <v/>
      </c>
      <c r="X865" s="132">
        <f>IF(AND(Q865="Pass", W865="Pass"), "Pass", "Fail")</f>
        <v/>
      </c>
      <c r="Y865" s="15">
        <f>IF($X865="Pass",$H865,
IF(H865="L","I",
IF(H865="U","L",
IF(H865="O","U",
"I"))))</f>
        <v/>
      </c>
    </row>
    <row r="866">
      <c r="A866" s="147">
        <f>ROW()-2</f>
        <v/>
      </c>
      <c r="B866" s="133" t="inlineStr">
        <is>
          <t>SK2995</t>
        </is>
      </c>
      <c r="C866" s="148" t="inlineStr">
        <is>
          <t>AROCKIARAJ</t>
        </is>
      </c>
      <c r="D866" s="127" t="inlineStr">
        <is>
          <t>PRODUCTION</t>
        </is>
      </c>
      <c r="E866" s="135" t="inlineStr">
        <is>
          <t>LINER DRESSING</t>
        </is>
      </c>
      <c r="F866" s="136" t="n">
        <v>43983</v>
      </c>
      <c r="G866" s="131">
        <f>NOW()-F866</f>
        <v/>
      </c>
      <c r="H866" s="104" t="inlineStr">
        <is>
          <t>O</t>
        </is>
      </c>
      <c r="I866" s="104" t="inlineStr">
        <is>
          <t>U</t>
        </is>
      </c>
      <c r="J866" s="104" t="n">
        <v>6</v>
      </c>
      <c r="K866" s="104" t="n">
        <v>3</v>
      </c>
      <c r="L866" s="104" t="n">
        <v>3</v>
      </c>
      <c r="M866" s="104" t="n">
        <v>7</v>
      </c>
      <c r="N866" s="104" t="n"/>
      <c r="O866" s="104">
        <f>SUM(J866:N866)</f>
        <v/>
      </c>
      <c r="P866" s="12">
        <f>O866/IF(H866="L",20,IF(H866="U",30,IF(H866="O",40,IF(H866="I",20,""))))</f>
        <v/>
      </c>
      <c r="Q866" s="132">
        <f>IF(AND(H866="L", P866&gt;=50%), "Pass",
IF(AND(H866="U", P866&gt;=60%), "Pass",
IF(AND(H866="O", P866&gt;=75%), "Pass", "Fail")))</f>
        <v/>
      </c>
      <c r="R866" s="104" t="n"/>
      <c r="S866" s="104" t="n">
        <v>12</v>
      </c>
      <c r="T866" s="104" t="n">
        <v>5</v>
      </c>
      <c r="U866" s="104">
        <f>SUM(S866:T866)</f>
        <v/>
      </c>
      <c r="V866" s="12">
        <f>U866/IF(H866="L",35,IF(H866="U",35,IF(H866="O",35,IF(H866="I",35,""))))</f>
        <v/>
      </c>
      <c r="W866" s="132">
        <f>IF(AND(H866="L", V866&gt;=50%), "Pass",
IF(AND(H866="U", V866&gt;=60%), "Pass",
IF(AND(H866="O", V866&gt;=75%), "Pass", "Fail")))</f>
        <v/>
      </c>
      <c r="X866" s="132">
        <f>IF(AND(Q866="Pass", W866="Pass"), "Pass", "Fail")</f>
        <v/>
      </c>
      <c r="Y866" s="15">
        <f>IF($X866="Pass",$H866,
IF(H866="L","I",
IF(H866="U","L",
IF(H866="O","U",
"I"))))</f>
        <v/>
      </c>
    </row>
    <row r="867">
      <c r="A867" s="147">
        <f>ROW()-2</f>
        <v/>
      </c>
      <c r="B867" s="133" t="inlineStr">
        <is>
          <t>SK2999</t>
        </is>
      </c>
      <c r="C867" s="148" t="inlineStr">
        <is>
          <t>SUBBIAH M</t>
        </is>
      </c>
      <c r="D867" s="127" t="inlineStr">
        <is>
          <t>PRODUCTION</t>
        </is>
      </c>
      <c r="E867" s="135" t="inlineStr">
        <is>
          <t>SALVAGE</t>
        </is>
      </c>
      <c r="F867" s="136" t="n">
        <v>43983</v>
      </c>
      <c r="G867" s="131">
        <f>NOW()-F867</f>
        <v/>
      </c>
      <c r="H867" s="104" t="inlineStr">
        <is>
          <t>O</t>
        </is>
      </c>
      <c r="I867" s="104" t="inlineStr">
        <is>
          <t>U</t>
        </is>
      </c>
      <c r="J867" s="104" t="n">
        <v>10</v>
      </c>
      <c r="K867" s="104" t="n">
        <v>8</v>
      </c>
      <c r="L867" s="104" t="n">
        <v>8</v>
      </c>
      <c r="M867" s="104" t="n">
        <v>8</v>
      </c>
      <c r="N867" s="104" t="n"/>
      <c r="O867" s="104">
        <f>SUM(J867:N867)</f>
        <v/>
      </c>
      <c r="P867" s="12">
        <f>O867/IF(H867="L",20,IF(H867="U",30,IF(H867="O",40,IF(H867="I",20,""))))</f>
        <v/>
      </c>
      <c r="Q867" s="132">
        <f>IF(AND(H867="L", P867&gt;=50%), "Pass",
IF(AND(H867="U", P867&gt;=60%), "Pass",
IF(AND(H867="O", P867&gt;=75%), "Pass", "Fail")))</f>
        <v/>
      </c>
      <c r="R867" s="104" t="n"/>
      <c r="S867" s="104" t="n">
        <v>16</v>
      </c>
      <c r="T867" s="104" t="n">
        <v>12</v>
      </c>
      <c r="U867" s="104">
        <f>SUM(S867:T867)</f>
        <v/>
      </c>
      <c r="V867" s="12">
        <f>U867/IF(H867="L",35,IF(H867="U",35,IF(H867="O",35,IF(H867="I",35,""))))</f>
        <v/>
      </c>
      <c r="W867" s="132">
        <f>IF(AND(H867="L", V867&gt;=50%), "Pass",
IF(AND(H867="U", V867&gt;=60%), "Pass",
IF(AND(H867="O", V867&gt;=75%), "Pass", "Fail")))</f>
        <v/>
      </c>
      <c r="X867" s="132">
        <f>IF(AND(Q867="Pass", W867="Pass"), "Pass", "Fail")</f>
        <v/>
      </c>
      <c r="Y867" s="15">
        <f>IF($X867="Pass",$H867,
IF(H867="L","I",
IF(H867="U","L",
IF(H867="O","U",
"I"))))</f>
        <v/>
      </c>
    </row>
    <row r="868">
      <c r="A868" s="147">
        <f>ROW()-2</f>
        <v/>
      </c>
      <c r="B868" s="133" t="inlineStr">
        <is>
          <t>SK3006</t>
        </is>
      </c>
      <c r="C868" s="148" t="inlineStr">
        <is>
          <t>CHELLAPANDI G</t>
        </is>
      </c>
      <c r="D868" s="127" t="inlineStr">
        <is>
          <t>PRODUCTION</t>
        </is>
      </c>
      <c r="E868" s="135" t="inlineStr">
        <is>
          <t>SALVAGE</t>
        </is>
      </c>
      <c r="F868" s="136" t="n">
        <v>43983</v>
      </c>
      <c r="G868" s="131">
        <f>NOW()-F868</f>
        <v/>
      </c>
      <c r="H868" s="104" t="inlineStr">
        <is>
          <t>O</t>
        </is>
      </c>
      <c r="I868" s="104" t="inlineStr">
        <is>
          <t>U</t>
        </is>
      </c>
      <c r="J868" s="104" t="n">
        <v>10</v>
      </c>
      <c r="K868" s="104" t="n">
        <v>8</v>
      </c>
      <c r="L868" s="104" t="n">
        <v>8</v>
      </c>
      <c r="M868" s="104" t="n">
        <v>7</v>
      </c>
      <c r="N868" s="104" t="n"/>
      <c r="O868" s="104">
        <f>SUM(J868:N868)</f>
        <v/>
      </c>
      <c r="P868" s="12">
        <f>O868/IF(H868="L",20,IF(H868="U",30,IF(H868="O",40,IF(H868="I",20,""))))</f>
        <v/>
      </c>
      <c r="Q868" s="132">
        <f>IF(AND(H868="L", P868&gt;=50%), "Pass",
IF(AND(H868="U", P868&gt;=60%), "Pass",
IF(AND(H868="O", P868&gt;=75%), "Pass", "Fail")))</f>
        <v/>
      </c>
      <c r="R868" s="104" t="n"/>
      <c r="S868" s="104" t="n">
        <v>17</v>
      </c>
      <c r="T868" s="104" t="n">
        <v>10</v>
      </c>
      <c r="U868" s="104">
        <f>SUM(S868:T868)</f>
        <v/>
      </c>
      <c r="V868" s="12">
        <f>U868/IF(H868="L",35,IF(H868="U",35,IF(H868="O",35,IF(H868="I",35,""))))</f>
        <v/>
      </c>
      <c r="W868" s="132">
        <f>IF(AND(H868="L", V868&gt;=50%), "Pass",
IF(AND(H868="U", V868&gt;=60%), "Pass",
IF(AND(H868="O", V868&gt;=75%), "Pass", "Fail")))</f>
        <v/>
      </c>
      <c r="X868" s="132">
        <f>IF(AND(Q868="Pass", W868="Pass"), "Pass", "Fail")</f>
        <v/>
      </c>
      <c r="Y868" s="15">
        <f>IF($X868="Pass",$H868,
IF(H868="L","I",
IF(H868="U","L",
IF(H868="O","U",
"I"))))</f>
        <v/>
      </c>
    </row>
    <row r="869">
      <c r="A869" s="147">
        <f>ROW()-2</f>
        <v/>
      </c>
      <c r="B869" s="133" t="inlineStr">
        <is>
          <t>SK3009</t>
        </is>
      </c>
      <c r="C869" s="148" t="inlineStr">
        <is>
          <t>VEERAMANI</t>
        </is>
      </c>
      <c r="D869" s="127" t="inlineStr">
        <is>
          <t>PRODUCTION</t>
        </is>
      </c>
      <c r="E869" s="135" t="inlineStr">
        <is>
          <t>SALVAGE</t>
        </is>
      </c>
      <c r="F869" s="136" t="n">
        <v>43983</v>
      </c>
      <c r="G869" s="131">
        <f>NOW()-F869</f>
        <v/>
      </c>
      <c r="H869" s="104" t="inlineStr">
        <is>
          <t>O</t>
        </is>
      </c>
      <c r="I869" s="104" t="inlineStr">
        <is>
          <t>U</t>
        </is>
      </c>
      <c r="J869" s="104" t="n">
        <v>10</v>
      </c>
      <c r="K869" s="104" t="n">
        <v>8</v>
      </c>
      <c r="L869" s="104" t="n">
        <v>8</v>
      </c>
      <c r="M869" s="104" t="n">
        <v>7</v>
      </c>
      <c r="N869" s="104" t="n"/>
      <c r="O869" s="104">
        <f>SUM(J869:N869)</f>
        <v/>
      </c>
      <c r="P869" s="12">
        <f>O869/IF(H869="L",20,IF(H869="U",30,IF(H869="O",40,IF(H869="I",20,""))))</f>
        <v/>
      </c>
      <c r="Q869" s="132">
        <f>IF(AND(H869="L", P869&gt;=50%), "Pass",
IF(AND(H869="U", P869&gt;=60%), "Pass",
IF(AND(H869="O", P869&gt;=75%), "Pass", "Fail")))</f>
        <v/>
      </c>
      <c r="R869" s="104" t="n"/>
      <c r="S869" s="104" t="n">
        <v>15</v>
      </c>
      <c r="T869" s="104" t="n">
        <v>12</v>
      </c>
      <c r="U869" s="104">
        <f>SUM(S869:T869)</f>
        <v/>
      </c>
      <c r="V869" s="12">
        <f>U869/IF(H869="L",35,IF(H869="U",35,IF(H869="O",35,IF(H869="I",35,""))))</f>
        <v/>
      </c>
      <c r="W869" s="132">
        <f>IF(AND(H869="L", V869&gt;=50%), "Pass",
IF(AND(H869="U", V869&gt;=60%), "Pass",
IF(AND(H869="O", V869&gt;=75%), "Pass", "Fail")))</f>
        <v/>
      </c>
      <c r="X869" s="132">
        <f>IF(AND(Q869="Pass", W869="Pass"), "Pass", "Fail")</f>
        <v/>
      </c>
      <c r="Y869" s="15">
        <f>IF($X869="Pass",$H869,
IF(H869="L","I",
IF(H869="U","L",
IF(H869="O","U",
"I"))))</f>
        <v/>
      </c>
    </row>
    <row r="870">
      <c r="A870" s="147">
        <f>ROW()-2</f>
        <v/>
      </c>
      <c r="B870" s="127" t="inlineStr">
        <is>
          <t>SK3010</t>
        </is>
      </c>
      <c r="C870" s="128" t="inlineStr">
        <is>
          <t>MATHAVAN</t>
        </is>
      </c>
      <c r="D870" s="127" t="inlineStr">
        <is>
          <t>PRODUCTION</t>
        </is>
      </c>
      <c r="E870" s="129" t="inlineStr">
        <is>
          <t>EXTRUDER</t>
        </is>
      </c>
      <c r="F870" s="130" t="n">
        <v>43983</v>
      </c>
      <c r="G870" s="131">
        <f>NOW()-F870</f>
        <v/>
      </c>
      <c r="H870" s="104" t="inlineStr">
        <is>
          <t>O</t>
        </is>
      </c>
      <c r="I870" s="104" t="inlineStr">
        <is>
          <t>U</t>
        </is>
      </c>
      <c r="J870" s="104" t="n">
        <v>7</v>
      </c>
      <c r="K870" s="104" t="n">
        <v>7</v>
      </c>
      <c r="L870" s="104" t="n">
        <v>10</v>
      </c>
      <c r="M870" s="104" t="n">
        <v>9</v>
      </c>
      <c r="N870" s="104" t="n"/>
      <c r="O870" s="104">
        <f>SUM(J870:N870)</f>
        <v/>
      </c>
      <c r="P870" s="12">
        <f>O870/IF(H870="L",20,IF(H870="U",30,IF(H870="O",40,IF(H870="I",20,""))))</f>
        <v/>
      </c>
      <c r="Q870" s="132">
        <f>IF(AND(H870="L", P870&gt;=50%), "Pass",
IF(AND(H870="U", P870&gt;=60%), "Pass",
IF(AND(H870="O", P870&gt;=75%), "Pass", "Fail")))</f>
        <v/>
      </c>
      <c r="R870" s="104" t="n"/>
      <c r="S870" s="104" t="n">
        <v>15</v>
      </c>
      <c r="T870" s="104" t="n">
        <v>9</v>
      </c>
      <c r="U870" s="104">
        <f>SUM(S870:T870)</f>
        <v/>
      </c>
      <c r="V870" s="12">
        <f>U870/IF(H870="L",35,IF(H870="U",35,IF(H870="O",35,IF(H870="I",35,""))))</f>
        <v/>
      </c>
      <c r="W870" s="132">
        <f>IF(AND(H870="L", V870&gt;=50%), "Pass",
IF(AND(H870="U", V870&gt;=60%), "Pass",
IF(AND(H870="O", V870&gt;=75%), "Pass", "Fail")))</f>
        <v/>
      </c>
      <c r="X870" s="132">
        <f>IF(AND(Q870="Pass", W870="Pass"), "Pass", "Fail")</f>
        <v/>
      </c>
      <c r="Y870" s="15">
        <f>IF($X870="Pass",$H870,
IF(H870="L","I",
IF(H870="U","L",
IF(H870="O","U",
"I"))))</f>
        <v/>
      </c>
      <c r="Z870" s="82" t="n"/>
    </row>
    <row r="871">
      <c r="A871" s="147">
        <f>ROW()-2</f>
        <v/>
      </c>
      <c r="B871" s="127" t="inlineStr">
        <is>
          <t>SK3012</t>
        </is>
      </c>
      <c r="C871" s="128" t="inlineStr">
        <is>
          <t>PANDARAM</t>
        </is>
      </c>
      <c r="D871" s="127" t="inlineStr">
        <is>
          <t>PRODUCTION</t>
        </is>
      </c>
      <c r="E871" s="129" t="inlineStr">
        <is>
          <t>EXTRUDER</t>
        </is>
      </c>
      <c r="F871" s="130" t="n">
        <v>43983</v>
      </c>
      <c r="G871" s="131">
        <f>NOW()-F871</f>
        <v/>
      </c>
      <c r="H871" s="104" t="inlineStr">
        <is>
          <t>O</t>
        </is>
      </c>
      <c r="I871" s="104" t="inlineStr">
        <is>
          <t>U</t>
        </is>
      </c>
      <c r="J871" s="104" t="n">
        <v>4</v>
      </c>
      <c r="K871" s="104" t="n">
        <v>4</v>
      </c>
      <c r="L871" s="104" t="n">
        <v>4</v>
      </c>
      <c r="M871" s="104" t="n">
        <v>5</v>
      </c>
      <c r="N871" s="104" t="n"/>
      <c r="O871" s="104">
        <f>SUM(J871:N871)</f>
        <v/>
      </c>
      <c r="P871" s="12">
        <f>O871/IF(H871="L",20,IF(H871="U",30,IF(H871="O",40,IF(H871="I",20,""))))</f>
        <v/>
      </c>
      <c r="Q871" s="132">
        <f>IF(AND(H871="L", P871&gt;=50%), "Pass",
IF(AND(H871="U", P871&gt;=60%), "Pass",
IF(AND(H871="O", P871&gt;=75%), "Pass", "Fail")))</f>
        <v/>
      </c>
      <c r="R871" s="104" t="n"/>
      <c r="S871" s="104" t="n">
        <v>12</v>
      </c>
      <c r="T871" s="104" t="n">
        <v>9</v>
      </c>
      <c r="U871" s="104">
        <f>SUM(S871:T871)</f>
        <v/>
      </c>
      <c r="V871" s="12">
        <f>U871/IF(H871="L",35,IF(H871="U",35,IF(H871="O",35,IF(H871="I",35,""))))</f>
        <v/>
      </c>
      <c r="W871" s="132">
        <f>IF(AND(H871="L", V871&gt;=50%), "Pass",
IF(AND(H871="U", V871&gt;=60%), "Pass",
IF(AND(H871="O", V871&gt;=75%), "Pass", "Fail")))</f>
        <v/>
      </c>
      <c r="X871" s="132">
        <f>IF(AND(Q871="Pass", W871="Pass"), "Pass", "Fail")</f>
        <v/>
      </c>
      <c r="Y871" s="15">
        <f>IF($X871="Pass",$H871,
IF(H871="L","I",
IF(H871="U","L",
IF(H871="O","U",
"I"))))</f>
        <v/>
      </c>
    </row>
    <row r="872">
      <c r="A872" s="147">
        <f>ROW()-2</f>
        <v/>
      </c>
      <c r="B872" s="127" t="inlineStr">
        <is>
          <t>SK3014</t>
        </is>
      </c>
      <c r="C872" s="128" t="inlineStr">
        <is>
          <t>KALI PERUMAL D</t>
        </is>
      </c>
      <c r="D872" s="127" t="inlineStr">
        <is>
          <t>PRODUCTION</t>
        </is>
      </c>
      <c r="E872" s="129" t="inlineStr">
        <is>
          <t>EXTRUDER</t>
        </is>
      </c>
      <c r="F872" s="130" t="n">
        <v>43983</v>
      </c>
      <c r="G872" s="131">
        <f>NOW()-F872</f>
        <v/>
      </c>
      <c r="H872" s="104" t="inlineStr">
        <is>
          <t>O</t>
        </is>
      </c>
      <c r="I872" s="104" t="inlineStr">
        <is>
          <t>U</t>
        </is>
      </c>
      <c r="J872" s="104" t="n">
        <v>9</v>
      </c>
      <c r="K872" s="104" t="n">
        <v>8</v>
      </c>
      <c r="L872" s="104" t="n">
        <v>8</v>
      </c>
      <c r="M872" s="104" t="n">
        <v>10</v>
      </c>
      <c r="N872" s="104" t="n"/>
      <c r="O872" s="104">
        <f>SUM(J872:N872)</f>
        <v/>
      </c>
      <c r="P872" s="12">
        <f>O872/IF(H872="L",20,IF(H872="U",30,IF(H872="O",40,IF(H872="I",20,""))))</f>
        <v/>
      </c>
      <c r="Q872" s="132">
        <f>IF(AND(H872="L", P872&gt;=50%), "Pass",
IF(AND(H872="U", P872&gt;=60%), "Pass",
IF(AND(H872="O", P872&gt;=75%), "Pass", "Fail")))</f>
        <v/>
      </c>
      <c r="R872" s="104" t="n"/>
      <c r="S872" s="104" t="n">
        <v>18</v>
      </c>
      <c r="T872" s="104" t="n">
        <v>11</v>
      </c>
      <c r="U872" s="104">
        <f>SUM(S872:T872)</f>
        <v/>
      </c>
      <c r="V872" s="12">
        <f>U872/IF(H872="L",35,IF(H872="U",35,IF(H872="O",35,IF(H872="I",35,""))))</f>
        <v/>
      </c>
      <c r="W872" s="132">
        <f>IF(AND(H872="L", V872&gt;=50%), "Pass",
IF(AND(H872="U", V872&gt;=60%), "Pass",
IF(AND(H872="O", V872&gt;=75%), "Pass", "Fail")))</f>
        <v/>
      </c>
      <c r="X872" s="132">
        <f>IF(AND(Q872="Pass", W872="Pass"), "Pass", "Fail")</f>
        <v/>
      </c>
      <c r="Y872" s="15">
        <f>IF($X872="Pass",$H872,
IF(H872="L","I",
IF(H872="U","L",
IF(H872="O","U",
"I"))))</f>
        <v/>
      </c>
    </row>
    <row r="873">
      <c r="A873" s="147">
        <f>ROW()-2</f>
        <v/>
      </c>
      <c r="B873" s="127" t="inlineStr">
        <is>
          <t>SK3015</t>
        </is>
      </c>
      <c r="C873" s="128" t="inlineStr">
        <is>
          <t>RAJENDREN</t>
        </is>
      </c>
      <c r="D873" s="127" t="inlineStr">
        <is>
          <t>PRODUCTION</t>
        </is>
      </c>
      <c r="E873" s="129" t="inlineStr">
        <is>
          <t>EXTRUDER</t>
        </is>
      </c>
      <c r="F873" s="130" t="n">
        <v>43983</v>
      </c>
      <c r="G873" s="131">
        <f>NOW()-F873</f>
        <v/>
      </c>
      <c r="H873" s="104" t="inlineStr">
        <is>
          <t>O</t>
        </is>
      </c>
      <c r="I873" s="104" t="inlineStr">
        <is>
          <t>U</t>
        </is>
      </c>
      <c r="J873" s="104" t="n">
        <v>9</v>
      </c>
      <c r="K873" s="104" t="n">
        <v>8</v>
      </c>
      <c r="L873" s="104" t="n">
        <v>8</v>
      </c>
      <c r="M873" s="104" t="n">
        <v>10</v>
      </c>
      <c r="N873" s="104" t="n"/>
      <c r="O873" s="104">
        <f>SUM(J873:N873)</f>
        <v/>
      </c>
      <c r="P873" s="12">
        <f>O873/IF(H873="L",20,IF(H873="U",30,IF(H873="O",40,IF(H873="I",20,""))))</f>
        <v/>
      </c>
      <c r="Q873" s="132">
        <f>IF(AND(H873="L", P873&gt;=50%), "Pass",
IF(AND(H873="U", P873&gt;=60%), "Pass",
IF(AND(H873="O", P873&gt;=75%), "Pass", "Fail")))</f>
        <v/>
      </c>
      <c r="R873" s="104" t="n"/>
      <c r="S873" s="104" t="n">
        <v>16</v>
      </c>
      <c r="T873" s="104" t="n">
        <v>11</v>
      </c>
      <c r="U873" s="104">
        <f>SUM(S873:T873)</f>
        <v/>
      </c>
      <c r="V873" s="12">
        <f>U873/IF(H873="L",35,IF(H873="U",35,IF(H873="O",35,IF(H873="I",35,""))))</f>
        <v/>
      </c>
      <c r="W873" s="132">
        <f>IF(AND(H873="L", V873&gt;=50%), "Pass",
IF(AND(H873="U", V873&gt;=60%), "Pass",
IF(AND(H873="O", V873&gt;=75%), "Pass", "Fail")))</f>
        <v/>
      </c>
      <c r="X873" s="132">
        <f>IF(AND(Q873="Pass", W873="Pass"), "Pass", "Fail")</f>
        <v/>
      </c>
      <c r="Y873" s="15">
        <f>IF($X873="Pass",$H873,
IF(H873="L","I",
IF(H873="U","L",
IF(H873="O","U",
"I"))))</f>
        <v/>
      </c>
    </row>
    <row r="874">
      <c r="A874" s="147">
        <f>ROW()-2</f>
        <v/>
      </c>
      <c r="B874" s="127" t="inlineStr">
        <is>
          <t>SK3016</t>
        </is>
      </c>
      <c r="C874" s="128" t="inlineStr">
        <is>
          <t>MARI MUTHU</t>
        </is>
      </c>
      <c r="D874" s="127" t="inlineStr">
        <is>
          <t>PRODUCTION</t>
        </is>
      </c>
      <c r="E874" s="129" t="inlineStr">
        <is>
          <t>BEAD WINDING</t>
        </is>
      </c>
      <c r="F874" s="130" t="n">
        <v>43983</v>
      </c>
      <c r="G874" s="131">
        <f>NOW()-F874</f>
        <v/>
      </c>
      <c r="H874" s="104" t="inlineStr">
        <is>
          <t>O</t>
        </is>
      </c>
      <c r="I874" s="104" t="inlineStr">
        <is>
          <t>U</t>
        </is>
      </c>
      <c r="J874" s="104" t="n">
        <v>8</v>
      </c>
      <c r="K874" s="104" t="n">
        <v>8</v>
      </c>
      <c r="L874" s="104" t="n">
        <v>6</v>
      </c>
      <c r="M874" s="104" t="n">
        <v>7</v>
      </c>
      <c r="N874" s="104" t="n"/>
      <c r="O874" s="104">
        <f>SUM(J874:N874)</f>
        <v/>
      </c>
      <c r="P874" s="12">
        <f>O874/IF(H874="L",20,IF(H874="U",30,IF(H874="O",40,IF(H874="I",20,""))))</f>
        <v/>
      </c>
      <c r="Q874" s="132">
        <f>IF(AND(H874="L", P874&gt;=50%), "Pass",
IF(AND(H874="U", P874&gt;=60%), "Pass",
IF(AND(H874="O", P874&gt;=75%), "Pass", "Fail")))</f>
        <v/>
      </c>
      <c r="R874" s="104" t="n"/>
      <c r="S874" s="104" t="n">
        <v>11</v>
      </c>
      <c r="T874" s="104" t="n">
        <v>4</v>
      </c>
      <c r="U874" s="104">
        <f>SUM(S874:T874)</f>
        <v/>
      </c>
      <c r="V874" s="12">
        <f>U874/IF(H874="L",35,IF(H874="U",35,IF(H874="O",35,IF(H874="I",35,""))))</f>
        <v/>
      </c>
      <c r="W874" s="132">
        <f>IF(AND(H874="L", V874&gt;=50%), "Pass",
IF(AND(H874="U", V874&gt;=60%), "Pass",
IF(AND(H874="O", V874&gt;=75%), "Pass", "Fail")))</f>
        <v/>
      </c>
      <c r="X874" s="132">
        <f>IF(AND(Q874="Pass", W874="Pass"), "Pass", "Fail")</f>
        <v/>
      </c>
      <c r="Y874" s="15">
        <f>IF($X874="Pass",$H874,
IF(H874="L","I",
IF(H874="U","L",
IF(H874="O","U",
"I"))))</f>
        <v/>
      </c>
    </row>
    <row r="875">
      <c r="A875" s="147">
        <f>ROW()-2</f>
        <v/>
      </c>
      <c r="B875" s="127" t="inlineStr">
        <is>
          <t>SK3020</t>
        </is>
      </c>
      <c r="C875" s="128" t="inlineStr">
        <is>
          <t>SIVANANTHAM</t>
        </is>
      </c>
      <c r="D875" s="127" t="inlineStr">
        <is>
          <t>PRODUCTION</t>
        </is>
      </c>
      <c r="E875" s="129" t="inlineStr">
        <is>
          <t>EXTRUDER</t>
        </is>
      </c>
      <c r="F875" s="130" t="n">
        <v>43983</v>
      </c>
      <c r="G875" s="131">
        <f>NOW()-F875</f>
        <v/>
      </c>
      <c r="H875" s="104" t="inlineStr">
        <is>
          <t>O</t>
        </is>
      </c>
      <c r="I875" s="104" t="inlineStr">
        <is>
          <t>U</t>
        </is>
      </c>
      <c r="J875" s="104" t="n">
        <v>9</v>
      </c>
      <c r="K875" s="104" t="n">
        <v>8</v>
      </c>
      <c r="L875" s="104" t="n">
        <v>10</v>
      </c>
      <c r="M875" s="104" t="n">
        <v>9</v>
      </c>
      <c r="N875" s="104" t="n"/>
      <c r="O875" s="104">
        <f>SUM(J875:N875)</f>
        <v/>
      </c>
      <c r="P875" s="12">
        <f>O875/IF(H875="L",20,IF(H875="U",30,IF(H875="O",40,IF(H875="I",20,""))))</f>
        <v/>
      </c>
      <c r="Q875" s="132">
        <f>IF(AND(H875="L", P875&gt;=50%), "Pass",
IF(AND(H875="U", P875&gt;=60%), "Pass",
IF(AND(H875="O", P875&gt;=75%), "Pass", "Fail")))</f>
        <v/>
      </c>
      <c r="R875" s="104" t="n"/>
      <c r="S875" s="104" t="n">
        <v>17</v>
      </c>
      <c r="T875" s="104" t="n">
        <v>10</v>
      </c>
      <c r="U875" s="104">
        <f>SUM(S875:T875)</f>
        <v/>
      </c>
      <c r="V875" s="12">
        <f>U875/IF(H875="L",35,IF(H875="U",35,IF(H875="O",35,IF(H875="I",35,""))))</f>
        <v/>
      </c>
      <c r="W875" s="132">
        <f>IF(AND(H875="L", V875&gt;=50%), "Pass",
IF(AND(H875="U", V875&gt;=60%), "Pass",
IF(AND(H875="O", V875&gt;=75%), "Pass", "Fail")))</f>
        <v/>
      </c>
      <c r="X875" s="132">
        <f>IF(AND(Q875="Pass", W875="Pass"), "Pass", "Fail")</f>
        <v/>
      </c>
      <c r="Y875" s="15">
        <f>IF($X875="Pass",$H875,
IF(H875="L","I",
IF(H875="U","L",
IF(H875="O","U",
"I"))))</f>
        <v/>
      </c>
      <c r="Z875" s="81">
        <f>V875-75%</f>
        <v/>
      </c>
    </row>
    <row r="876">
      <c r="A876" s="147">
        <f>ROW()-2</f>
        <v/>
      </c>
      <c r="B876" s="127" t="inlineStr">
        <is>
          <t>SR1049</t>
        </is>
      </c>
      <c r="C876" s="128" t="inlineStr">
        <is>
          <t>NALLAPERUMAL</t>
        </is>
      </c>
      <c r="D876" s="127" t="inlineStr">
        <is>
          <t>PRODUCTION</t>
        </is>
      </c>
      <c r="E876" s="129" t="inlineStr">
        <is>
          <t>BAND BUILDING-P1</t>
        </is>
      </c>
      <c r="F876" s="130" t="n">
        <v>44008</v>
      </c>
      <c r="G876" s="131">
        <f>NOW()-F876</f>
        <v/>
      </c>
      <c r="H876" s="104" t="inlineStr">
        <is>
          <t>O</t>
        </is>
      </c>
      <c r="I876" s="104" t="inlineStr">
        <is>
          <t>U</t>
        </is>
      </c>
      <c r="J876" s="104" t="n">
        <v>6</v>
      </c>
      <c r="K876" s="104" t="n">
        <v>2</v>
      </c>
      <c r="L876" s="104" t="n">
        <v>3</v>
      </c>
      <c r="M876" s="104" t="n">
        <v>6</v>
      </c>
      <c r="N876" s="104" t="n"/>
      <c r="O876" s="104">
        <f>SUM(J876:N876)</f>
        <v/>
      </c>
      <c r="P876" s="12">
        <f>O876/IF(H876="L",20,IF(H876="U",30,IF(H876="O",40,IF(H876="I",20,""))))</f>
        <v/>
      </c>
      <c r="Q876" s="132">
        <f>IF(AND(H876="L", P876&gt;=50%), "Pass",
IF(AND(H876="U", P876&gt;=60%), "Pass",
IF(AND(H876="O", P876&gt;=75%), "Pass", "Fail")))</f>
        <v/>
      </c>
      <c r="R876" s="104" t="n"/>
      <c r="S876" s="104" t="n">
        <v>13</v>
      </c>
      <c r="T876" s="104" t="n">
        <v>9</v>
      </c>
      <c r="U876" s="104">
        <f>SUM(S876:T876)</f>
        <v/>
      </c>
      <c r="V876" s="12">
        <f>U876/IF(H876="L",35,IF(H876="U",35,IF(H876="O",35,IF(H876="I",35,""))))</f>
        <v/>
      </c>
      <c r="W876" s="132">
        <f>IF(AND(H876="L", V876&gt;=50%), "Pass",
IF(AND(H876="U", V876&gt;=60%), "Pass",
IF(AND(H876="O", V876&gt;=75%), "Pass", "Fail")))</f>
        <v/>
      </c>
      <c r="X876" s="132">
        <f>IF(AND(Q876="Pass", W876="Pass"), "Pass", "Fail")</f>
        <v/>
      </c>
      <c r="Y876" s="15">
        <f>IF($X876="Pass",$H876,
IF(H876="L","I",
IF(H876="U","L",
IF(H876="O","U",
"I"))))</f>
        <v/>
      </c>
    </row>
    <row r="877">
      <c r="A877" s="147">
        <f>ROW()-2</f>
        <v/>
      </c>
      <c r="B877" s="127" t="inlineStr">
        <is>
          <t>SK3033</t>
        </is>
      </c>
      <c r="C877" s="128" t="inlineStr">
        <is>
          <t>MUTHUSUNDAR PONNUSAMY</t>
        </is>
      </c>
      <c r="D877" s="127" t="inlineStr">
        <is>
          <t>PRODUCTION</t>
        </is>
      </c>
      <c r="E877" s="129" t="inlineStr">
        <is>
          <t>TYRE CURING</t>
        </is>
      </c>
      <c r="F877" s="130" t="n">
        <v>44028</v>
      </c>
      <c r="G877" s="131">
        <f>NOW()-F877</f>
        <v/>
      </c>
      <c r="H877" s="104" t="inlineStr">
        <is>
          <t>O</t>
        </is>
      </c>
      <c r="I877" s="104" t="inlineStr">
        <is>
          <t>U</t>
        </is>
      </c>
      <c r="J877" s="104" t="n">
        <v>9</v>
      </c>
      <c r="K877" s="104" t="n">
        <v>9</v>
      </c>
      <c r="L877" s="104" t="n">
        <v>7</v>
      </c>
      <c r="M877" s="104" t="n">
        <v>7</v>
      </c>
      <c r="N877" s="104" t="n"/>
      <c r="O877" s="104">
        <f>SUM(J877:N877)</f>
        <v/>
      </c>
      <c r="P877" s="12">
        <f>O877/IF(H877="L",20,IF(H877="U",30,IF(H877="O",40,IF(H877="I",20,""))))</f>
        <v/>
      </c>
      <c r="Q877" s="132">
        <f>IF(AND(H877="L", P877&gt;=50%), "Pass",
IF(AND(H877="U", P877&gt;=60%), "Pass",
IF(AND(H877="O", P877&gt;=75%), "Pass", "Fail")))</f>
        <v/>
      </c>
      <c r="R877" s="104" t="n"/>
      <c r="S877" s="104" t="n">
        <v>15</v>
      </c>
      <c r="T877" s="104" t="n">
        <v>12</v>
      </c>
      <c r="U877" s="104">
        <f>SUM(S877:T877)</f>
        <v/>
      </c>
      <c r="V877" s="12">
        <f>U877/IF(H877="L",35,IF(H877="U",35,IF(H877="O",35,IF(H877="I",35,""))))</f>
        <v/>
      </c>
      <c r="W877" s="132">
        <f>IF(AND(H877="L", V877&gt;=50%), "Pass",
IF(AND(H877="U", V877&gt;=60%), "Pass",
IF(AND(H877="O", V877&gt;=75%), "Pass", "Fail")))</f>
        <v/>
      </c>
      <c r="X877" s="132">
        <f>IF(AND(Q877="Pass", W877="Pass"), "Pass", "Fail")</f>
        <v/>
      </c>
      <c r="Y877" s="15">
        <f>IF($X877="Pass",$H877,
IF(H877="L","I",
IF(H877="U","L",
IF(H877="O","U",
"I"))))</f>
        <v/>
      </c>
    </row>
    <row r="878">
      <c r="A878" s="147">
        <f>ROW()-2</f>
        <v/>
      </c>
      <c r="B878" s="127" t="inlineStr">
        <is>
          <t>SK3034</t>
        </is>
      </c>
      <c r="C878" s="128" t="inlineStr">
        <is>
          <t>LAKSHMANAN MATHI PONNUSAMY</t>
        </is>
      </c>
      <c r="D878" s="127" t="inlineStr">
        <is>
          <t>PRODUCTION</t>
        </is>
      </c>
      <c r="E878" s="129" t="inlineStr">
        <is>
          <t>TYRE CURING</t>
        </is>
      </c>
      <c r="F878" s="130" t="n">
        <v>44028</v>
      </c>
      <c r="G878" s="131">
        <f>NOW()-F878</f>
        <v/>
      </c>
      <c r="H878" s="104" t="inlineStr">
        <is>
          <t>O</t>
        </is>
      </c>
      <c r="I878" s="104" t="inlineStr">
        <is>
          <t>O</t>
        </is>
      </c>
      <c r="J878" s="104" t="n">
        <v>9</v>
      </c>
      <c r="K878" s="104" t="n">
        <v>10</v>
      </c>
      <c r="L878" s="104" t="n">
        <v>9</v>
      </c>
      <c r="M878" s="104" t="n">
        <v>8</v>
      </c>
      <c r="N878" s="104" t="n"/>
      <c r="O878" s="104">
        <f>SUM(J878:N878)</f>
        <v/>
      </c>
      <c r="P878" s="12">
        <f>O878/IF(H878="L",20,IF(H878="U",30,IF(H878="O",40,IF(H878="I",20,""))))</f>
        <v/>
      </c>
      <c r="Q878" s="132">
        <f>IF(AND(H878="L", P878&gt;=50%), "Pass",
IF(AND(H878="U", P878&gt;=60%), "Pass",
IF(AND(H878="O", P878&gt;=75%), "Pass", "Fail")))</f>
        <v/>
      </c>
      <c r="R878" s="104" t="n"/>
      <c r="S878" s="104" t="n">
        <v>12</v>
      </c>
      <c r="T878" s="104" t="n">
        <v>9</v>
      </c>
      <c r="U878" s="104">
        <f>SUM(S878:T878)</f>
        <v/>
      </c>
      <c r="V878" s="12">
        <f>U878/IF(H878="L",35,IF(H878="U",35,IF(H878="O",35,IF(H878="I",35,""))))</f>
        <v/>
      </c>
      <c r="W878" s="132">
        <f>IF(AND(H878="L", V878&gt;=50%), "Pass",
IF(AND(H878="U", V878&gt;=60%), "Pass",
IF(AND(H878="O", V878&gt;=75%), "Pass", "Fail")))</f>
        <v/>
      </c>
      <c r="X878" s="132">
        <f>IF(AND(Q878="Pass", W878="Pass"), "Pass", "Fail")</f>
        <v/>
      </c>
      <c r="Y878" s="15">
        <f>IF($X878="Pass",$H878,
IF(H878="L","I",
IF(H878="U","L",
IF(H878="O","U",
"I"))))</f>
        <v/>
      </c>
    </row>
    <row r="879">
      <c r="A879" s="147">
        <f>ROW()-2</f>
        <v/>
      </c>
      <c r="B879" s="127" t="inlineStr">
        <is>
          <t>PK1084</t>
        </is>
      </c>
      <c r="C879" s="128" t="inlineStr">
        <is>
          <t>SELVAM</t>
        </is>
      </c>
      <c r="D879" s="127" t="inlineStr">
        <is>
          <t>PRODUCTION</t>
        </is>
      </c>
      <c r="E879" s="129" t="inlineStr">
        <is>
          <t>TYRE CURING</t>
        </is>
      </c>
      <c r="F879" s="130" t="n">
        <v>44029</v>
      </c>
      <c r="G879" s="131">
        <f>NOW()-F879</f>
        <v/>
      </c>
      <c r="H879" s="104" t="inlineStr">
        <is>
          <t>O</t>
        </is>
      </c>
      <c r="I879" s="104" t="inlineStr">
        <is>
          <t>O</t>
        </is>
      </c>
      <c r="J879" s="104" t="n">
        <v>9</v>
      </c>
      <c r="K879" s="104" t="n">
        <v>6</v>
      </c>
      <c r="L879" s="104" t="n">
        <v>8</v>
      </c>
      <c r="M879" s="104" t="n">
        <v>4</v>
      </c>
      <c r="N879" s="104" t="n"/>
      <c r="O879" s="104">
        <f>SUM(J879:N879)</f>
        <v/>
      </c>
      <c r="P879" s="12">
        <f>O879/IF(H879="L",20,IF(H879="U",30,IF(H879="O",40,IF(H879="I",20,""))))</f>
        <v/>
      </c>
      <c r="Q879" s="132">
        <f>IF(AND(H879="L", P879&gt;=50%), "Pass",
IF(AND(H879="U", P879&gt;=60%), "Pass",
IF(AND(H879="O", P879&gt;=75%), "Pass", "Fail")))</f>
        <v/>
      </c>
      <c r="R879" s="104" t="n"/>
      <c r="S879" s="104" t="n">
        <v>15</v>
      </c>
      <c r="T879" s="104" t="n">
        <v>11</v>
      </c>
      <c r="U879" s="104">
        <f>SUM(S879:T879)</f>
        <v/>
      </c>
      <c r="V879" s="12">
        <f>U879/IF(H879="L",35,IF(H879="U",35,IF(H879="O",35,IF(H879="I",35,""))))</f>
        <v/>
      </c>
      <c r="W879" s="132">
        <f>IF(AND(H879="L", V879&gt;=50%), "Pass",
IF(AND(H879="U", V879&gt;=60%), "Pass",
IF(AND(H879="O", V879&gt;=75%), "Pass", "Fail")))</f>
        <v/>
      </c>
      <c r="X879" s="132">
        <f>IF(AND(Q879="Pass", W879="Pass"), "Pass", "Fail")</f>
        <v/>
      </c>
      <c r="Y879" s="15">
        <f>IF($X879="Pass",$H879,
IF(H879="L","I",
IF(H879="U","L",
IF(H879="O","U",
"I"))))</f>
        <v/>
      </c>
    </row>
    <row r="880">
      <c r="A880" s="147">
        <f>ROW()-2</f>
        <v/>
      </c>
      <c r="B880" s="127" t="inlineStr">
        <is>
          <t>SK3052</t>
        </is>
      </c>
      <c r="C880" s="128" t="inlineStr">
        <is>
          <t>DURAIPANDI</t>
        </is>
      </c>
      <c r="D880" s="127" t="inlineStr">
        <is>
          <t>PRODUCTION</t>
        </is>
      </c>
      <c r="E880" s="129" t="inlineStr">
        <is>
          <t>BIAS CUTTING-1</t>
        </is>
      </c>
      <c r="F880" s="130" t="n">
        <v>44029</v>
      </c>
      <c r="G880" s="131">
        <f>NOW()-F880</f>
        <v/>
      </c>
      <c r="H880" s="104" t="inlineStr">
        <is>
          <t>O</t>
        </is>
      </c>
      <c r="I880" s="104" t="inlineStr">
        <is>
          <t>O</t>
        </is>
      </c>
      <c r="J880" s="104" t="n">
        <v>9</v>
      </c>
      <c r="K880" s="104" t="n">
        <v>7</v>
      </c>
      <c r="L880" s="104" t="n">
        <v>7</v>
      </c>
      <c r="M880" s="104" t="n">
        <v>9</v>
      </c>
      <c r="N880" s="104" t="n"/>
      <c r="O880" s="104">
        <f>SUM(J880:N880)</f>
        <v/>
      </c>
      <c r="P880" s="12">
        <f>O880/IF(H880="L",20,IF(H880="U",30,IF(H880="O",40,IF(H880="I",20,""))))</f>
        <v/>
      </c>
      <c r="Q880" s="132">
        <f>IF(AND(H880="L", P880&gt;=50%), "Pass",
IF(AND(H880="U", P880&gt;=60%), "Pass",
IF(AND(H880="O", P880&gt;=75%), "Pass", "Fail")))</f>
        <v/>
      </c>
      <c r="R880" s="104" t="n"/>
      <c r="S880" s="104" t="n">
        <v>18</v>
      </c>
      <c r="T880" s="104" t="n">
        <v>9</v>
      </c>
      <c r="U880" s="104">
        <f>SUM(S880:T880)</f>
        <v/>
      </c>
      <c r="V880" s="12">
        <f>U880/IF(H880="L",35,IF(H880="U",35,IF(H880="O",35,IF(H880="I",35,""))))</f>
        <v/>
      </c>
      <c r="W880" s="132">
        <f>IF(AND(H880="L", V880&gt;=50%), "Pass",
IF(AND(H880="U", V880&gt;=60%), "Pass",
IF(AND(H880="O", V880&gt;=75%), "Pass", "Fail")))</f>
        <v/>
      </c>
      <c r="X880" s="132">
        <f>IF(AND(Q880="Pass", W880="Pass"), "Pass", "Fail")</f>
        <v/>
      </c>
      <c r="Y880" s="15">
        <f>IF($X880="Pass",$H880,
IF(H880="L","I",
IF(H880="U","L",
IF(H880="O","U",
"I"))))</f>
        <v/>
      </c>
    </row>
    <row r="881">
      <c r="A881" s="147">
        <f>ROW()-2</f>
        <v/>
      </c>
      <c r="B881" s="127" t="inlineStr">
        <is>
          <t>SK3056</t>
        </is>
      </c>
      <c r="C881" s="128" t="inlineStr">
        <is>
          <t>NATARAJAN S</t>
        </is>
      </c>
      <c r="D881" s="127" t="inlineStr">
        <is>
          <t>PRODUCTION</t>
        </is>
      </c>
      <c r="E881" s="129" t="inlineStr">
        <is>
          <t>3 ROLL-P2</t>
        </is>
      </c>
      <c r="F881" s="130" t="n">
        <v>44032</v>
      </c>
      <c r="G881" s="131">
        <f>NOW()-F881</f>
        <v/>
      </c>
      <c r="H881" s="104" t="inlineStr">
        <is>
          <t>O</t>
        </is>
      </c>
      <c r="I881" s="104" t="inlineStr">
        <is>
          <t>U</t>
        </is>
      </c>
      <c r="J881" s="104" t="n">
        <v>6</v>
      </c>
      <c r="K881" s="104" t="n">
        <v>7</v>
      </c>
      <c r="L881" s="104" t="n">
        <v>5</v>
      </c>
      <c r="M881" s="104" t="n">
        <v>4</v>
      </c>
      <c r="N881" s="104" t="n"/>
      <c r="O881" s="104">
        <f>SUM(J881:N881)</f>
        <v/>
      </c>
      <c r="P881" s="12">
        <f>O881/IF(H881="L",20,IF(H881="U",30,IF(H881="O",40,IF(H881="I",20,""))))</f>
        <v/>
      </c>
      <c r="Q881" s="132">
        <f>IF(AND(H881="L", P881&gt;=50%), "Pass",
IF(AND(H881="U", P881&gt;=60%), "Pass",
IF(AND(H881="O", P881&gt;=75%), "Pass", "Fail")))</f>
        <v/>
      </c>
      <c r="R881" s="104" t="n"/>
      <c r="S881" s="104" t="n">
        <v>14</v>
      </c>
      <c r="T881" s="104" t="n">
        <v>11</v>
      </c>
      <c r="U881" s="104">
        <f>SUM(S881:T881)</f>
        <v/>
      </c>
      <c r="V881" s="12">
        <f>U881/IF(H881="L",35,IF(H881="U",35,IF(H881="O",35,IF(H881="I",35,""))))</f>
        <v/>
      </c>
      <c r="W881" s="132">
        <f>IF(AND(H881="L", V881&gt;=50%), "Pass",
IF(AND(H881="U", V881&gt;=60%), "Pass",
IF(AND(H881="O", V881&gt;=75%), "Pass", "Fail")))</f>
        <v/>
      </c>
      <c r="X881" s="132">
        <f>IF(AND(Q881="Pass", W881="Pass"), "Pass", "Fail")</f>
        <v/>
      </c>
      <c r="Y881" s="15">
        <f>IF($X881="Pass",$H881,
IF(H881="L","I",
IF(H881="U","L",
IF(H881="O","U",
"I"))))</f>
        <v/>
      </c>
    </row>
    <row r="882">
      <c r="A882" s="147">
        <f>ROW()-2</f>
        <v/>
      </c>
      <c r="B882" s="127" t="inlineStr">
        <is>
          <t>MG1393</t>
        </is>
      </c>
      <c r="C882" s="128" t="inlineStr">
        <is>
          <t>KATHIRVEL C</t>
        </is>
      </c>
      <c r="D882" s="127" t="inlineStr">
        <is>
          <t>PRODUCTION</t>
        </is>
      </c>
      <c r="E882" s="129" t="inlineStr">
        <is>
          <t>BAND BUILDING-P2</t>
        </is>
      </c>
      <c r="F882" s="130" t="n">
        <v>44047</v>
      </c>
      <c r="G882" s="131">
        <f>NOW()-F882</f>
        <v/>
      </c>
      <c r="H882" s="104" t="inlineStr">
        <is>
          <t>O</t>
        </is>
      </c>
      <c r="I882" s="104" t="inlineStr">
        <is>
          <t>U</t>
        </is>
      </c>
      <c r="J882" s="104" t="n">
        <v>8</v>
      </c>
      <c r="K882" s="104" t="n">
        <v>5</v>
      </c>
      <c r="L882" s="104" t="n">
        <v>7</v>
      </c>
      <c r="M882" s="104" t="n">
        <v>5</v>
      </c>
      <c r="N882" s="104" t="n"/>
      <c r="O882" s="104">
        <f>SUM(J882:N882)</f>
        <v/>
      </c>
      <c r="P882" s="12">
        <f>O882/IF(H882="L",20,IF(H882="U",30,IF(H882="O",40,IF(H882="I",20,""))))</f>
        <v/>
      </c>
      <c r="Q882" s="132">
        <f>IF(AND(H882="L", P882&gt;=50%), "Pass",
IF(AND(H882="U", P882&gt;=60%), "Pass",
IF(AND(H882="O", P882&gt;=75%), "Pass", "Fail")))</f>
        <v/>
      </c>
      <c r="R882" s="104" t="n"/>
      <c r="S882" s="104" t="n">
        <v>16</v>
      </c>
      <c r="T882" s="104" t="n">
        <v>12</v>
      </c>
      <c r="U882" s="104">
        <f>SUM(S882:T882)</f>
        <v/>
      </c>
      <c r="V882" s="12">
        <f>U882/IF(H882="L",35,IF(H882="U",35,IF(H882="O",35,IF(H882="I",35,""))))</f>
        <v/>
      </c>
      <c r="W882" s="132">
        <f>IF(AND(H882="L", V882&gt;=50%), "Pass",
IF(AND(H882="U", V882&gt;=60%), "Pass",
IF(AND(H882="O", V882&gt;=75%), "Pass", "Fail")))</f>
        <v/>
      </c>
      <c r="X882" s="132">
        <f>IF(AND(Q882="Pass", W882="Pass"), "Pass", "Fail")</f>
        <v/>
      </c>
      <c r="Y882" s="15">
        <f>IF($X882="Pass",$H882,
IF(H882="L","I",
IF(H882="U","L",
IF(H882="O","U",
"I"))))</f>
        <v/>
      </c>
      <c r="Z882" s="81">
        <f>V882-75%</f>
        <v/>
      </c>
    </row>
    <row r="883">
      <c r="A883" s="147">
        <f>ROW()-2</f>
        <v/>
      </c>
      <c r="B883" s="133" t="inlineStr">
        <is>
          <t>SR1059</t>
        </is>
      </c>
      <c r="C883" s="148" t="inlineStr">
        <is>
          <t>R RAMESH</t>
        </is>
      </c>
      <c r="D883" s="127" t="inlineStr">
        <is>
          <t>PRODUCTION</t>
        </is>
      </c>
      <c r="E883" s="135" t="inlineStr">
        <is>
          <t>MIXING</t>
        </is>
      </c>
      <c r="F883" s="136" t="n">
        <v>44047</v>
      </c>
      <c r="G883" s="131">
        <f>NOW()-F883</f>
        <v/>
      </c>
      <c r="H883" s="104" t="inlineStr">
        <is>
          <t>O</t>
        </is>
      </c>
      <c r="I883" s="104" t="inlineStr">
        <is>
          <t>U</t>
        </is>
      </c>
      <c r="J883" s="104" t="inlineStr">
        <is>
          <t>NIL</t>
        </is>
      </c>
      <c r="K883" s="104" t="n"/>
      <c r="L883" s="104" t="n"/>
      <c r="M883" s="104" t="n"/>
      <c r="N883" s="104" t="n"/>
      <c r="O883" s="104" t="n"/>
      <c r="P883" s="12">
        <f>O883/IF(H883="L",20,IF(H883="U",30,IF(H883="O",40,IF(H883="I",20,""))))</f>
        <v/>
      </c>
      <c r="Q883" s="132">
        <f>IF(AND(H883="L", P883&gt;=50%), "Pass",
IF(AND(H883="U", P883&gt;=60%), "Pass",
IF(AND(H883="O", P883&gt;=75%), "Pass", "Fail")))</f>
        <v/>
      </c>
      <c r="R883" s="104" t="n"/>
      <c r="S883" s="104" t="n">
        <v>15</v>
      </c>
      <c r="T883" s="104" t="n">
        <v>11</v>
      </c>
      <c r="U883" s="104">
        <f>SUM(S883:T883)</f>
        <v/>
      </c>
      <c r="V883" s="12">
        <f>U883/IF(H883="L",35,IF(H883="U",35,IF(H883="O",35,IF(H883="I",35,""))))</f>
        <v/>
      </c>
      <c r="W883" s="132">
        <f>IF(AND(H883="L", V883&gt;=50%), "Pass",
IF(AND(H883="U", V883&gt;=60%), "Pass",
IF(AND(H883="O", V883&gt;=75%), "Pass", "Fail")))</f>
        <v/>
      </c>
      <c r="X883" s="132">
        <f>IF(AND(Q883="Pass", W883="Pass"), "Pass", "Fail")</f>
        <v/>
      </c>
      <c r="Y883" s="15">
        <f>IF($X883="Pass",$H883,
IF(H883="L","I",
IF(H883="U","L",
IF(H883="O","U",
"I"))))</f>
        <v/>
      </c>
    </row>
    <row r="884">
      <c r="A884" s="147">
        <f>ROW()-2</f>
        <v/>
      </c>
      <c r="B884" s="133" t="inlineStr">
        <is>
          <t>SR1060</t>
        </is>
      </c>
      <c r="C884" s="148" t="inlineStr">
        <is>
          <t>PONRAMAN R</t>
        </is>
      </c>
      <c r="D884" s="127" t="inlineStr">
        <is>
          <t>PRODUCTION</t>
        </is>
      </c>
      <c r="E884" s="135" t="inlineStr">
        <is>
          <t>MIXING</t>
        </is>
      </c>
      <c r="F884" s="136" t="n">
        <v>44047</v>
      </c>
      <c r="G884" s="131">
        <f>NOW()-F884</f>
        <v/>
      </c>
      <c r="H884" s="104" t="inlineStr">
        <is>
          <t>O</t>
        </is>
      </c>
      <c r="I884" s="104" t="inlineStr">
        <is>
          <t>O</t>
        </is>
      </c>
      <c r="J884" s="104" t="inlineStr">
        <is>
          <t>NIL</t>
        </is>
      </c>
      <c r="K884" s="104" t="n"/>
      <c r="L884" s="104" t="n"/>
      <c r="M884" s="104" t="n"/>
      <c r="N884" s="104" t="n"/>
      <c r="O884" s="104" t="n"/>
      <c r="P884" s="12">
        <f>O884/IF(H884="L",20,IF(H884="U",30,IF(H884="O",40,IF(H884="I",20,""))))</f>
        <v/>
      </c>
      <c r="Q884" s="132">
        <f>IF(AND(H884="L", P884&gt;=50%), "Pass",
IF(AND(H884="U", P884&gt;=60%), "Pass",
IF(AND(H884="O", P884&gt;=75%), "Pass", "Fail")))</f>
        <v/>
      </c>
      <c r="R884" s="104" t="n"/>
      <c r="S884" s="104" t="n">
        <v>13</v>
      </c>
      <c r="T884" s="104" t="n">
        <v>12</v>
      </c>
      <c r="U884" s="104">
        <f>SUM(S884:T884)</f>
        <v/>
      </c>
      <c r="V884" s="12">
        <f>U884/IF(H884="L",35,IF(H884="U",35,IF(H884="O",35,IF(H884="I",35,""))))</f>
        <v/>
      </c>
      <c r="W884" s="132">
        <f>IF(AND(H884="L", V884&gt;=50%), "Pass",
IF(AND(H884="U", V884&gt;=60%), "Pass",
IF(AND(H884="O", V884&gt;=75%), "Pass", "Fail")))</f>
        <v/>
      </c>
      <c r="X884" s="132">
        <f>IF(AND(Q884="Pass", W884="Pass"), "Pass", "Fail")</f>
        <v/>
      </c>
      <c r="Y884" s="15">
        <f>IF($X884="Pass",$H884,
IF(H884="L","I",
IF(H884="U","L",
IF(H884="O","U",
"I"))))</f>
        <v/>
      </c>
    </row>
    <row r="885">
      <c r="A885" s="147">
        <f>ROW()-2</f>
        <v/>
      </c>
      <c r="B885" s="127" t="inlineStr">
        <is>
          <t>KK1151</t>
        </is>
      </c>
      <c r="C885" s="128" t="inlineStr">
        <is>
          <t>SATHEESH KUMAR</t>
        </is>
      </c>
      <c r="D885" s="127" t="inlineStr">
        <is>
          <t>PRODUCTION</t>
        </is>
      </c>
      <c r="E885" s="129" t="inlineStr">
        <is>
          <t>TYRE BUILDING-P2</t>
        </is>
      </c>
      <c r="F885" s="130" t="n">
        <v>44055</v>
      </c>
      <c r="G885" s="131">
        <f>NOW()-F885</f>
        <v/>
      </c>
      <c r="H885" s="104" t="inlineStr">
        <is>
          <t>O</t>
        </is>
      </c>
      <c r="I885" s="104" t="inlineStr">
        <is>
          <t>U</t>
        </is>
      </c>
      <c r="J885" s="104" t="n">
        <v>9</v>
      </c>
      <c r="K885" s="104" t="n">
        <v>9</v>
      </c>
      <c r="L885" s="104" t="n">
        <v>6</v>
      </c>
      <c r="M885" s="104" t="n">
        <v>6</v>
      </c>
      <c r="N885" s="104" t="n"/>
      <c r="O885" s="104">
        <f>SUM(J885:N885)</f>
        <v/>
      </c>
      <c r="P885" s="12">
        <f>O885/IF(H885="L",20,IF(H885="U",30,IF(H885="O",40,IF(H885="I",20,""))))</f>
        <v/>
      </c>
      <c r="Q885" s="132">
        <f>IF(AND(H885="L", P885&gt;=50%), "Pass",
IF(AND(H885="U", P885&gt;=60%), "Pass",
IF(AND(H885="O", P885&gt;=75%), "Pass", "Fail")))</f>
        <v/>
      </c>
      <c r="R885" s="104" t="n"/>
      <c r="S885" s="104" t="n">
        <v>11</v>
      </c>
      <c r="T885" s="104" t="n">
        <v>8</v>
      </c>
      <c r="U885" s="104">
        <f>SUM(S885:T885)</f>
        <v/>
      </c>
      <c r="V885" s="12">
        <f>U885/IF(H885="L",35,IF(H885="U",35,IF(H885="O",35,IF(H885="I",35,""))))</f>
        <v/>
      </c>
      <c r="W885" s="132">
        <f>IF(AND(H885="L", V885&gt;=50%), "Pass",
IF(AND(H885="U", V885&gt;=60%), "Pass",
IF(AND(H885="O", V885&gt;=75%), "Pass", "Fail")))</f>
        <v/>
      </c>
      <c r="X885" s="132">
        <f>IF(AND(Q885="Pass", W885="Pass"), "Pass", "Fail")</f>
        <v/>
      </c>
      <c r="Y885" s="15">
        <f>IF($X885="Pass",$H885,
IF(H885="L","I",
IF(H885="U","L",
IF(H885="O","U",
"I"))))</f>
        <v/>
      </c>
    </row>
    <row r="886">
      <c r="A886" s="147">
        <f>ROW()-2</f>
        <v/>
      </c>
      <c r="B886" s="127" t="inlineStr">
        <is>
          <t>AK0946</t>
        </is>
      </c>
      <c r="C886" s="128" t="inlineStr">
        <is>
          <t>MARIAPPAN</t>
        </is>
      </c>
      <c r="D886" s="127" t="inlineStr">
        <is>
          <t>PRODUCTION</t>
        </is>
      </c>
      <c r="E886" s="129" t="inlineStr">
        <is>
          <t>TYRE BUILDING-P2</t>
        </is>
      </c>
      <c r="F886" s="130" t="n">
        <v>44065</v>
      </c>
      <c r="G886" s="131">
        <f>NOW()-F886</f>
        <v/>
      </c>
      <c r="H886" s="104" t="inlineStr">
        <is>
          <t>O</t>
        </is>
      </c>
      <c r="I886" s="104" t="inlineStr">
        <is>
          <t>O</t>
        </is>
      </c>
      <c r="J886" s="104" t="n">
        <v>10</v>
      </c>
      <c r="K886" s="104" t="n">
        <v>10</v>
      </c>
      <c r="L886" s="104" t="n">
        <v>8</v>
      </c>
      <c r="M886" s="104" t="n">
        <v>10</v>
      </c>
      <c r="N886" s="104" t="n"/>
      <c r="O886" s="104">
        <f>SUM(J886:N886)</f>
        <v/>
      </c>
      <c r="P886" s="12">
        <f>O886/IF(H886="L",20,IF(H886="U",30,IF(H886="O",40,IF(H886="I",20,""))))</f>
        <v/>
      </c>
      <c r="Q886" s="132">
        <f>IF(AND(H886="L", P886&gt;=50%), "Pass",
IF(AND(H886="U", P886&gt;=60%), "Pass",
IF(AND(H886="O", P886&gt;=75%), "Pass", "Fail")))</f>
        <v/>
      </c>
      <c r="R886" s="104" t="n"/>
      <c r="S886" s="104" t="n">
        <v>13</v>
      </c>
      <c r="T886" s="104" t="n">
        <v>11</v>
      </c>
      <c r="U886" s="104">
        <f>SUM(S886:T886)</f>
        <v/>
      </c>
      <c r="V886" s="12">
        <f>U886/IF(H886="L",35,IF(H886="U",35,IF(H886="O",35,IF(H886="I",35,""))))</f>
        <v/>
      </c>
      <c r="W886" s="132">
        <f>IF(AND(H886="L", V886&gt;=50%), "Pass",
IF(AND(H886="U", V886&gt;=60%), "Pass",
IF(AND(H886="O", V886&gt;=75%), "Pass", "Fail")))</f>
        <v/>
      </c>
      <c r="X886" s="132">
        <f>IF(AND(Q886="Pass", W886="Pass"), "Pass", "Fail")</f>
        <v/>
      </c>
      <c r="Y886" s="15">
        <f>IF($X886="Pass",$H886,
IF(H886="L","I",
IF(H886="U","L",
IF(H886="O","U",
"I"))))</f>
        <v/>
      </c>
    </row>
    <row r="887">
      <c r="A887" s="147">
        <f>ROW()-2</f>
        <v/>
      </c>
      <c r="B887" s="127" t="inlineStr">
        <is>
          <t>AK0957</t>
        </is>
      </c>
      <c r="C887" s="128" t="inlineStr">
        <is>
          <t>MARIYAPPAN M</t>
        </is>
      </c>
      <c r="D887" s="127" t="inlineStr">
        <is>
          <t>PRODUCTION</t>
        </is>
      </c>
      <c r="E887" s="129" t="inlineStr">
        <is>
          <t>TYRE BUILDING-P2</t>
        </is>
      </c>
      <c r="F887" s="130" t="n">
        <v>44084</v>
      </c>
      <c r="G887" s="131">
        <f>NOW()-F887</f>
        <v/>
      </c>
      <c r="H887" s="104" t="inlineStr">
        <is>
          <t>O</t>
        </is>
      </c>
      <c r="I887" s="104" t="inlineStr">
        <is>
          <t>U</t>
        </is>
      </c>
      <c r="J887" s="104" t="n">
        <v>10</v>
      </c>
      <c r="K887" s="104" t="n">
        <v>8</v>
      </c>
      <c r="L887" s="104" t="n">
        <v>7</v>
      </c>
      <c r="M887" s="104" t="n">
        <v>9</v>
      </c>
      <c r="N887" s="104" t="n"/>
      <c r="O887" s="104">
        <f>SUM(J887:N887)</f>
        <v/>
      </c>
      <c r="P887" s="12">
        <f>O887/IF(H887="L",20,IF(H887="U",30,IF(H887="O",40,IF(H887="I",20,""))))</f>
        <v/>
      </c>
      <c r="Q887" s="132">
        <f>IF(AND(H887="L", P887&gt;=50%), "Pass",
IF(AND(H887="U", P887&gt;=60%), "Pass",
IF(AND(H887="O", P887&gt;=75%), "Pass", "Fail")))</f>
        <v/>
      </c>
      <c r="R887" s="104" t="n"/>
      <c r="S887" s="104" t="n">
        <v>12</v>
      </c>
      <c r="T887" s="104" t="n">
        <v>8</v>
      </c>
      <c r="U887" s="104">
        <f>SUM(S887:T887)</f>
        <v/>
      </c>
      <c r="V887" s="12">
        <f>U887/IF(H887="L",35,IF(H887="U",35,IF(H887="O",35,IF(H887="I",35,""))))</f>
        <v/>
      </c>
      <c r="W887" s="132">
        <f>IF(AND(H887="L", V887&gt;=50%), "Pass",
IF(AND(H887="U", V887&gt;=60%), "Pass",
IF(AND(H887="O", V887&gt;=75%), "Pass", "Fail")))</f>
        <v/>
      </c>
      <c r="X887" s="132">
        <f>IF(AND(Q887="Pass", W887="Pass"), "Pass", "Fail")</f>
        <v/>
      </c>
      <c r="Y887" s="15">
        <f>IF($X887="Pass",$H887,
IF(H887="L","I",
IF(H887="U","L",
IF(H887="O","U",
"I"))))</f>
        <v/>
      </c>
    </row>
    <row r="888">
      <c r="A888" s="147">
        <f>ROW()-2</f>
        <v/>
      </c>
      <c r="B888" s="127" t="inlineStr">
        <is>
          <t>KK1159</t>
        </is>
      </c>
      <c r="C888" s="128" t="inlineStr">
        <is>
          <t>S MUTHURAM</t>
        </is>
      </c>
      <c r="D888" s="127" t="inlineStr">
        <is>
          <t>PRODUCTION</t>
        </is>
      </c>
      <c r="E888" s="129" t="inlineStr">
        <is>
          <t>SOLID TYRE</t>
        </is>
      </c>
      <c r="F888" s="130" t="n">
        <v>44084</v>
      </c>
      <c r="G888" s="131">
        <f>NOW()-F888</f>
        <v/>
      </c>
      <c r="H888" s="104" t="inlineStr">
        <is>
          <t>O</t>
        </is>
      </c>
      <c r="I888" s="104" t="inlineStr">
        <is>
          <t>U</t>
        </is>
      </c>
      <c r="J888" s="104" t="n">
        <v>9</v>
      </c>
      <c r="K888" s="104" t="n">
        <v>9</v>
      </c>
      <c r="L888" s="104" t="n">
        <v>10</v>
      </c>
      <c r="M888" s="104" t="n">
        <v>8</v>
      </c>
      <c r="N888" s="104" t="n"/>
      <c r="O888" s="104">
        <f>SUM(J888:N888)</f>
        <v/>
      </c>
      <c r="P888" s="12">
        <f>O888/IF(H888="L",20,IF(H888="U",30,IF(H888="O",40,IF(H888="I",20,""))))</f>
        <v/>
      </c>
      <c r="Q888" s="132">
        <f>IF(AND(H888="L", P888&gt;=50%), "Pass",
IF(AND(H888="U", P888&gt;=60%), "Pass",
IF(AND(H888="O", P888&gt;=75%), "Pass", "Fail")))</f>
        <v/>
      </c>
      <c r="R888" s="104" t="n"/>
      <c r="S888" s="104" t="n">
        <v>18</v>
      </c>
      <c r="T888" s="104" t="n">
        <v>14</v>
      </c>
      <c r="U888" s="104">
        <f>SUM(S888:T888)</f>
        <v/>
      </c>
      <c r="V888" s="12">
        <f>U888/IF(H888="L",35,IF(H888="U",35,IF(H888="O",35,IF(H888="I",35,""))))</f>
        <v/>
      </c>
      <c r="W888" s="132">
        <f>IF(AND(H888="L", V888&gt;=50%), "Pass",
IF(AND(H888="U", V888&gt;=60%), "Pass",
IF(AND(H888="O", V888&gt;=75%), "Pass", "Fail")))</f>
        <v/>
      </c>
      <c r="X888" s="132">
        <f>IF(AND(Q888="Pass", W888="Pass"), "Pass", "Fail")</f>
        <v/>
      </c>
      <c r="Y888" s="15">
        <f>IF($X888="Pass",$H888,
IF(H888="L","I",
IF(H888="U","L",
IF(H888="O","U",
"I"))))</f>
        <v/>
      </c>
    </row>
    <row r="889">
      <c r="A889" s="147">
        <f>ROW()-2</f>
        <v/>
      </c>
      <c r="B889" s="127" t="inlineStr">
        <is>
          <t>PK1143</t>
        </is>
      </c>
      <c r="C889" s="128" t="inlineStr">
        <is>
          <t>ESAKKIMUTHU P</t>
        </is>
      </c>
      <c r="D889" s="127" t="inlineStr">
        <is>
          <t>PRODUCTION</t>
        </is>
      </c>
      <c r="E889" s="129" t="inlineStr">
        <is>
          <t>RADIAL MARANGONI</t>
        </is>
      </c>
      <c r="F889" s="130" t="n">
        <v>44145</v>
      </c>
      <c r="G889" s="131">
        <f>NOW()-F889</f>
        <v/>
      </c>
      <c r="H889" s="104" t="inlineStr">
        <is>
          <t>O</t>
        </is>
      </c>
      <c r="I889" s="104" t="inlineStr">
        <is>
          <t>U</t>
        </is>
      </c>
      <c r="J889" s="104" t="n">
        <v>9</v>
      </c>
      <c r="K889" s="104" t="n">
        <v>9</v>
      </c>
      <c r="L889" s="104" t="n">
        <v>9</v>
      </c>
      <c r="M889" s="104" t="n">
        <v>9</v>
      </c>
      <c r="N889" s="104" t="n"/>
      <c r="O889" s="104">
        <f>SUM(J889:N889)</f>
        <v/>
      </c>
      <c r="P889" s="12">
        <f>O889/IF(H889="L",20,IF(H889="U",30,IF(H889="O",40,IF(H889="I",20,""))))</f>
        <v/>
      </c>
      <c r="Q889" s="132">
        <f>IF(AND(H889="L", P889&gt;=50%), "Pass",
IF(AND(H889="U", P889&gt;=60%), "Pass",
IF(AND(H889="O", P889&gt;=75%), "Pass", "Fail")))</f>
        <v/>
      </c>
      <c r="R889" s="104" t="n"/>
      <c r="S889" s="104" t="n">
        <v>15</v>
      </c>
      <c r="T889" s="104" t="n">
        <v>12</v>
      </c>
      <c r="U889" s="104">
        <f>SUM(S889:T889)</f>
        <v/>
      </c>
      <c r="V889" s="12">
        <f>U889/IF(H889="L",35,IF(H889="U",35,IF(H889="O",35,IF(H889="I",35,""))))</f>
        <v/>
      </c>
      <c r="W889" s="132">
        <f>IF(AND(H889="L", V889&gt;=50%), "Pass",
IF(AND(H889="U", V889&gt;=60%), "Pass",
IF(AND(H889="O", V889&gt;=75%), "Pass", "Fail")))</f>
        <v/>
      </c>
      <c r="X889" s="132">
        <f>IF(AND(Q889="Pass", W889="Pass"), "Pass", "Fail")</f>
        <v/>
      </c>
      <c r="Y889" s="15">
        <f>IF($X889="Pass",$H889,
IF(H889="L","I",
IF(H889="U","L",
IF(H889="O","U",
"I"))))</f>
        <v/>
      </c>
    </row>
    <row r="890">
      <c r="A890" s="147">
        <f>ROW()-2</f>
        <v/>
      </c>
      <c r="B890" s="127" t="inlineStr">
        <is>
          <t>PK1145</t>
        </is>
      </c>
      <c r="C890" s="128" t="inlineStr">
        <is>
          <t>MADASAMY</t>
        </is>
      </c>
      <c r="D890" s="127" t="inlineStr">
        <is>
          <t>PRODUCTION</t>
        </is>
      </c>
      <c r="E890" s="129" t="inlineStr">
        <is>
          <t>TYRE BUILDING-P2</t>
        </is>
      </c>
      <c r="F890" s="130" t="n">
        <v>44153</v>
      </c>
      <c r="G890" s="131">
        <f>NOW()-F890</f>
        <v/>
      </c>
      <c r="H890" s="104" t="inlineStr">
        <is>
          <t>O</t>
        </is>
      </c>
      <c r="I890" s="104" t="inlineStr">
        <is>
          <t>O</t>
        </is>
      </c>
      <c r="J890" s="104" t="n">
        <v>10</v>
      </c>
      <c r="K890" s="104" t="n">
        <v>10</v>
      </c>
      <c r="L890" s="104" t="n">
        <v>8</v>
      </c>
      <c r="M890" s="104" t="n">
        <v>9</v>
      </c>
      <c r="N890" s="104" t="n"/>
      <c r="O890" s="104">
        <f>SUM(J890:N890)</f>
        <v/>
      </c>
      <c r="P890" s="12">
        <f>O890/IF(H890="L",20,IF(H890="U",30,IF(H890="O",40,IF(H890="I",20,""))))</f>
        <v/>
      </c>
      <c r="Q890" s="132">
        <f>IF(AND(H890="L", P890&gt;=50%), "Pass",
IF(AND(H890="U", P890&gt;=60%), "Pass",
IF(AND(H890="O", P890&gt;=75%), "Pass", "Fail")))</f>
        <v/>
      </c>
      <c r="R890" s="104" t="n"/>
      <c r="S890" s="104" t="n">
        <v>13</v>
      </c>
      <c r="T890" s="104" t="n">
        <v>10</v>
      </c>
      <c r="U890" s="104">
        <f>SUM(S890:T890)</f>
        <v/>
      </c>
      <c r="V890" s="12">
        <f>U890/IF(H890="L",35,IF(H890="U",35,IF(H890="O",35,IF(H890="I",35,""))))</f>
        <v/>
      </c>
      <c r="W890" s="132">
        <f>IF(AND(H890="L", V890&gt;=50%), "Pass",
IF(AND(H890="U", V890&gt;=60%), "Pass",
IF(AND(H890="O", V890&gt;=75%), "Pass", "Fail")))</f>
        <v/>
      </c>
      <c r="X890" s="132">
        <f>IF(AND(Q890="Pass", W890="Pass"), "Pass", "Fail")</f>
        <v/>
      </c>
      <c r="Y890" s="15">
        <f>IF($X890="Pass",$H890,
IF(H890="L","I",
IF(H890="U","L",
IF(H890="O","U",
"I"))))</f>
        <v/>
      </c>
    </row>
    <row r="891">
      <c r="A891" s="147">
        <f>ROW()-2</f>
        <v/>
      </c>
      <c r="B891" s="127" t="inlineStr">
        <is>
          <t>AK0978</t>
        </is>
      </c>
      <c r="C891" s="128" t="inlineStr">
        <is>
          <t>SUDALAI MUTHU M</t>
        </is>
      </c>
      <c r="D891" s="127" t="inlineStr">
        <is>
          <t>PRODUCTION</t>
        </is>
      </c>
      <c r="E891" s="129" t="inlineStr">
        <is>
          <t>TYRE BUILDING-P3</t>
        </is>
      </c>
      <c r="F891" s="130" t="n">
        <v>44157</v>
      </c>
      <c r="G891" s="131">
        <f>NOW()-F891</f>
        <v/>
      </c>
      <c r="H891" s="104" t="inlineStr">
        <is>
          <t>O</t>
        </is>
      </c>
      <c r="I891" s="104" t="inlineStr">
        <is>
          <t>O</t>
        </is>
      </c>
      <c r="J891" s="104" t="n">
        <v>5</v>
      </c>
      <c r="K891" s="104" t="n">
        <v>9</v>
      </c>
      <c r="L891" s="104" t="n">
        <v>5</v>
      </c>
      <c r="M891" s="104" t="n">
        <v>8</v>
      </c>
      <c r="N891" s="104" t="n"/>
      <c r="O891" s="104">
        <f>SUM(J891:N891)</f>
        <v/>
      </c>
      <c r="P891" s="12">
        <f>O891/IF(H891="L",20,IF(H891="U",30,IF(H891="O",40,IF(H891="I",20,""))))</f>
        <v/>
      </c>
      <c r="Q891" s="132">
        <f>IF(AND(H891="L", P891&gt;=50%), "Pass",
IF(AND(H891="U", P891&gt;=60%), "Pass",
IF(AND(H891="O", P891&gt;=75%), "Pass", "Fail")))</f>
        <v/>
      </c>
      <c r="R891" s="104" t="n"/>
      <c r="S891" s="104" t="n">
        <v>18</v>
      </c>
      <c r="T891" s="104" t="n">
        <v>14</v>
      </c>
      <c r="U891" s="104">
        <f>SUM(S891:T891)</f>
        <v/>
      </c>
      <c r="V891" s="12">
        <f>U891/IF(H891="L",35,IF(H891="U",35,IF(H891="O",35,IF(H891="I",35,""))))</f>
        <v/>
      </c>
      <c r="W891" s="132">
        <f>IF(AND(H891="L", V891&gt;=50%), "Pass",
IF(AND(H891="U", V891&gt;=60%), "Pass",
IF(AND(H891="O", V891&gt;=75%), "Pass", "Fail")))</f>
        <v/>
      </c>
      <c r="X891" s="132">
        <f>IF(AND(Q891="Pass", W891="Pass"), "Pass", "Fail")</f>
        <v/>
      </c>
      <c r="Y891" s="15">
        <f>IF($X891="Pass",$H891,
IF(H891="L","I",
IF(H891="U","L",
IF(H891="O","U",
"I"))))</f>
        <v/>
      </c>
    </row>
    <row r="892">
      <c r="A892" s="147">
        <f>ROW()-2</f>
        <v/>
      </c>
      <c r="B892" s="127" t="inlineStr">
        <is>
          <t>SK3103</t>
        </is>
      </c>
      <c r="C892" s="128" t="inlineStr">
        <is>
          <t>ROUSHAN KUMAR</t>
        </is>
      </c>
      <c r="D892" s="127" t="inlineStr">
        <is>
          <t>PRODUCTION</t>
        </is>
      </c>
      <c r="E892" s="129" t="inlineStr">
        <is>
          <t>TYRE BUILDING-P1</t>
        </is>
      </c>
      <c r="F892" s="130" t="n">
        <v>44159</v>
      </c>
      <c r="G892" s="131">
        <f>NOW()-F892</f>
        <v/>
      </c>
      <c r="H892" s="104" t="inlineStr">
        <is>
          <t>O</t>
        </is>
      </c>
      <c r="I892" s="104" t="inlineStr">
        <is>
          <t>U</t>
        </is>
      </c>
      <c r="J892" s="104" t="n">
        <v>10</v>
      </c>
      <c r="K892" s="104" t="n">
        <v>10</v>
      </c>
      <c r="L892" s="104" t="n">
        <v>8</v>
      </c>
      <c r="M892" s="104" t="n">
        <v>8</v>
      </c>
      <c r="N892" s="104" t="n"/>
      <c r="O892" s="104">
        <f>SUM(J892:N892)</f>
        <v/>
      </c>
      <c r="P892" s="12">
        <f>O892/IF(H892="L",20,IF(H892="U",30,IF(H892="O",40,IF(H892="I",20,""))))</f>
        <v/>
      </c>
      <c r="Q892" s="132">
        <f>IF(AND(H892="L", P892&gt;=50%), "Pass",
IF(AND(H892="U", P892&gt;=60%), "Pass",
IF(AND(H892="O", P892&gt;=75%), "Pass", "Fail")))</f>
        <v/>
      </c>
      <c r="R892" s="104" t="n"/>
      <c r="S892" s="104" t="n">
        <v>9</v>
      </c>
      <c r="T892" s="104" t="n">
        <v>9</v>
      </c>
      <c r="U892" s="104">
        <f>SUM(S892:T892)</f>
        <v/>
      </c>
      <c r="V892" s="12">
        <f>U892/IF(H892="L",35,IF(H892="U",35,IF(H892="O",35,IF(H892="I",35,""))))</f>
        <v/>
      </c>
      <c r="W892" s="132">
        <f>IF(AND(H892="L", V892&gt;=50%), "Pass",
IF(AND(H892="U", V892&gt;=60%), "Pass",
IF(AND(H892="O", V892&gt;=75%), "Pass", "Fail")))</f>
        <v/>
      </c>
      <c r="X892" s="132">
        <f>IF(AND(Q892="Pass", W892="Pass"), "Pass", "Fail")</f>
        <v/>
      </c>
      <c r="Y892" s="15">
        <f>IF($X892="Pass",$H892,
IF(H892="L","I",
IF(H892="U","L",
IF(H892="O","U",
"I"))))</f>
        <v/>
      </c>
    </row>
    <row r="893">
      <c r="A893" s="147">
        <f>ROW()-2</f>
        <v/>
      </c>
      <c r="B893" s="127" t="inlineStr">
        <is>
          <t>AK0982</t>
        </is>
      </c>
      <c r="C893" s="128" t="inlineStr">
        <is>
          <t>ESAKKI KUMAR</t>
        </is>
      </c>
      <c r="D893" s="127" t="inlineStr">
        <is>
          <t>PRODUCTION</t>
        </is>
      </c>
      <c r="E893" s="129" t="inlineStr">
        <is>
          <t>BIAS CUTTING-5</t>
        </is>
      </c>
      <c r="F893" s="130" t="n">
        <v>44173</v>
      </c>
      <c r="G893" s="131">
        <f>NOW()-F893</f>
        <v/>
      </c>
      <c r="H893" s="104" t="inlineStr">
        <is>
          <t>O</t>
        </is>
      </c>
      <c r="I893" s="104" t="inlineStr">
        <is>
          <t>U</t>
        </is>
      </c>
      <c r="J893" s="104" t="n">
        <v>1</v>
      </c>
      <c r="K893" s="104" t="n">
        <v>3</v>
      </c>
      <c r="L893" s="104" t="n">
        <v>2</v>
      </c>
      <c r="M893" s="104" t="n">
        <v>3</v>
      </c>
      <c r="N893" s="104" t="n"/>
      <c r="O893" s="104">
        <f>SUM(J893:N893)</f>
        <v/>
      </c>
      <c r="P893" s="12">
        <f>O893/IF(H893="L",20,IF(H893="U",30,IF(H893="O",40,IF(H893="I",20,""))))</f>
        <v/>
      </c>
      <c r="Q893" s="132">
        <f>IF(AND(H893="L", P893&gt;=50%), "Pass",
IF(AND(H893="U", P893&gt;=60%), "Pass",
IF(AND(H893="O", P893&gt;=75%), "Pass", "Fail")))</f>
        <v/>
      </c>
      <c r="R893" s="104" t="n"/>
      <c r="S893" s="104" t="n">
        <v>12</v>
      </c>
      <c r="T893" s="104" t="n">
        <v>10</v>
      </c>
      <c r="U893" s="104">
        <f>SUM(S893:T893)</f>
        <v/>
      </c>
      <c r="V893" s="12">
        <f>U893/IF(H893="L",35,IF(H893="U",35,IF(H893="O",35,IF(H893="I",35,""))))</f>
        <v/>
      </c>
      <c r="W893" s="132">
        <f>IF(AND(H893="L", V893&gt;=50%), "Pass",
IF(AND(H893="U", V893&gt;=60%), "Pass",
IF(AND(H893="O", V893&gt;=75%), "Pass", "Fail")))</f>
        <v/>
      </c>
      <c r="X893" s="132">
        <f>IF(AND(Q893="Pass", W893="Pass"), "Pass", "Fail")</f>
        <v/>
      </c>
      <c r="Y893" s="15">
        <f>IF($X893="Pass",$H893,
IF(H893="L","I",
IF(H893="U","L",
IF(H893="O","U",
"I"))))</f>
        <v/>
      </c>
      <c r="Z893" s="82">
        <f>V893-75%</f>
        <v/>
      </c>
    </row>
    <row r="894">
      <c r="A894" s="147">
        <f>ROW()-2</f>
        <v/>
      </c>
      <c r="B894" s="127" t="inlineStr">
        <is>
          <t>AK0984</t>
        </is>
      </c>
      <c r="C894" s="128" t="inlineStr">
        <is>
          <t>MUTHUKUMAR A</t>
        </is>
      </c>
      <c r="D894" s="127" t="inlineStr">
        <is>
          <t>PRODUCTION</t>
        </is>
      </c>
      <c r="E894" s="129" t="inlineStr">
        <is>
          <t>TYRE BUILDING-P1</t>
        </is>
      </c>
      <c r="F894" s="130" t="n">
        <v>44175</v>
      </c>
      <c r="G894" s="131">
        <f>NOW()-F894</f>
        <v/>
      </c>
      <c r="H894" s="104" t="inlineStr">
        <is>
          <t>O</t>
        </is>
      </c>
      <c r="I894" s="104" t="inlineStr">
        <is>
          <t>U</t>
        </is>
      </c>
      <c r="J894" s="104" t="n">
        <v>10</v>
      </c>
      <c r="K894" s="104" t="n">
        <v>9</v>
      </c>
      <c r="L894" s="104" t="n">
        <v>9</v>
      </c>
      <c r="M894" s="104" t="n">
        <v>8</v>
      </c>
      <c r="N894" s="104" t="n"/>
      <c r="O894" s="104">
        <f>SUM(J894:N894)</f>
        <v/>
      </c>
      <c r="P894" s="12">
        <f>O894/IF(H894="L",20,IF(H894="U",30,IF(H894="O",40,IF(H894="I",20,""))))</f>
        <v/>
      </c>
      <c r="Q894" s="132">
        <f>IF(AND(H894="L", P894&gt;=50%), "Pass",
IF(AND(H894="U", P894&gt;=60%), "Pass",
IF(AND(H894="O", P894&gt;=75%), "Pass", "Fail")))</f>
        <v/>
      </c>
      <c r="R894" s="104" t="n"/>
      <c r="S894" s="104" t="n">
        <v>13</v>
      </c>
      <c r="T894" s="104" t="n">
        <v>11</v>
      </c>
      <c r="U894" s="104">
        <f>SUM(S894:T894)</f>
        <v/>
      </c>
      <c r="V894" s="12">
        <f>U894/IF(H894="L",35,IF(H894="U",35,IF(H894="O",35,IF(H894="I",35,""))))</f>
        <v/>
      </c>
      <c r="W894" s="132">
        <f>IF(AND(H894="L", V894&gt;=50%), "Pass",
IF(AND(H894="U", V894&gt;=60%), "Pass",
IF(AND(H894="O", V894&gt;=75%), "Pass", "Fail")))</f>
        <v/>
      </c>
      <c r="X894" s="132">
        <f>IF(AND(Q894="Pass", W894="Pass"), "Pass", "Fail")</f>
        <v/>
      </c>
      <c r="Y894" s="15">
        <f>IF($X894="Pass",$H894,
IF(H894="L","I",
IF(H894="U","L",
IF(H894="O","U",
"I"))))</f>
        <v/>
      </c>
      <c r="Z894" s="81">
        <f>V894-75%</f>
        <v/>
      </c>
    </row>
    <row r="895">
      <c r="A895" s="147">
        <f>ROW()-2</f>
        <v/>
      </c>
      <c r="B895" s="127" t="inlineStr">
        <is>
          <t>MG1417</t>
        </is>
      </c>
      <c r="C895" s="128" t="inlineStr">
        <is>
          <t>MAHESHKUMAR</t>
        </is>
      </c>
      <c r="D895" s="127" t="inlineStr">
        <is>
          <t>PRODUCTION</t>
        </is>
      </c>
      <c r="E895" s="129" t="inlineStr">
        <is>
          <t>TYRE BUILDING-P1</t>
        </is>
      </c>
      <c r="F895" s="130" t="n">
        <v>44186</v>
      </c>
      <c r="G895" s="131">
        <f>NOW()-F895</f>
        <v/>
      </c>
      <c r="H895" s="104" t="inlineStr">
        <is>
          <t>O</t>
        </is>
      </c>
      <c r="I895" s="104" t="inlineStr">
        <is>
          <t>U</t>
        </is>
      </c>
      <c r="J895" s="104" t="n">
        <v>10</v>
      </c>
      <c r="K895" s="104" t="n">
        <v>10</v>
      </c>
      <c r="L895" s="104" t="n">
        <v>8</v>
      </c>
      <c r="M895" s="104" t="n">
        <v>9</v>
      </c>
      <c r="N895" s="104" t="n"/>
      <c r="O895" s="104">
        <f>SUM(J895:N895)</f>
        <v/>
      </c>
      <c r="P895" s="12">
        <f>O895/IF(H895="L",20,IF(H895="U",30,IF(H895="O",40,IF(H895="I",20,""))))</f>
        <v/>
      </c>
      <c r="Q895" s="132">
        <f>IF(AND(H895="L", P895&gt;=50%), "Pass",
IF(AND(H895="U", P895&gt;=60%), "Pass",
IF(AND(H895="O", P895&gt;=75%), "Pass", "Fail")))</f>
        <v/>
      </c>
      <c r="R895" s="104" t="n"/>
      <c r="S895" s="104" t="n">
        <v>15</v>
      </c>
      <c r="T895" s="104" t="n">
        <v>15</v>
      </c>
      <c r="U895" s="104">
        <f>SUM(S895:T895)</f>
        <v/>
      </c>
      <c r="V895" s="12">
        <f>U895/IF(H895="L",35,IF(H895="U",35,IF(H895="O",35,IF(H895="I",35,""))))</f>
        <v/>
      </c>
      <c r="W895" s="132">
        <f>IF(AND(H895="L", V895&gt;=50%), "Pass",
IF(AND(H895="U", V895&gt;=60%), "Pass",
IF(AND(H895="O", V895&gt;=75%), "Pass", "Fail")))</f>
        <v/>
      </c>
      <c r="X895" s="132">
        <f>IF(AND(Q895="Pass", W895="Pass"), "Pass", "Fail")</f>
        <v/>
      </c>
      <c r="Y895" s="15">
        <f>IF($X895="Pass",$H895,
IF(H895="L","I",
IF(H895="U","L",
IF(H895="O","U",
"I"))))</f>
        <v/>
      </c>
    </row>
    <row r="896">
      <c r="A896" s="147">
        <f>ROW()-2</f>
        <v/>
      </c>
      <c r="B896" s="127" t="inlineStr">
        <is>
          <t>PK1160</t>
        </is>
      </c>
      <c r="C896" s="128" t="inlineStr">
        <is>
          <t>LURTHU JENITH L</t>
        </is>
      </c>
      <c r="D896" s="127" t="inlineStr">
        <is>
          <t>PRODUCTION</t>
        </is>
      </c>
      <c r="E896" s="129" t="inlineStr">
        <is>
          <t>TYRE BUILDING-P3</t>
        </is>
      </c>
      <c r="F896" s="130" t="n">
        <v>44186</v>
      </c>
      <c r="G896" s="131">
        <f>NOW()-F896</f>
        <v/>
      </c>
      <c r="H896" s="104" t="inlineStr">
        <is>
          <t>O</t>
        </is>
      </c>
      <c r="I896" s="104" t="inlineStr">
        <is>
          <t>O</t>
        </is>
      </c>
      <c r="J896" s="104" t="n">
        <v>7</v>
      </c>
      <c r="K896" s="104" t="n">
        <v>7</v>
      </c>
      <c r="L896" s="104" t="n">
        <v>5</v>
      </c>
      <c r="M896" s="104" t="n">
        <v>8</v>
      </c>
      <c r="N896" s="104" t="n"/>
      <c r="O896" s="104">
        <f>SUM(J896:N896)</f>
        <v/>
      </c>
      <c r="P896" s="12">
        <f>O896/IF(H896="L",20,IF(H896="U",30,IF(H896="O",40,IF(H896="I",20,""))))</f>
        <v/>
      </c>
      <c r="Q896" s="132">
        <f>IF(AND(H896="L", P896&gt;=50%), "Pass",
IF(AND(H896="U", P896&gt;=60%), "Pass",
IF(AND(H896="O", P896&gt;=75%), "Pass", "Fail")))</f>
        <v/>
      </c>
      <c r="R896" s="104" t="n"/>
      <c r="S896" s="104" t="n">
        <v>18</v>
      </c>
      <c r="T896" s="104" t="n">
        <v>15</v>
      </c>
      <c r="U896" s="104">
        <f>SUM(S896:T896)</f>
        <v/>
      </c>
      <c r="V896" s="12">
        <f>U896/IF(H896="L",35,IF(H896="U",35,IF(H896="O",35,IF(H896="I",35,""))))</f>
        <v/>
      </c>
      <c r="W896" s="132">
        <f>IF(AND(H896="L", V896&gt;=50%), "Pass",
IF(AND(H896="U", V896&gt;=60%), "Pass",
IF(AND(H896="O", V896&gt;=75%), "Pass", "Fail")))</f>
        <v/>
      </c>
      <c r="X896" s="132">
        <f>IF(AND(Q896="Pass", W896="Pass"), "Pass", "Fail")</f>
        <v/>
      </c>
      <c r="Y896" s="15">
        <f>IF($X896="Pass",$H896,
IF(H896="L","I",
IF(H896="U","L",
IF(H896="O","U",
"I"))))</f>
        <v/>
      </c>
    </row>
    <row r="897">
      <c r="A897" s="147">
        <f>ROW()-2</f>
        <v/>
      </c>
      <c r="B897" s="127" t="inlineStr">
        <is>
          <t>SK3116</t>
        </is>
      </c>
      <c r="C897" s="128" t="inlineStr">
        <is>
          <t>SURESH</t>
        </is>
      </c>
      <c r="D897" s="127" t="inlineStr">
        <is>
          <t>PRODUCTION</t>
        </is>
      </c>
      <c r="E897" s="129" t="inlineStr">
        <is>
          <t>TYRE BUILDING-P3</t>
        </is>
      </c>
      <c r="F897" s="130" t="n">
        <v>44202</v>
      </c>
      <c r="G897" s="131">
        <f>NOW()-F897</f>
        <v/>
      </c>
      <c r="H897" s="104" t="inlineStr">
        <is>
          <t>O</t>
        </is>
      </c>
      <c r="I897" s="104" t="inlineStr">
        <is>
          <t>O</t>
        </is>
      </c>
      <c r="J897" s="104" t="n">
        <v>10</v>
      </c>
      <c r="K897" s="104" t="n">
        <v>9</v>
      </c>
      <c r="L897" s="104" t="n">
        <v>5</v>
      </c>
      <c r="M897" s="104" t="n">
        <v>10</v>
      </c>
      <c r="N897" s="104" t="n"/>
      <c r="O897" s="104">
        <f>SUM(J897:N897)</f>
        <v/>
      </c>
      <c r="P897" s="12">
        <f>O897/IF(H897="L",20,IF(H897="U",30,IF(H897="O",40,IF(H897="I",20,""))))</f>
        <v/>
      </c>
      <c r="Q897" s="132">
        <f>IF(AND(H897="L", P897&gt;=50%), "Pass",
IF(AND(H897="U", P897&gt;=60%), "Pass",
IF(AND(H897="O", P897&gt;=75%), "Pass", "Fail")))</f>
        <v/>
      </c>
      <c r="R897" s="104" t="n"/>
      <c r="S897" s="104" t="n">
        <v>16</v>
      </c>
      <c r="T897" s="104" t="n">
        <v>15</v>
      </c>
      <c r="U897" s="104">
        <f>SUM(S897:T897)</f>
        <v/>
      </c>
      <c r="V897" s="12">
        <f>U897/IF(H897="L",35,IF(H897="U",35,IF(H897="O",35,IF(H897="I",35,""))))</f>
        <v/>
      </c>
      <c r="W897" s="132">
        <f>IF(AND(H897="L", V897&gt;=50%), "Pass",
IF(AND(H897="U", V897&gt;=60%), "Pass",
IF(AND(H897="O", V897&gt;=75%), "Pass", "Fail")))</f>
        <v/>
      </c>
      <c r="X897" s="132">
        <f>IF(AND(Q897="Pass", W897="Pass"), "Pass", "Fail")</f>
        <v/>
      </c>
      <c r="Y897" s="15">
        <f>IF($X897="Pass",$H897,
IF(H897="L","I",
IF(H897="U","L",
IF(H897="O","U",
"I"))))</f>
        <v/>
      </c>
    </row>
    <row r="898">
      <c r="A898" s="147">
        <f>ROW()-2</f>
        <v/>
      </c>
      <c r="B898" s="127" t="inlineStr">
        <is>
          <t>KK1198</t>
        </is>
      </c>
      <c r="C898" s="128" t="inlineStr">
        <is>
          <t>RAMESH KUMAR RAM</t>
        </is>
      </c>
      <c r="D898" s="127" t="inlineStr">
        <is>
          <t>PRODUCTION</t>
        </is>
      </c>
      <c r="E898" s="129" t="inlineStr">
        <is>
          <t>TYRE BUILDING-P1</t>
        </is>
      </c>
      <c r="F898" s="130" t="n">
        <v>44214</v>
      </c>
      <c r="G898" s="131">
        <f>NOW()-F898</f>
        <v/>
      </c>
      <c r="H898" s="104" t="inlineStr">
        <is>
          <t>O</t>
        </is>
      </c>
      <c r="I898" s="104" t="inlineStr">
        <is>
          <t>U</t>
        </is>
      </c>
      <c r="J898" s="104" t="n">
        <v>7</v>
      </c>
      <c r="K898" s="104" t="n">
        <v>6</v>
      </c>
      <c r="L898" s="104" t="n">
        <v>5</v>
      </c>
      <c r="M898" s="104" t="n">
        <v>5</v>
      </c>
      <c r="N898" s="104" t="n"/>
      <c r="O898" s="104">
        <f>SUM(J898:N898)</f>
        <v/>
      </c>
      <c r="P898" s="12">
        <f>O898/IF(H898="L",20,IF(H898="U",30,IF(H898="O",40,IF(H898="I",20,""))))</f>
        <v/>
      </c>
      <c r="Q898" s="132">
        <f>IF(AND(H898="L", P898&gt;=50%), "Pass",
IF(AND(H898="U", P898&gt;=60%), "Pass",
IF(AND(H898="O", P898&gt;=75%), "Pass", "Fail")))</f>
        <v/>
      </c>
      <c r="R898" s="104" t="n"/>
      <c r="S898" s="104" t="n">
        <v>10</v>
      </c>
      <c r="T898" s="104" t="n">
        <v>10</v>
      </c>
      <c r="U898" s="104">
        <f>SUM(S898:T898)</f>
        <v/>
      </c>
      <c r="V898" s="12">
        <f>U898/IF(H898="L",35,IF(H898="U",35,IF(H898="O",35,IF(H898="I",35,""))))</f>
        <v/>
      </c>
      <c r="W898" s="132">
        <f>IF(AND(H898="L", V898&gt;=50%), "Pass",
IF(AND(H898="U", V898&gt;=60%), "Pass",
IF(AND(H898="O", V898&gt;=75%), "Pass", "Fail")))</f>
        <v/>
      </c>
      <c r="X898" s="132">
        <f>IF(AND(Q898="Pass", W898="Pass"), "Pass", "Fail")</f>
        <v/>
      </c>
      <c r="Y898" s="15">
        <f>IF($X898="Pass",$H898,
IF(H898="L","I",
IF(H898="U","L",
IF(H898="O","U",
"I"))))</f>
        <v/>
      </c>
    </row>
    <row r="899">
      <c r="A899" s="147">
        <f>ROW()-2</f>
        <v/>
      </c>
      <c r="B899" s="127" t="inlineStr">
        <is>
          <t>PK1170</t>
        </is>
      </c>
      <c r="C899" s="128" t="inlineStr">
        <is>
          <t>SUDALAIMUTHU</t>
        </is>
      </c>
      <c r="D899" s="127" t="inlineStr">
        <is>
          <t>PRODUCTION</t>
        </is>
      </c>
      <c r="E899" s="129" t="inlineStr">
        <is>
          <t>BIAS CUTTING-4</t>
        </is>
      </c>
      <c r="F899" s="130" t="n">
        <v>44214</v>
      </c>
      <c r="G899" s="131">
        <f>NOW()-F899</f>
        <v/>
      </c>
      <c r="H899" s="104" t="inlineStr">
        <is>
          <t>O</t>
        </is>
      </c>
      <c r="I899" s="104" t="inlineStr">
        <is>
          <t>U</t>
        </is>
      </c>
      <c r="J899" s="104" t="n">
        <v>8</v>
      </c>
      <c r="K899" s="104" t="n">
        <v>1</v>
      </c>
      <c r="L899" s="104" t="n">
        <v>8</v>
      </c>
      <c r="M899" s="104" t="n">
        <v>8</v>
      </c>
      <c r="N899" s="104" t="n"/>
      <c r="O899" s="104">
        <f>SUM(J899:N899)</f>
        <v/>
      </c>
      <c r="P899" s="12">
        <f>O899/IF(H899="L",20,IF(H899="U",30,IF(H899="O",40,IF(H899="I",20,""))))</f>
        <v/>
      </c>
      <c r="Q899" s="132">
        <f>IF(AND(H899="L", P899&gt;=50%), "Pass",
 IF(AND(H899="U", P899&gt;=60%), "Pass",
 IF(AND(H899="O", P899&gt;=75%), "Pass", "Fail")))</f>
        <v/>
      </c>
      <c r="R899" s="104" t="n"/>
      <c r="S899" s="104" t="n">
        <v>20</v>
      </c>
      <c r="T899" s="104" t="n">
        <v>9</v>
      </c>
      <c r="U899" s="104">
        <f>SUM(S899:T899)</f>
        <v/>
      </c>
      <c r="V899" s="12">
        <f>U899/IF(H899="L",35,IF(H899="U",35,IF(H899="O",35,IF(H899="I",35,""))))</f>
        <v/>
      </c>
      <c r="W899" s="132">
        <f>IF(AND(H899="L", V899&gt;=50%), "Pass",
 IF(AND(H899="U", V899&gt;=60%), "Pass",
 IF(AND(H899="O", V899&gt;=75%), "Pass", "Fail")))</f>
        <v/>
      </c>
      <c r="X899" s="132">
        <f>IF(AND(Q899="Pass", W899="Pass"), "Pass", "Fail")</f>
        <v/>
      </c>
      <c r="Y899" s="15">
        <f>IF($X899="Pass",$H899,
IF(H899="L","I",
IF(H899="U","L",
IF(H899="O","U",
"I"))))</f>
        <v/>
      </c>
    </row>
    <row r="900">
      <c r="A900" s="147">
        <f>ROW()-2</f>
        <v/>
      </c>
      <c r="B900" s="127" t="inlineStr">
        <is>
          <t>SK3125</t>
        </is>
      </c>
      <c r="C900" s="128" t="inlineStr">
        <is>
          <t>SANTHOSH SINGH</t>
        </is>
      </c>
      <c r="D900" s="127" t="inlineStr">
        <is>
          <t>PRODUCTION</t>
        </is>
      </c>
      <c r="E900" s="129" t="inlineStr">
        <is>
          <t>BIAS CUTTING-2</t>
        </is>
      </c>
      <c r="F900" s="130" t="n">
        <v>44217</v>
      </c>
      <c r="G900" s="131">
        <f>NOW()-F900</f>
        <v/>
      </c>
      <c r="H900" s="104" t="inlineStr">
        <is>
          <t>O</t>
        </is>
      </c>
      <c r="I900" s="104" t="inlineStr">
        <is>
          <t>U</t>
        </is>
      </c>
      <c r="J900" s="104" t="n">
        <v>9</v>
      </c>
      <c r="K900" s="104" t="n">
        <v>7</v>
      </c>
      <c r="L900" s="104" t="n">
        <v>9</v>
      </c>
      <c r="M900" s="104" t="n">
        <v>6</v>
      </c>
      <c r="N900" s="104" t="n"/>
      <c r="O900" s="104">
        <f>SUM(J900:N900)</f>
        <v/>
      </c>
      <c r="P900" s="12">
        <f>O900/IF(H900="L",20,IF(H900="U",30,IF(H900="O",40,IF(H900="I",20,""))))</f>
        <v/>
      </c>
      <c r="Q900" s="132">
        <f>IF(AND(H900="L", P900&gt;=50%), "Pass",
IF(AND(H900="U", P900&gt;=60%), "Pass",
IF(AND(H900="O", P900&gt;=75%), "Pass", "Fail")))</f>
        <v/>
      </c>
      <c r="R900" s="104" t="n"/>
      <c r="S900" s="104" t="n">
        <v>17</v>
      </c>
      <c r="T900" s="104" t="n">
        <v>14</v>
      </c>
      <c r="U900" s="104">
        <f>SUM(S900:T900)</f>
        <v/>
      </c>
      <c r="V900" s="12">
        <f>U900/IF(H900="L",35,IF(H900="U",35,IF(H900="O",35,IF(H900="I",35,""))))</f>
        <v/>
      </c>
      <c r="W900" s="132">
        <f>IF(AND(H900="L", V900&gt;=50%), "Pass",
IF(AND(H900="U", V900&gt;=60%), "Pass",
IF(AND(H900="O", V900&gt;=75%), "Pass", "Fail")))</f>
        <v/>
      </c>
      <c r="X900" s="132">
        <f>IF(AND(Q900="Pass", W900="Pass"), "Pass", "Fail")</f>
        <v/>
      </c>
      <c r="Y900" s="15">
        <f>IF($X900="Pass",$H900,
IF(H900="L","I",
IF(H900="U","L",
IF(H900="O","U",
"I"))))</f>
        <v/>
      </c>
    </row>
    <row r="901">
      <c r="A901" s="147">
        <f>ROW()-2</f>
        <v/>
      </c>
      <c r="B901" s="127" t="inlineStr">
        <is>
          <t>AK0992</t>
        </is>
      </c>
      <c r="C901" s="128" t="inlineStr">
        <is>
          <t>THANGAMARI M</t>
        </is>
      </c>
      <c r="D901" s="127" t="inlineStr">
        <is>
          <t>PRODUCTION</t>
        </is>
      </c>
      <c r="E901" s="129" t="inlineStr">
        <is>
          <t>BAND BUILDING-P3</t>
        </is>
      </c>
      <c r="F901" s="130" t="n">
        <v>44218</v>
      </c>
      <c r="G901" s="131">
        <f>NOW()-F901</f>
        <v/>
      </c>
      <c r="H901" s="104" t="inlineStr">
        <is>
          <t>O</t>
        </is>
      </c>
      <c r="I901" s="104" t="inlineStr">
        <is>
          <t>U</t>
        </is>
      </c>
      <c r="J901" s="104" t="n">
        <v>7</v>
      </c>
      <c r="K901" s="104" t="n">
        <v>7</v>
      </c>
      <c r="L901" s="104" t="n">
        <v>6</v>
      </c>
      <c r="M901" s="104" t="n">
        <v>6</v>
      </c>
      <c r="N901" s="104" t="n"/>
      <c r="O901" s="104">
        <f>SUM(J901:N901)</f>
        <v/>
      </c>
      <c r="P901" s="12">
        <f>O901/IF(H901="L",20,IF(H901="U",30,IF(H901="O",40,IF(H901="I",20,""))))</f>
        <v/>
      </c>
      <c r="Q901" s="132">
        <f>IF(AND(H901="L", P901&gt;=50%), "Pass",
IF(AND(H901="U", P901&gt;=60%), "Pass",
IF(AND(H901="O", P901&gt;=75%), "Pass", "Fail")))</f>
        <v/>
      </c>
      <c r="R901" s="104" t="n"/>
      <c r="S901" s="104" t="n">
        <v>14</v>
      </c>
      <c r="T901" s="104" t="n">
        <v>11</v>
      </c>
      <c r="U901" s="104">
        <f>SUM(S901:T901)</f>
        <v/>
      </c>
      <c r="V901" s="12">
        <f>U901/IF(H901="L",35,IF(H901="U",35,IF(H901="O",35,IF(H901="I",35,""))))</f>
        <v/>
      </c>
      <c r="W901" s="132">
        <f>IF(AND(H901="L", V901&gt;=50%), "Pass",
IF(AND(H901="U", V901&gt;=60%), "Pass",
IF(AND(H901="O", V901&gt;=75%), "Pass", "Fail")))</f>
        <v/>
      </c>
      <c r="X901" s="132">
        <f>IF(AND(Q901="Pass", W901="Pass"), "Pass", "Fail")</f>
        <v/>
      </c>
      <c r="Y901" s="15">
        <f>IF($X901="Pass",$H901,
IF(H901="L","I",
IF(H901="U","L",
IF(H901="O","U",
"I"))))</f>
        <v/>
      </c>
      <c r="Z901" s="82">
        <f>V901-75%</f>
        <v/>
      </c>
    </row>
    <row r="902">
      <c r="A902" s="147">
        <f>ROW()-2</f>
        <v/>
      </c>
      <c r="B902" s="127" t="inlineStr">
        <is>
          <t>KK1203</t>
        </is>
      </c>
      <c r="C902" s="128" t="inlineStr">
        <is>
          <t>MARIAPPAN</t>
        </is>
      </c>
      <c r="D902" s="127" t="inlineStr">
        <is>
          <t>PRODUCTION</t>
        </is>
      </c>
      <c r="E902" s="129" t="inlineStr">
        <is>
          <t>RADIAL MARANGONI</t>
        </is>
      </c>
      <c r="F902" s="130" t="n">
        <v>44220</v>
      </c>
      <c r="G902" s="131">
        <f>NOW()-F902</f>
        <v/>
      </c>
      <c r="H902" s="104" t="inlineStr">
        <is>
          <t>O</t>
        </is>
      </c>
      <c r="I902" s="104" t="inlineStr">
        <is>
          <t>U</t>
        </is>
      </c>
      <c r="J902" s="104" t="n">
        <v>9</v>
      </c>
      <c r="K902" s="104" t="n">
        <v>10</v>
      </c>
      <c r="L902" s="104" t="n">
        <v>9</v>
      </c>
      <c r="M902" s="104" t="n">
        <v>9</v>
      </c>
      <c r="N902" s="104" t="n"/>
      <c r="O902" s="104">
        <f>SUM(J902:N902)</f>
        <v/>
      </c>
      <c r="P902" s="12">
        <f>O902/IF(H902="L",20,IF(H902="U",30,IF(H902="O",40,IF(H902="I",20,""))))</f>
        <v/>
      </c>
      <c r="Q902" s="132">
        <f>IF(AND(H902="L", P902&gt;=50%), "Pass",
IF(AND(H902="U", P902&gt;=60%), "Pass",
IF(AND(H902="O", P902&gt;=75%), "Pass", "Fail")))</f>
        <v/>
      </c>
      <c r="R902" s="104" t="n"/>
      <c r="S902" s="104" t="n">
        <v>14</v>
      </c>
      <c r="T902" s="104" t="n">
        <v>11</v>
      </c>
      <c r="U902" s="104">
        <f>SUM(S902:T902)</f>
        <v/>
      </c>
      <c r="V902" s="12">
        <f>U902/IF(H902="L",35,IF(H902="U",35,IF(H902="O",35,IF(H902="I",35,""))))</f>
        <v/>
      </c>
      <c r="W902" s="132">
        <f>IF(AND(H902="L", V902&gt;=50%), "Pass",
IF(AND(H902="U", V902&gt;=60%), "Pass",
IF(AND(H902="O", V902&gt;=75%), "Pass", "Fail")))</f>
        <v/>
      </c>
      <c r="X902" s="132">
        <f>IF(AND(Q902="Pass", W902="Pass"), "Pass", "Fail")</f>
        <v/>
      </c>
      <c r="Y902" s="15">
        <f>IF($X902="Pass",$H902,
IF(H902="L","I",
IF(H902="U","L",
IF(H902="O","U",
"I"))))</f>
        <v/>
      </c>
      <c r="Z902" s="82" t="n"/>
    </row>
    <row r="903">
      <c r="A903" s="147">
        <f>ROW()-2</f>
        <v/>
      </c>
      <c r="B903" s="127" t="inlineStr">
        <is>
          <t>KK1205</t>
        </is>
      </c>
      <c r="C903" s="128" t="inlineStr">
        <is>
          <t>R  ESSAKIMUTHU</t>
        </is>
      </c>
      <c r="D903" s="127" t="inlineStr">
        <is>
          <t>PRODUCTION</t>
        </is>
      </c>
      <c r="E903" s="129" t="inlineStr">
        <is>
          <t>BAND BUILDING-P2</t>
        </is>
      </c>
      <c r="F903" s="130" t="n">
        <v>44232</v>
      </c>
      <c r="G903" s="131">
        <f>NOW()-F903</f>
        <v/>
      </c>
      <c r="H903" s="104" t="inlineStr">
        <is>
          <t>O</t>
        </is>
      </c>
      <c r="I903" s="104" t="inlineStr">
        <is>
          <t>U</t>
        </is>
      </c>
      <c r="J903" s="104" t="n">
        <v>7</v>
      </c>
      <c r="K903" s="104" t="n">
        <v>6</v>
      </c>
      <c r="L903" s="104" t="n">
        <v>7</v>
      </c>
      <c r="M903" s="104" t="n">
        <v>5</v>
      </c>
      <c r="N903" s="104" t="n"/>
      <c r="O903" s="104">
        <f>SUM(J903:N903)</f>
        <v/>
      </c>
      <c r="P903" s="12">
        <f>O903/IF(H903="L",20,IF(H903="U",30,IF(H903="O",40,IF(H903="I",20,""))))</f>
        <v/>
      </c>
      <c r="Q903" s="132">
        <f>IF(AND(H903="L", P903&gt;=50%), "Pass",
IF(AND(H903="U", P903&gt;=60%), "Pass",
IF(AND(H903="O", P903&gt;=75%), "Pass", "Fail")))</f>
        <v/>
      </c>
      <c r="R903" s="104" t="n"/>
      <c r="S903" s="104" t="n">
        <v>16</v>
      </c>
      <c r="T903" s="104" t="n">
        <v>12</v>
      </c>
      <c r="U903" s="104">
        <f>SUM(S903:T903)</f>
        <v/>
      </c>
      <c r="V903" s="12">
        <f>U903/IF(H903="L",35,IF(H903="U",35,IF(H903="O",35,IF(H903="I",35,""))))</f>
        <v/>
      </c>
      <c r="W903" s="132">
        <f>IF(AND(H903="L", V903&gt;=50%), "Pass",
IF(AND(H903="U", V903&gt;=60%), "Pass",
IF(AND(H903="O", V903&gt;=75%), "Pass", "Fail")))</f>
        <v/>
      </c>
      <c r="X903" s="132">
        <f>IF(AND(Q903="Pass", W903="Pass"), "Pass", "Fail")</f>
        <v/>
      </c>
      <c r="Y903" s="15">
        <f>IF($X903="Pass",$H903,
IF(H903="L","I",
IF(H903="U","L",
IF(H903="O","U",
"I"))))</f>
        <v/>
      </c>
    </row>
    <row r="904">
      <c r="A904" s="147">
        <f>ROW()-2</f>
        <v/>
      </c>
      <c r="B904" s="127" t="inlineStr">
        <is>
          <t>PK1179</t>
        </is>
      </c>
      <c r="C904" s="128" t="inlineStr">
        <is>
          <t>SELVA BALAJI</t>
        </is>
      </c>
      <c r="D904" s="127" t="inlineStr">
        <is>
          <t>PRODUCTION</t>
        </is>
      </c>
      <c r="E904" s="129" t="inlineStr">
        <is>
          <t>EXTRUDER</t>
        </is>
      </c>
      <c r="F904" s="130" t="n">
        <v>44232</v>
      </c>
      <c r="G904" s="131">
        <f>NOW()-F904</f>
        <v/>
      </c>
      <c r="H904" s="104" t="inlineStr">
        <is>
          <t>O</t>
        </is>
      </c>
      <c r="I904" s="104" t="inlineStr">
        <is>
          <t>U</t>
        </is>
      </c>
      <c r="J904" s="104" t="n">
        <v>8</v>
      </c>
      <c r="K904" s="104" t="n">
        <v>6</v>
      </c>
      <c r="L904" s="104" t="n">
        <v>10</v>
      </c>
      <c r="M904" s="104" t="n">
        <v>9</v>
      </c>
      <c r="N904" s="104" t="n"/>
      <c r="O904" s="104">
        <f>SUM(J904:N904)</f>
        <v/>
      </c>
      <c r="P904" s="12">
        <f>O904/IF(H904="L",20,IF(H904="U",30,IF(H904="O",40,IF(H904="I",20,""))))</f>
        <v/>
      </c>
      <c r="Q904" s="132">
        <f>IF(AND(H904="L", P904&gt;=50%), "Pass",
IF(AND(H904="U", P904&gt;=60%), "Pass",
IF(AND(H904="O", P904&gt;=75%), "Pass", "Fail")))</f>
        <v/>
      </c>
      <c r="R904" s="104" t="n"/>
      <c r="S904" s="104" t="n">
        <v>15</v>
      </c>
      <c r="T904" s="104" t="n">
        <v>12</v>
      </c>
      <c r="U904" s="104">
        <f>SUM(S904:T904)</f>
        <v/>
      </c>
      <c r="V904" s="12">
        <f>U904/IF(H904="L",35,IF(H904="U",35,IF(H904="O",35,IF(H904="I",35,""))))</f>
        <v/>
      </c>
      <c r="W904" s="132">
        <f>IF(AND(H904="L", V904&gt;=50%), "Pass",
IF(AND(H904="U", V904&gt;=60%), "Pass",
IF(AND(H904="O", V904&gt;=75%), "Pass", "Fail")))</f>
        <v/>
      </c>
      <c r="X904" s="132">
        <f>IF(AND(Q904="Pass", W904="Pass"), "Pass", "Fail")</f>
        <v/>
      </c>
      <c r="Y904" s="15">
        <f>IF($X904="Pass",$H904,
IF(H904="L","I",
IF(H904="U","L",
IF(H904="O","U",
"I"))))</f>
        <v/>
      </c>
    </row>
    <row r="905">
      <c r="A905" s="147">
        <f>ROW()-2</f>
        <v/>
      </c>
      <c r="B905" s="127" t="inlineStr">
        <is>
          <t>PK1183</t>
        </is>
      </c>
      <c r="C905" s="128" t="inlineStr">
        <is>
          <t>VEILUMUTHU M</t>
        </is>
      </c>
      <c r="D905" s="127" t="inlineStr">
        <is>
          <t>PRODUCTION</t>
        </is>
      </c>
      <c r="E905" s="129" t="inlineStr">
        <is>
          <t>TYRE CURING</t>
        </is>
      </c>
      <c r="F905" s="130" t="n">
        <v>44232</v>
      </c>
      <c r="G905" s="131">
        <f>NOW()-F905</f>
        <v/>
      </c>
      <c r="H905" s="104" t="inlineStr">
        <is>
          <t>O</t>
        </is>
      </c>
      <c r="I905" s="104" t="inlineStr">
        <is>
          <t>U</t>
        </is>
      </c>
      <c r="J905" s="104" t="n">
        <v>8</v>
      </c>
      <c r="K905" s="104" t="n">
        <v>9</v>
      </c>
      <c r="L905" s="104" t="n">
        <v>8</v>
      </c>
      <c r="M905" s="104" t="n">
        <v>8</v>
      </c>
      <c r="N905" s="104" t="n"/>
      <c r="O905" s="104">
        <f>SUM(J905:N905)</f>
        <v/>
      </c>
      <c r="P905" s="12">
        <f>O905/IF(H905="L",20,IF(H905="U",30,IF(H905="O",40,IF(H905="I",20,""))))</f>
        <v/>
      </c>
      <c r="Q905" s="132">
        <f>IF(AND(H905="L", P905&gt;=50%), "Pass",
IF(AND(H905="U", P905&gt;=60%), "Pass",
IF(AND(H905="O", P905&gt;=75%), "Pass", "Fail")))</f>
        <v/>
      </c>
      <c r="R905" s="104" t="n"/>
      <c r="S905" s="104" t="n">
        <v>15</v>
      </c>
      <c r="T905" s="104" t="n">
        <v>12</v>
      </c>
      <c r="U905" s="104">
        <f>SUM(S905:T905)</f>
        <v/>
      </c>
      <c r="V905" s="12">
        <f>U905/IF(H905="L",35,IF(H905="U",35,IF(H905="O",35,IF(H905="I",35,""))))</f>
        <v/>
      </c>
      <c r="W905" s="132">
        <f>IF(AND(H905="L", V905&gt;=50%), "Pass",
IF(AND(H905="U", V905&gt;=60%), "Pass",
IF(AND(H905="O", V905&gt;=75%), "Pass", "Fail")))</f>
        <v/>
      </c>
      <c r="X905" s="132">
        <f>IF(AND(Q905="Pass", W905="Pass"), "Pass", "Fail")</f>
        <v/>
      </c>
      <c r="Y905" s="15">
        <f>IF($X905="Pass",$H905,
IF(H905="L","I",
IF(H905="U","L",
IF(H905="O","U",
"I"))))</f>
        <v/>
      </c>
    </row>
    <row r="906">
      <c r="A906" s="147">
        <f>ROW()-2</f>
        <v/>
      </c>
      <c r="B906" s="133" t="inlineStr">
        <is>
          <t>PK1196</t>
        </is>
      </c>
      <c r="C906" s="148" t="inlineStr">
        <is>
          <t>RAMESH</t>
        </is>
      </c>
      <c r="D906" s="127" t="inlineStr">
        <is>
          <t>PRODUCTION</t>
        </is>
      </c>
      <c r="E906" s="135" t="inlineStr">
        <is>
          <t>MIXING</t>
        </is>
      </c>
      <c r="F906" s="136" t="n">
        <v>44247</v>
      </c>
      <c r="G906" s="131">
        <f>NOW()-F906</f>
        <v/>
      </c>
      <c r="H906" s="104" t="inlineStr">
        <is>
          <t>O</t>
        </is>
      </c>
      <c r="I906" s="104" t="inlineStr">
        <is>
          <t>U</t>
        </is>
      </c>
      <c r="J906" s="104" t="inlineStr">
        <is>
          <t>NIL</t>
        </is>
      </c>
      <c r="K906" s="104" t="n"/>
      <c r="L906" s="104" t="n"/>
      <c r="M906" s="104" t="n"/>
      <c r="N906" s="104" t="n"/>
      <c r="O906" s="104" t="n"/>
      <c r="P906" s="12">
        <f>O906/IF(H906="L",20,IF(H906="U",30,IF(H906="O",40,IF(H906="I",20,""))))</f>
        <v/>
      </c>
      <c r="Q906" s="132">
        <f>IF(AND(H906="L", P906&gt;=50%), "Pass",
IF(AND(H906="U", P906&gt;=60%), "Pass",
IF(AND(H906="O", P906&gt;=75%), "Pass", "Fail")))</f>
        <v/>
      </c>
      <c r="R906" s="104" t="n"/>
      <c r="S906" s="104" t="n">
        <v>13</v>
      </c>
      <c r="T906" s="104" t="n">
        <v>12</v>
      </c>
      <c r="U906" s="104">
        <f>SUM(S906:T906)</f>
        <v/>
      </c>
      <c r="V906" s="12">
        <f>U906/IF(H906="L",35,IF(H906="U",35,IF(H906="O",35,IF(H906="I",35,""))))</f>
        <v/>
      </c>
      <c r="W906" s="132">
        <f>IF(AND(H906="L", V906&gt;=50%), "Pass",
IF(AND(H906="U", V906&gt;=60%), "Pass",
IF(AND(H906="O", V906&gt;=75%), "Pass", "Fail")))</f>
        <v/>
      </c>
      <c r="X906" s="132">
        <f>IF(AND(Q906="Pass", W906="Pass"), "Pass", "Fail")</f>
        <v/>
      </c>
      <c r="Y906" s="15">
        <f>IF($X906="Pass",$H906,
IF(H906="L","I",
IF(H906="U","L",
IF(H906="O","U",
"I"))))</f>
        <v/>
      </c>
    </row>
    <row r="907">
      <c r="A907" s="147">
        <f>ROW()-2</f>
        <v/>
      </c>
      <c r="B907" s="127" t="inlineStr">
        <is>
          <t>SK3155</t>
        </is>
      </c>
      <c r="C907" s="128" t="inlineStr">
        <is>
          <t>MUTHU</t>
        </is>
      </c>
      <c r="D907" s="127" t="inlineStr">
        <is>
          <t>PRODUCTION</t>
        </is>
      </c>
      <c r="E907" s="129" t="inlineStr">
        <is>
          <t>EXTRUDER</t>
        </is>
      </c>
      <c r="F907" s="130" t="n">
        <v>44268</v>
      </c>
      <c r="G907" s="131">
        <f>NOW()-F907</f>
        <v/>
      </c>
      <c r="H907" s="104" t="inlineStr">
        <is>
          <t>O</t>
        </is>
      </c>
      <c r="I907" s="104" t="inlineStr">
        <is>
          <t>U</t>
        </is>
      </c>
      <c r="J907" s="104" t="n">
        <v>7</v>
      </c>
      <c r="K907" s="104" t="n">
        <v>4</v>
      </c>
      <c r="L907" s="104" t="n">
        <v>8</v>
      </c>
      <c r="M907" s="104" t="n">
        <v>4</v>
      </c>
      <c r="N907" s="104" t="n"/>
      <c r="O907" s="104">
        <f>SUM(J907:N907)</f>
        <v/>
      </c>
      <c r="P907" s="12">
        <f>O907/IF(H907="L",20,IF(H907="U",30,IF(H907="O",40,IF(H907="I",20,""))))</f>
        <v/>
      </c>
      <c r="Q907" s="132">
        <f>IF(AND(H907="L", P907&gt;=50%), "Pass",
IF(AND(H907="U", P907&gt;=60%), "Pass",
IF(AND(H907="O", P907&gt;=75%), "Pass", "Fail")))</f>
        <v/>
      </c>
      <c r="R907" s="104" t="n"/>
      <c r="S907" s="104" t="n">
        <v>12</v>
      </c>
      <c r="T907" s="104" t="n">
        <v>7</v>
      </c>
      <c r="U907" s="104">
        <f>SUM(S907:T907)</f>
        <v/>
      </c>
      <c r="V907" s="12">
        <f>U907/IF(H907="L",35,IF(H907="U",35,IF(H907="O",35,IF(H907="I",35,""))))</f>
        <v/>
      </c>
      <c r="W907" s="132">
        <f>IF(AND(H907="L", V907&gt;=50%), "Pass",
IF(AND(H907="U", V907&gt;=60%), "Pass",
IF(AND(H907="O", V907&gt;=75%), "Pass", "Fail")))</f>
        <v/>
      </c>
      <c r="X907" s="132">
        <f>IF(AND(Q907="Pass", W907="Pass"), "Pass", "Fail")</f>
        <v/>
      </c>
      <c r="Y907" s="15">
        <f>IF($X907="Pass",$H907,
IF(H907="L","I",
IF(H907="U","L",
IF(H907="O","U",
"I"))))</f>
        <v/>
      </c>
    </row>
    <row r="908">
      <c r="A908" s="147">
        <f>ROW()-2</f>
        <v/>
      </c>
      <c r="B908" s="127" t="inlineStr">
        <is>
          <t>MG1429</t>
        </is>
      </c>
      <c r="C908" s="128" t="inlineStr">
        <is>
          <t>MUTHUKUMAR</t>
        </is>
      </c>
      <c r="D908" s="127" t="inlineStr">
        <is>
          <t>PRODUCTION</t>
        </is>
      </c>
      <c r="E908" s="129" t="inlineStr">
        <is>
          <t>TYRE BUILDING-P3</t>
        </is>
      </c>
      <c r="F908" s="130" t="n">
        <v>44272</v>
      </c>
      <c r="G908" s="131">
        <f>NOW()-F908</f>
        <v/>
      </c>
      <c r="H908" s="104" t="inlineStr">
        <is>
          <t>O</t>
        </is>
      </c>
      <c r="I908" s="104" t="inlineStr">
        <is>
          <t>U</t>
        </is>
      </c>
      <c r="J908" s="104" t="n">
        <v>9</v>
      </c>
      <c r="K908" s="104" t="n">
        <v>9</v>
      </c>
      <c r="L908" s="104" t="n">
        <v>9</v>
      </c>
      <c r="M908" s="104" t="n">
        <v>8</v>
      </c>
      <c r="N908" s="104" t="n"/>
      <c r="O908" s="104">
        <f>SUM(J908:N908)</f>
        <v/>
      </c>
      <c r="P908" s="12">
        <f>O908/IF(H908="L",20,IF(H908="U",30,IF(H908="O",40,IF(H908="I",20,""))))</f>
        <v/>
      </c>
      <c r="Q908" s="132">
        <f>IF(AND(H908="L", P908&gt;=50%), "Pass",
IF(AND(H908="U", P908&gt;=60%), "Pass",
IF(AND(H908="O", P908&gt;=75%), "Pass", "Fail")))</f>
        <v/>
      </c>
      <c r="R908" s="104" t="n"/>
      <c r="S908" s="104" t="n">
        <v>18</v>
      </c>
      <c r="T908" s="104" t="n">
        <v>15</v>
      </c>
      <c r="U908" s="104">
        <f>SUM(S908:T908)</f>
        <v/>
      </c>
      <c r="V908" s="12">
        <f>U908/IF(H908="L",35,IF(H908="U",35,IF(H908="O",35,IF(H908="I",35,""))))</f>
        <v/>
      </c>
      <c r="W908" s="132">
        <f>IF(AND(H908="L", V908&gt;=50%), "Pass",
IF(AND(H908="U", V908&gt;=60%), "Pass",
IF(AND(H908="O", V908&gt;=75%), "Pass", "Fail")))</f>
        <v/>
      </c>
      <c r="X908" s="132">
        <f>IF(AND(Q908="Pass", W908="Pass"), "Pass", "Fail")</f>
        <v/>
      </c>
      <c r="Y908" s="15">
        <f>IF($X908="Pass",$H908,
IF(H908="L","I",
IF(H908="U","L",
IF(H908="O","U",
"I"))))</f>
        <v/>
      </c>
      <c r="Z908" s="82">
        <f>V908-75%</f>
        <v/>
      </c>
    </row>
    <row r="909">
      <c r="A909" s="147">
        <f>ROW()-2</f>
        <v/>
      </c>
      <c r="B909" s="127" t="inlineStr">
        <is>
          <t>SK3159</t>
        </is>
      </c>
      <c r="C909" s="128" t="inlineStr">
        <is>
          <t>D AJITH</t>
        </is>
      </c>
      <c r="D909" s="127" t="inlineStr">
        <is>
          <t>PRODUCTION</t>
        </is>
      </c>
      <c r="E909" s="129" t="inlineStr">
        <is>
          <t>TYRE BUILDING-P1</t>
        </is>
      </c>
      <c r="F909" s="130" t="n">
        <v>44272</v>
      </c>
      <c r="G909" s="131">
        <f>NOW()-F909</f>
        <v/>
      </c>
      <c r="H909" s="104" t="inlineStr">
        <is>
          <t>O</t>
        </is>
      </c>
      <c r="I909" s="104" t="inlineStr">
        <is>
          <t>U</t>
        </is>
      </c>
      <c r="J909" s="104" t="n">
        <v>7</v>
      </c>
      <c r="K909" s="104" t="n">
        <v>5</v>
      </c>
      <c r="L909" s="104" t="n">
        <v>5</v>
      </c>
      <c r="M909" s="104" t="n">
        <v>5</v>
      </c>
      <c r="N909" s="104" t="n"/>
      <c r="O909" s="104">
        <f>SUM(J909:N909)</f>
        <v/>
      </c>
      <c r="P909" s="12">
        <f>O909/IF(H909="L",20,IF(H909="U",30,IF(H909="O",40,IF(H909="I",20,""))))</f>
        <v/>
      </c>
      <c r="Q909" s="132">
        <f>IF(AND(H909="L", P909&gt;=50%), "Pass",
IF(AND(H909="U", P909&gt;=60%), "Pass",
IF(AND(H909="O", P909&gt;=75%), "Pass", "Fail")))</f>
        <v/>
      </c>
      <c r="R909" s="104" t="n"/>
      <c r="S909" s="104" t="n">
        <v>13</v>
      </c>
      <c r="T909" s="104" t="n">
        <v>12</v>
      </c>
      <c r="U909" s="104">
        <f>SUM(S909:T909)</f>
        <v/>
      </c>
      <c r="V909" s="12">
        <f>U909/IF(H909="L",35,IF(H909="U",35,IF(H909="O",35,IF(H909="I",35,""))))</f>
        <v/>
      </c>
      <c r="W909" s="132">
        <f>IF(AND(H909="L", V909&gt;=50%), "Pass",
IF(AND(H909="U", V909&gt;=60%), "Pass",
IF(AND(H909="O", V909&gt;=75%), "Pass", "Fail")))</f>
        <v/>
      </c>
      <c r="X909" s="132">
        <f>IF(AND(Q909="Pass", W909="Pass"), "Pass", "Fail")</f>
        <v/>
      </c>
      <c r="Y909" s="15">
        <f>IF($X909="Pass",$H909,
IF(H909="L","I",
IF(H909="U","L",
IF(H909="O","U",
"I"))))</f>
        <v/>
      </c>
    </row>
    <row r="910">
      <c r="A910" s="147">
        <f>ROW()-2</f>
        <v/>
      </c>
      <c r="B910" s="127" t="inlineStr">
        <is>
          <t>SK3160</t>
        </is>
      </c>
      <c r="C910" s="128" t="inlineStr">
        <is>
          <t>SELVAKUMAR K</t>
        </is>
      </c>
      <c r="D910" s="127" t="inlineStr">
        <is>
          <t>PRODUCTION</t>
        </is>
      </c>
      <c r="E910" s="129" t="inlineStr">
        <is>
          <t>TYRE BUILDING-P1</t>
        </is>
      </c>
      <c r="F910" s="130" t="n">
        <v>44272</v>
      </c>
      <c r="G910" s="131">
        <f>NOW()-F910</f>
        <v/>
      </c>
      <c r="H910" s="104" t="inlineStr">
        <is>
          <t>O</t>
        </is>
      </c>
      <c r="I910" s="104" t="inlineStr">
        <is>
          <t>U</t>
        </is>
      </c>
      <c r="J910" s="104" t="n">
        <v>9</v>
      </c>
      <c r="K910" s="104" t="n">
        <v>10</v>
      </c>
      <c r="L910" s="104" t="n">
        <v>8</v>
      </c>
      <c r="M910" s="104" t="n">
        <v>9</v>
      </c>
      <c r="N910" s="104" t="n"/>
      <c r="O910" s="104">
        <f>SUM(J910:N910)</f>
        <v/>
      </c>
      <c r="P910" s="12">
        <f>O910/IF(H910="L",20,IF(H910="U",30,IF(H910="O",40,IF(H910="I",20,""))))</f>
        <v/>
      </c>
      <c r="Q910" s="132">
        <f>IF(AND(H910="L", P910&gt;=50%), "Pass",
IF(AND(H910="U", P910&gt;=60%), "Pass",
IF(AND(H910="O", P910&gt;=75%), "Pass", "Fail")))</f>
        <v/>
      </c>
      <c r="R910" s="104" t="n"/>
      <c r="S910" s="104" t="n">
        <v>14</v>
      </c>
      <c r="T910" s="104" t="n">
        <v>15</v>
      </c>
      <c r="U910" s="104">
        <f>SUM(S910:T910)</f>
        <v/>
      </c>
      <c r="V910" s="12">
        <f>U910/IF(H910="L",35,IF(H910="U",35,IF(H910="O",35,IF(H910="I",35,""))))</f>
        <v/>
      </c>
      <c r="W910" s="132">
        <f>IF(AND(H910="L", V910&gt;=50%), "Pass",
IF(AND(H910="U", V910&gt;=60%), "Pass",
IF(AND(H910="O", V910&gt;=75%), "Pass", "Fail")))</f>
        <v/>
      </c>
      <c r="X910" s="132">
        <f>IF(AND(Q910="Pass", W910="Pass"), "Pass", "Fail")</f>
        <v/>
      </c>
      <c r="Y910" s="15">
        <f>IF($X910="Pass",$H910,
IF(H910="L","I",
IF(H910="U","L",
IF(H910="O","U",
"I"))))</f>
        <v/>
      </c>
    </row>
    <row r="911">
      <c r="A911" s="147">
        <f>ROW()-2</f>
        <v/>
      </c>
      <c r="B911" s="127" t="inlineStr">
        <is>
          <t>SK3161</t>
        </is>
      </c>
      <c r="C911" s="128" t="inlineStr">
        <is>
          <t>M ALEXSANDAR MOSES</t>
        </is>
      </c>
      <c r="D911" s="127" t="inlineStr">
        <is>
          <t>PRODUCTION</t>
        </is>
      </c>
      <c r="E911" s="129" t="inlineStr">
        <is>
          <t>TYRE BUILDING-P1</t>
        </is>
      </c>
      <c r="F911" s="130" t="n">
        <v>44272</v>
      </c>
      <c r="G911" s="131">
        <f>NOW()-F911</f>
        <v/>
      </c>
      <c r="H911" s="104" t="inlineStr">
        <is>
          <t>O</t>
        </is>
      </c>
      <c r="I911" s="104" t="inlineStr">
        <is>
          <t>U</t>
        </is>
      </c>
      <c r="J911" s="104" t="n">
        <v>8</v>
      </c>
      <c r="K911" s="104" t="n">
        <v>6</v>
      </c>
      <c r="L911" s="104" t="n">
        <v>8</v>
      </c>
      <c r="M911" s="104" t="n">
        <v>7</v>
      </c>
      <c r="N911" s="104" t="n"/>
      <c r="O911" s="104">
        <f>SUM(J911:N911)</f>
        <v/>
      </c>
      <c r="P911" s="12">
        <f>O911/IF(H911="L",20,IF(H911="U",30,IF(H911="O",40,IF(H911="I",20,""))))</f>
        <v/>
      </c>
      <c r="Q911" s="132">
        <f>IF(AND(H911="L", P911&gt;=50%), "Pass",
IF(AND(H911="U", P911&gt;=60%), "Pass",
IF(AND(H911="O", P911&gt;=75%), "Pass", "Fail")))</f>
        <v/>
      </c>
      <c r="R911" s="104" t="n"/>
      <c r="S911" s="104" t="n">
        <v>15</v>
      </c>
      <c r="T911" s="104" t="n">
        <v>14</v>
      </c>
      <c r="U911" s="104">
        <f>SUM(S911:T911)</f>
        <v/>
      </c>
      <c r="V911" s="12">
        <f>U911/IF(H911="L",35,IF(H911="U",35,IF(H911="O",35,IF(H911="I",35,""))))</f>
        <v/>
      </c>
      <c r="W911" s="132">
        <f>IF(AND(H911="L", V911&gt;=50%), "Pass",
IF(AND(H911="U", V911&gt;=60%), "Pass",
IF(AND(H911="O", V911&gt;=75%), "Pass", "Fail")))</f>
        <v/>
      </c>
      <c r="X911" s="132">
        <f>IF(AND(Q911="Pass", W911="Pass"), "Pass", "Fail")</f>
        <v/>
      </c>
      <c r="Y911" s="15">
        <f>IF($X911="Pass",$H911,
IF(H911="L","I",
IF(H911="U","L",
IF(H911="O","U",
"I"))))</f>
        <v/>
      </c>
    </row>
    <row r="912">
      <c r="A912" s="147">
        <f>ROW()-2</f>
        <v/>
      </c>
      <c r="B912" s="127" t="inlineStr">
        <is>
          <t>PK1208</t>
        </is>
      </c>
      <c r="C912" s="128" t="inlineStr">
        <is>
          <t>YOVAN</t>
        </is>
      </c>
      <c r="D912" s="127" t="inlineStr">
        <is>
          <t>PRODUCTION</t>
        </is>
      </c>
      <c r="E912" s="129" t="inlineStr">
        <is>
          <t>TYRE BUILDING-P1</t>
        </is>
      </c>
      <c r="F912" s="130" t="n">
        <v>44274</v>
      </c>
      <c r="G912" s="131">
        <f>NOW()-F912</f>
        <v/>
      </c>
      <c r="H912" s="104" t="inlineStr">
        <is>
          <t>O</t>
        </is>
      </c>
      <c r="I912" s="104" t="inlineStr">
        <is>
          <t>U</t>
        </is>
      </c>
      <c r="J912" s="104" t="n">
        <v>8</v>
      </c>
      <c r="K912" s="104" t="n">
        <v>9</v>
      </c>
      <c r="L912" s="104" t="n">
        <v>8</v>
      </c>
      <c r="M912" s="104" t="n">
        <v>9</v>
      </c>
      <c r="N912" s="104" t="n"/>
      <c r="O912" s="104">
        <f>SUM(J912:N912)</f>
        <v/>
      </c>
      <c r="P912" s="12">
        <f>O912/IF(H912="L",20,IF(H912="U",30,IF(H912="O",40,IF(H912="I",20,""))))</f>
        <v/>
      </c>
      <c r="Q912" s="132">
        <f>IF(AND(H912="L", P912&gt;=50%), "Pass",
IF(AND(H912="U", P912&gt;=60%), "Pass",
IF(AND(H912="O", P912&gt;=75%), "Pass", "Fail")))</f>
        <v/>
      </c>
      <c r="R912" s="104" t="n"/>
      <c r="S912" s="104" t="n">
        <v>15</v>
      </c>
      <c r="T912" s="104" t="n">
        <v>15</v>
      </c>
      <c r="U912" s="104">
        <f>SUM(S912:T912)</f>
        <v/>
      </c>
      <c r="V912" s="12">
        <f>U912/IF(H912="L",35,IF(H912="U",35,IF(H912="O",35,IF(H912="I",35,""))))</f>
        <v/>
      </c>
      <c r="W912" s="132">
        <f>IF(AND(H912="L", V912&gt;=50%), "Pass",
IF(AND(H912="U", V912&gt;=60%), "Pass",
IF(AND(H912="O", V912&gt;=75%), "Pass", "Fail")))</f>
        <v/>
      </c>
      <c r="X912" s="132">
        <f>IF(AND(Q912="Pass", W912="Pass"), "Pass", "Fail")</f>
        <v/>
      </c>
      <c r="Y912" s="15">
        <f>IF($X912="Pass",$H912,
IF(H912="L","I",
IF(H912="U","L",
IF(H912="O","U",
"I"))))</f>
        <v/>
      </c>
    </row>
    <row r="913">
      <c r="A913" s="147">
        <f>ROW()-2</f>
        <v/>
      </c>
      <c r="B913" s="127" t="inlineStr">
        <is>
          <t>KK1219</t>
        </is>
      </c>
      <c r="C913" s="128" t="inlineStr">
        <is>
          <t>SURESH M</t>
        </is>
      </c>
      <c r="D913" s="127" t="inlineStr">
        <is>
          <t>PRODUCTION</t>
        </is>
      </c>
      <c r="E913" s="129" t="inlineStr">
        <is>
          <t>TYRE BUILDING-P1</t>
        </is>
      </c>
      <c r="F913" s="130" t="n">
        <v>44279</v>
      </c>
      <c r="G913" s="131">
        <f>NOW()-F913</f>
        <v/>
      </c>
      <c r="H913" s="104" t="inlineStr">
        <is>
          <t>O</t>
        </is>
      </c>
      <c r="I913" s="104" t="inlineStr">
        <is>
          <t>U</t>
        </is>
      </c>
      <c r="J913" s="104" t="n">
        <v>8</v>
      </c>
      <c r="K913" s="104" t="n">
        <v>9</v>
      </c>
      <c r="L913" s="104" t="n">
        <v>5</v>
      </c>
      <c r="M913" s="104" t="n">
        <v>7</v>
      </c>
      <c r="N913" s="104" t="n"/>
      <c r="O913" s="104">
        <f>SUM(J913:N913)</f>
        <v/>
      </c>
      <c r="P913" s="12">
        <f>O913/IF(H913="L",20,IF(H913="U",30,IF(H913="O",40,IF(H913="I",20,""))))</f>
        <v/>
      </c>
      <c r="Q913" s="132">
        <f>IF(AND(H913="L", P913&gt;=50%), "Pass",
IF(AND(H913="U", P913&gt;=60%), "Pass",
IF(AND(H913="O", P913&gt;=75%), "Pass", "Fail")))</f>
        <v/>
      </c>
      <c r="R913" s="104" t="n"/>
      <c r="S913" s="104" t="n">
        <v>13</v>
      </c>
      <c r="T913" s="104" t="n">
        <v>14</v>
      </c>
      <c r="U913" s="104">
        <f>SUM(S913:T913)</f>
        <v/>
      </c>
      <c r="V913" s="12">
        <f>U913/IF(H913="L",35,IF(H913="U",35,IF(H913="O",35,IF(H913="I",35,""))))</f>
        <v/>
      </c>
      <c r="W913" s="132">
        <f>IF(AND(H913="L", V913&gt;=50%), "Pass",
IF(AND(H913="U", V913&gt;=60%), "Pass",
IF(AND(H913="O", V913&gt;=75%), "Pass", "Fail")))</f>
        <v/>
      </c>
      <c r="X913" s="132">
        <f>IF(AND(Q913="Pass", W913="Pass"), "Pass", "Fail")</f>
        <v/>
      </c>
      <c r="Y913" s="15">
        <f>IF($X913="Pass",$H913,
IF(H913="L","I",
IF(H913="U","L",
IF(H913="O","U",
"I"))))</f>
        <v/>
      </c>
    </row>
    <row r="914">
      <c r="A914" s="147">
        <f>ROW()-2</f>
        <v/>
      </c>
      <c r="B914" s="127" t="inlineStr">
        <is>
          <t>SR1136</t>
        </is>
      </c>
      <c r="C914" s="128" t="inlineStr">
        <is>
          <t>ATHITHYAN M</t>
        </is>
      </c>
      <c r="D914" s="127" t="inlineStr">
        <is>
          <t>PRODUCTION</t>
        </is>
      </c>
      <c r="E914" s="129" t="inlineStr">
        <is>
          <t>TYRE BUILDING-P1</t>
        </is>
      </c>
      <c r="F914" s="130" t="n">
        <v>44287</v>
      </c>
      <c r="G914" s="131">
        <f>NOW()-F914</f>
        <v/>
      </c>
      <c r="H914" s="104" t="inlineStr">
        <is>
          <t>O</t>
        </is>
      </c>
      <c r="I914" s="104" t="inlineStr">
        <is>
          <t>U</t>
        </is>
      </c>
      <c r="J914" s="104" t="n">
        <v>10</v>
      </c>
      <c r="K914" s="104" t="n">
        <v>8</v>
      </c>
      <c r="L914" s="104" t="n">
        <v>7</v>
      </c>
      <c r="M914" s="104" t="n">
        <v>10</v>
      </c>
      <c r="N914" s="104" t="n"/>
      <c r="O914" s="104">
        <f>SUM(J914:N914)</f>
        <v/>
      </c>
      <c r="P914" s="12">
        <f>O914/IF(H914="L",20,IF(H914="U",30,IF(H914="O",40,IF(H914="I",20,""))))</f>
        <v/>
      </c>
      <c r="Q914" s="132">
        <f>IF(AND(H914="L", P914&gt;=50%), "Pass",
IF(AND(H914="U", P914&gt;=60%), "Pass",
IF(AND(H914="O", P914&gt;=75%), "Pass", "Fail")))</f>
        <v/>
      </c>
      <c r="R914" s="104" t="n"/>
      <c r="S914" s="104" t="n">
        <v>9</v>
      </c>
      <c r="T914" s="104" t="n">
        <v>12</v>
      </c>
      <c r="U914" s="104">
        <f>SUM(S914:T914)</f>
        <v/>
      </c>
      <c r="V914" s="12">
        <f>U914/IF(H914="L",35,IF(H914="U",35,IF(H914="O",35,IF(H914="I",35,""))))</f>
        <v/>
      </c>
      <c r="W914" s="132">
        <f>IF(AND(H914="L", V914&gt;=50%), "Pass",
IF(AND(H914="U", V914&gt;=60%), "Pass",
IF(AND(H914="O", V914&gt;=75%), "Pass", "Fail")))</f>
        <v/>
      </c>
      <c r="X914" s="132">
        <f>IF(AND(Q914="Pass", W914="Pass"), "Pass", "Fail")</f>
        <v/>
      </c>
      <c r="Y914" s="15">
        <f>IF($X914="Pass",$H914,
IF(H914="L","I",
IF(H914="U","L",
IF(H914="O","U",
"I"))))</f>
        <v/>
      </c>
    </row>
    <row r="915">
      <c r="A915" s="147">
        <f>ROW()-2</f>
        <v/>
      </c>
      <c r="B915" s="127" t="inlineStr">
        <is>
          <t>AK1011</t>
        </is>
      </c>
      <c r="C915" s="128" t="inlineStr">
        <is>
          <t>NARESH KUMAR PECHIMUTHU</t>
        </is>
      </c>
      <c r="D915" s="127" t="inlineStr">
        <is>
          <t>PRODUCTION</t>
        </is>
      </c>
      <c r="E915" s="129" t="inlineStr">
        <is>
          <t>TYRE CURING</t>
        </is>
      </c>
      <c r="F915" s="130" t="n">
        <v>44295</v>
      </c>
      <c r="G915" s="131">
        <f>NOW()-F915</f>
        <v/>
      </c>
      <c r="H915" s="104" t="inlineStr">
        <is>
          <t>O</t>
        </is>
      </c>
      <c r="I915" s="104" t="inlineStr">
        <is>
          <t>U</t>
        </is>
      </c>
      <c r="J915" s="104" t="n">
        <v>10</v>
      </c>
      <c r="K915" s="104" t="n">
        <v>8</v>
      </c>
      <c r="L915" s="104" t="n">
        <v>8</v>
      </c>
      <c r="M915" s="104" t="n">
        <v>6</v>
      </c>
      <c r="N915" s="104" t="n"/>
      <c r="O915" s="104">
        <f>SUM(J915:N915)</f>
        <v/>
      </c>
      <c r="P915" s="12">
        <f>O915/IF(H915="L",20,IF(H915="U",30,IF(H915="O",40,IF(H915="I",20,""))))</f>
        <v/>
      </c>
      <c r="Q915" s="132">
        <f>IF(AND(H915="L", P915&gt;=50%), "Pass",
IF(AND(H915="U", P915&gt;=60%), "Pass",
IF(AND(H915="O", P915&gt;=75%), "Pass", "Fail")))</f>
        <v/>
      </c>
      <c r="R915" s="104" t="n"/>
      <c r="S915" s="104" t="n">
        <v>15</v>
      </c>
      <c r="T915" s="104" t="n">
        <v>12</v>
      </c>
      <c r="U915" s="104">
        <f>SUM(S915:T915)</f>
        <v/>
      </c>
      <c r="V915" s="12">
        <f>U915/IF(H915="L",35,IF(H915="U",35,IF(H915="O",35,IF(H915="I",35,""))))</f>
        <v/>
      </c>
      <c r="W915" s="132">
        <f>IF(AND(H915="L", V915&gt;=50%), "Pass",
IF(AND(H915="U", V915&gt;=60%), "Pass",
IF(AND(H915="O", V915&gt;=75%), "Pass", "Fail")))</f>
        <v/>
      </c>
      <c r="X915" s="132">
        <f>IF(AND(Q915="Pass", W915="Pass"), "Pass", "Fail")</f>
        <v/>
      </c>
      <c r="Y915" s="15">
        <f>IF($X915="Pass",$H915,
IF(H915="L","I",
IF(H915="U","L",
IF(H915="O","U",
"I"))))</f>
        <v/>
      </c>
    </row>
    <row r="916">
      <c r="A916" s="147">
        <f>ROW()-2</f>
        <v/>
      </c>
      <c r="B916" s="127" t="inlineStr">
        <is>
          <t>SK3174</t>
        </is>
      </c>
      <c r="C916" s="128" t="inlineStr">
        <is>
          <t>SUNIL ORAON</t>
        </is>
      </c>
      <c r="D916" s="127" t="inlineStr">
        <is>
          <t>PRODUCTION</t>
        </is>
      </c>
      <c r="E916" s="129" t="inlineStr">
        <is>
          <t>TYRE CURING</t>
        </is>
      </c>
      <c r="F916" s="130" t="n">
        <v>44303</v>
      </c>
      <c r="G916" s="131">
        <f>NOW()-F916</f>
        <v/>
      </c>
      <c r="H916" s="104" t="inlineStr">
        <is>
          <t>O</t>
        </is>
      </c>
      <c r="I916" s="104" t="inlineStr">
        <is>
          <t>U</t>
        </is>
      </c>
      <c r="J916" s="104" t="n">
        <v>9</v>
      </c>
      <c r="K916" s="104" t="n">
        <v>6</v>
      </c>
      <c r="L916" s="104" t="n">
        <v>7</v>
      </c>
      <c r="M916" s="104" t="n">
        <v>7</v>
      </c>
      <c r="N916" s="104" t="n"/>
      <c r="O916" s="104">
        <f>SUM(J916:N916)</f>
        <v/>
      </c>
      <c r="P916" s="12">
        <f>O916/IF(H916="L",20,IF(H916="U",30,IF(H916="O",40,IF(H916="I",20,""))))</f>
        <v/>
      </c>
      <c r="Q916" s="132">
        <f>IF(AND(H916="L", P916&gt;=50%), "Pass",
IF(AND(H916="U", P916&gt;=60%), "Pass",
IF(AND(H916="O", P916&gt;=75%), "Pass", "Fail")))</f>
        <v/>
      </c>
      <c r="R916" s="104" t="n"/>
      <c r="S916" s="104" t="n">
        <v>11</v>
      </c>
      <c r="T916" s="104" t="n">
        <v>10</v>
      </c>
      <c r="U916" s="104">
        <f>SUM(S916:T916)</f>
        <v/>
      </c>
      <c r="V916" s="12">
        <f>U916/IF(H916="L",35,IF(H916="U",35,IF(H916="O",35,IF(H916="I",35,""))))</f>
        <v/>
      </c>
      <c r="W916" s="132">
        <f>IF(AND(H916="L", V916&gt;=50%), "Pass",
IF(AND(H916="U", V916&gt;=60%), "Pass",
IF(AND(H916="O", V916&gt;=75%), "Pass", "Fail")))</f>
        <v/>
      </c>
      <c r="X916" s="132">
        <f>IF(AND(Q916="Pass", W916="Pass"), "Pass", "Fail")</f>
        <v/>
      </c>
      <c r="Y916" s="15">
        <f>IF($X916="Pass",$H916,
IF(H916="L","I",
IF(H916="U","L",
IF(H916="O","U",
"I"))))</f>
        <v/>
      </c>
    </row>
    <row r="917">
      <c r="A917" s="147">
        <f>ROW()-2</f>
        <v/>
      </c>
      <c r="B917" s="127" t="inlineStr">
        <is>
          <t>AK1016</t>
        </is>
      </c>
      <c r="C917" s="128" t="inlineStr">
        <is>
          <t>ESAKKIMUTHU E</t>
        </is>
      </c>
      <c r="D917" s="127" t="inlineStr">
        <is>
          <t>PRODUCTION</t>
        </is>
      </c>
      <c r="E917" s="129" t="inlineStr">
        <is>
          <t>BIAS MARANGONI&amp;BESTRY</t>
        </is>
      </c>
      <c r="F917" s="130" t="n">
        <v>44311</v>
      </c>
      <c r="G917" s="131">
        <f>NOW()-F917</f>
        <v/>
      </c>
      <c r="H917" s="104" t="inlineStr">
        <is>
          <t>O</t>
        </is>
      </c>
      <c r="I917" s="104" t="inlineStr">
        <is>
          <t>U</t>
        </is>
      </c>
      <c r="J917" s="104" t="n">
        <v>7</v>
      </c>
      <c r="K917" s="104" t="n">
        <v>1</v>
      </c>
      <c r="L917" s="104" t="n">
        <v>2</v>
      </c>
      <c r="M917" s="104" t="n">
        <v>7</v>
      </c>
      <c r="N917" s="104" t="n"/>
      <c r="O917" s="104">
        <f>SUM(J917:N917)</f>
        <v/>
      </c>
      <c r="P917" s="12">
        <f>O917/IF(H917="L",20,IF(H917="U",30,IF(H917="O",40,IF(H917="I",20,""))))</f>
        <v/>
      </c>
      <c r="Q917" s="132">
        <f>IF(AND(H917="L", P917&gt;=50%), "Pass",
IF(AND(H917="U", P917&gt;=60%), "Pass",
IF(AND(H917="O", P917&gt;=75%), "Pass", "Fail")))</f>
        <v/>
      </c>
      <c r="R917" s="104" t="n"/>
      <c r="S917" s="104" t="n">
        <v>14</v>
      </c>
      <c r="T917" s="104" t="n">
        <v>12</v>
      </c>
      <c r="U917" s="104">
        <f>SUM(S917:T917)</f>
        <v/>
      </c>
      <c r="V917" s="12">
        <f>U917/IF(H917="L",35,IF(H917="U",35,IF(H917="O",35,IF(H917="I",35,""))))</f>
        <v/>
      </c>
      <c r="W917" s="132">
        <f>IF(AND(H917="L", V917&gt;=50%), "Pass",
IF(AND(H917="U", V917&gt;=60%), "Pass",
IF(AND(H917="O", V917&gt;=75%), "Pass", "Fail")))</f>
        <v/>
      </c>
      <c r="X917" s="132">
        <f>IF(AND(Q917="Pass", W917="Pass"), "Pass", "Fail")</f>
        <v/>
      </c>
      <c r="Y917" s="15">
        <f>IF($X917="Pass",$H917,
IF(H917="L","I",
IF(H917="U","L",
IF(H917="O","U",
"I"))))</f>
        <v/>
      </c>
    </row>
    <row r="918">
      <c r="A918" s="147">
        <f>ROW()-2</f>
        <v/>
      </c>
      <c r="B918" s="127" t="inlineStr">
        <is>
          <t>AK1018</t>
        </is>
      </c>
      <c r="C918" s="128" t="inlineStr">
        <is>
          <t>PRAVEEN MATHIMARAN R</t>
        </is>
      </c>
      <c r="D918" s="127" t="inlineStr">
        <is>
          <t>PRODUCTION</t>
        </is>
      </c>
      <c r="E918" s="129" t="inlineStr">
        <is>
          <t>TYRE CURING</t>
        </is>
      </c>
      <c r="F918" s="130" t="n">
        <v>44314</v>
      </c>
      <c r="G918" s="131">
        <f>NOW()-F918</f>
        <v/>
      </c>
      <c r="H918" s="104" t="inlineStr">
        <is>
          <t>O</t>
        </is>
      </c>
      <c r="I918" s="104" t="inlineStr">
        <is>
          <t>U</t>
        </is>
      </c>
      <c r="J918" s="104" t="n">
        <v>8</v>
      </c>
      <c r="K918" s="104" t="n">
        <v>8</v>
      </c>
      <c r="L918" s="104" t="n">
        <v>6</v>
      </c>
      <c r="M918" s="104" t="n">
        <v>2</v>
      </c>
      <c r="N918" s="104" t="n"/>
      <c r="O918" s="104">
        <f>SUM(J918:N918)</f>
        <v/>
      </c>
      <c r="P918" s="12">
        <f>O918/IF(H918="L",20,IF(H918="U",30,IF(H918="O",40,IF(H918="I",20,""))))</f>
        <v/>
      </c>
      <c r="Q918" s="132">
        <f>IF(AND(H918="L", P918&gt;=50%), "Pass",
IF(AND(H918="U", P918&gt;=60%), "Pass",
IF(AND(H918="O", P918&gt;=75%), "Pass", "Fail")))</f>
        <v/>
      </c>
      <c r="R918" s="104" t="n"/>
      <c r="S918" s="104" t="n">
        <v>11</v>
      </c>
      <c r="T918" s="104" t="n">
        <v>9</v>
      </c>
      <c r="U918" s="104">
        <f>SUM(S918:T918)</f>
        <v/>
      </c>
      <c r="V918" s="12">
        <f>U918/IF(H918="L",35,IF(H918="U",35,IF(H918="O",35,IF(H918="I",35,""))))</f>
        <v/>
      </c>
      <c r="W918" s="132">
        <f>IF(AND(H918="L", V918&gt;=50%), "Pass",
IF(AND(H918="U", V918&gt;=60%), "Pass",
IF(AND(H918="O", V918&gt;=75%), "Pass", "Fail")))</f>
        <v/>
      </c>
      <c r="X918" s="132">
        <f>IF(AND(Q918="Pass", W918="Pass"), "Pass", "Fail")</f>
        <v/>
      </c>
      <c r="Y918" s="15">
        <f>IF($X918="Pass",$H918,
IF(H918="L","I",
IF(H918="U","L",
IF(H918="O","U",
"I"))))</f>
        <v/>
      </c>
    </row>
    <row r="919">
      <c r="A919" s="147">
        <f>ROW()-2</f>
        <v/>
      </c>
      <c r="B919" s="127" t="inlineStr">
        <is>
          <t>KK1236</t>
        </is>
      </c>
      <c r="C919" s="128" t="inlineStr">
        <is>
          <t>CHINNADURAI M</t>
        </is>
      </c>
      <c r="D919" s="127" t="inlineStr">
        <is>
          <t>PRODUCTION</t>
        </is>
      </c>
      <c r="E919" s="129" t="inlineStr">
        <is>
          <t>TYRE CURING</t>
        </is>
      </c>
      <c r="F919" s="130" t="n">
        <v>44314</v>
      </c>
      <c r="G919" s="131">
        <f>NOW()-F919</f>
        <v/>
      </c>
      <c r="H919" s="104" t="inlineStr">
        <is>
          <t>O</t>
        </is>
      </c>
      <c r="I919" s="104" t="inlineStr">
        <is>
          <t>O</t>
        </is>
      </c>
      <c r="J919" s="104" t="n">
        <v>9</v>
      </c>
      <c r="K919" s="104" t="n">
        <v>10</v>
      </c>
      <c r="L919" s="104" t="n">
        <v>8</v>
      </c>
      <c r="M919" s="104" t="n">
        <v>7</v>
      </c>
      <c r="N919" s="104" t="n"/>
      <c r="O919" s="104">
        <f>SUM(J919:N919)</f>
        <v/>
      </c>
      <c r="P919" s="12">
        <f>O919/IF(H919="L",20,IF(H919="U",30,IF(H919="O",40,IF(H919="I",20,""))))</f>
        <v/>
      </c>
      <c r="Q919" s="132">
        <f>IF(AND(H919="L", P919&gt;=50%), "Pass",
IF(AND(H919="U", P919&gt;=60%), "Pass",
IF(AND(H919="O", P919&gt;=75%), "Pass", "Fail")))</f>
        <v/>
      </c>
      <c r="R919" s="104" t="n"/>
      <c r="S919" s="104" t="n">
        <v>10</v>
      </c>
      <c r="T919" s="104" t="n">
        <v>8</v>
      </c>
      <c r="U919" s="104">
        <f>SUM(S919:T919)</f>
        <v/>
      </c>
      <c r="V919" s="12">
        <f>U919/IF(H919="L",35,IF(H919="U",35,IF(H919="O",35,IF(H919="I",35,""))))</f>
        <v/>
      </c>
      <c r="W919" s="132">
        <f>IF(AND(H919="L", V919&gt;=50%), "Pass",
IF(AND(H919="U", V919&gt;=60%), "Pass",
IF(AND(H919="O", V919&gt;=75%), "Pass", "Fail")))</f>
        <v/>
      </c>
      <c r="X919" s="132">
        <f>IF(AND(Q919="Pass", W919="Pass"), "Pass", "Fail")</f>
        <v/>
      </c>
      <c r="Y919" s="15">
        <f>IF($X919="Pass",$H919,
IF(H919="L","I",
IF(H919="U","L",
IF(H919="O","U",
"I"))))</f>
        <v/>
      </c>
    </row>
    <row r="920">
      <c r="A920" s="147">
        <f>ROW()-2</f>
        <v/>
      </c>
      <c r="B920" s="127" t="inlineStr">
        <is>
          <t>KK1240</t>
        </is>
      </c>
      <c r="C920" s="128" t="inlineStr">
        <is>
          <t>KARTHIKEYAN T</t>
        </is>
      </c>
      <c r="D920" s="127" t="inlineStr">
        <is>
          <t>PRODUCTION</t>
        </is>
      </c>
      <c r="E920" s="129" t="inlineStr">
        <is>
          <t>RADIAL MARANGONI</t>
        </is>
      </c>
      <c r="F920" s="130" t="n">
        <v>44315</v>
      </c>
      <c r="G920" s="131">
        <f>NOW()-F920</f>
        <v/>
      </c>
      <c r="H920" s="104" t="inlineStr">
        <is>
          <t>O</t>
        </is>
      </c>
      <c r="I920" s="104" t="inlineStr">
        <is>
          <t>U</t>
        </is>
      </c>
      <c r="J920" s="104" t="n">
        <v>10</v>
      </c>
      <c r="K920" s="104" t="n">
        <v>10</v>
      </c>
      <c r="L920" s="104" t="n">
        <v>10</v>
      </c>
      <c r="M920" s="104" t="n">
        <v>9</v>
      </c>
      <c r="N920" s="104" t="n"/>
      <c r="O920" s="104">
        <f>SUM(J920:N920)</f>
        <v/>
      </c>
      <c r="P920" s="12">
        <f>O920/IF(H920="L",20,IF(H920="U",30,IF(H920="O",40,IF(H920="I",20,""))))</f>
        <v/>
      </c>
      <c r="Q920" s="132">
        <f>IF(AND(H920="L", P920&gt;=50%), "Pass",
IF(AND(H920="U", P920&gt;=60%), "Pass",
IF(AND(H920="O", P920&gt;=75%), "Pass", "Fail")))</f>
        <v/>
      </c>
      <c r="R920" s="104" t="n"/>
      <c r="S920" s="104" t="n">
        <v>12</v>
      </c>
      <c r="T920" s="104" t="n">
        <v>11</v>
      </c>
      <c r="U920" s="104">
        <f>SUM(S920:T920)</f>
        <v/>
      </c>
      <c r="V920" s="12">
        <f>U920/IF(H920="L",35,IF(H920="U",35,IF(H920="O",35,IF(H920="I",35,""))))</f>
        <v/>
      </c>
      <c r="W920" s="132">
        <f>IF(AND(H920="L", V920&gt;=50%), "Pass",
IF(AND(H920="U", V920&gt;=60%), "Pass",
IF(AND(H920="O", V920&gt;=75%), "Pass", "Fail")))</f>
        <v/>
      </c>
      <c r="X920" s="132">
        <f>IF(AND(Q920="Pass", W920="Pass"), "Pass", "Fail")</f>
        <v/>
      </c>
      <c r="Y920" s="15">
        <f>IF($X920="Pass",$H920,
IF(H920="L","I",
IF(H920="U","L",
IF(H920="O","U",
"I"))))</f>
        <v/>
      </c>
    </row>
    <row r="921">
      <c r="A921" s="147">
        <f>ROW()-2</f>
        <v/>
      </c>
      <c r="B921" s="133" t="inlineStr">
        <is>
          <t>SK3229</t>
        </is>
      </c>
      <c r="C921" s="148" t="inlineStr">
        <is>
          <t>PERIYA RAMA KRISHNAN</t>
        </is>
      </c>
      <c r="D921" s="127" t="inlineStr">
        <is>
          <t>PRODUCTION</t>
        </is>
      </c>
      <c r="E921" s="135" t="inlineStr">
        <is>
          <t>MIXING</t>
        </is>
      </c>
      <c r="F921" s="136" t="n">
        <v>44334</v>
      </c>
      <c r="G921" s="131">
        <f>NOW()-F921</f>
        <v/>
      </c>
      <c r="H921" s="104" t="inlineStr">
        <is>
          <t>O</t>
        </is>
      </c>
      <c r="I921" s="104" t="inlineStr">
        <is>
          <t>U</t>
        </is>
      </c>
      <c r="J921" s="104" t="inlineStr">
        <is>
          <t>NIL</t>
        </is>
      </c>
      <c r="K921" s="104" t="n"/>
      <c r="L921" s="104" t="n"/>
      <c r="M921" s="104" t="n"/>
      <c r="N921" s="104" t="n"/>
      <c r="O921" s="104" t="n"/>
      <c r="P921" s="12">
        <f>O921/IF(H921="L",20,IF(H921="U",30,IF(H921="O",40,IF(H921="I",20,""))))</f>
        <v/>
      </c>
      <c r="Q921" s="132">
        <f>IF(AND(H921="L", P921&gt;=50%), "Pass",
IF(AND(H921="U", P921&gt;=60%), "Pass",
IF(AND(H921="O", P921&gt;=75%), "Pass", "Fail")))</f>
        <v/>
      </c>
      <c r="R921" s="104" t="n"/>
      <c r="S921" s="104" t="n">
        <v>15</v>
      </c>
      <c r="T921" s="104" t="n">
        <v>12</v>
      </c>
      <c r="U921" s="104">
        <f>SUM(S921:T921)</f>
        <v/>
      </c>
      <c r="V921" s="12">
        <f>U921/IF(H921="L",35,IF(H921="U",35,IF(H921="O",35,IF(H921="I",35,""))))</f>
        <v/>
      </c>
      <c r="W921" s="132">
        <f>IF(AND(H921="L", V921&gt;=50%), "Pass",
IF(AND(H921="U", V921&gt;=60%), "Pass",
IF(AND(H921="O", V921&gt;=75%), "Pass", "Fail")))</f>
        <v/>
      </c>
      <c r="X921" s="132">
        <f>IF(AND(Q921="Pass", W921="Pass"), "Pass", "Fail")</f>
        <v/>
      </c>
      <c r="Y921" s="15">
        <f>IF($X921="Pass",$H921,
IF(H921="L","I",
IF(H921="U","L",
IF(H921="O","U",
"I"))))</f>
        <v/>
      </c>
    </row>
    <row r="922">
      <c r="A922" s="147">
        <f>ROW()-2</f>
        <v/>
      </c>
      <c r="B922" s="127" t="inlineStr">
        <is>
          <t>SK3232</t>
        </is>
      </c>
      <c r="C922" s="128" t="inlineStr">
        <is>
          <t>MURUGAN</t>
        </is>
      </c>
      <c r="D922" s="127" t="inlineStr">
        <is>
          <t>PRODUCTION</t>
        </is>
      </c>
      <c r="E922" s="129" t="inlineStr">
        <is>
          <t>TYRE BUILDING-P2</t>
        </is>
      </c>
      <c r="F922" s="130" t="n">
        <v>44334</v>
      </c>
      <c r="G922" s="131">
        <f>NOW()-F922</f>
        <v/>
      </c>
      <c r="H922" s="104" t="inlineStr">
        <is>
          <t>O</t>
        </is>
      </c>
      <c r="I922" s="104" t="inlineStr">
        <is>
          <t>U</t>
        </is>
      </c>
      <c r="J922" s="104" t="n">
        <v>9</v>
      </c>
      <c r="K922" s="104" t="n">
        <v>10</v>
      </c>
      <c r="L922" s="104" t="n">
        <v>8</v>
      </c>
      <c r="M922" s="104" t="n">
        <v>7</v>
      </c>
      <c r="N922" s="104" t="n"/>
      <c r="O922" s="104">
        <f>SUM(J922:N922)</f>
        <v/>
      </c>
      <c r="P922" s="12">
        <f>O922/IF(H922="L",20,IF(H922="U",30,IF(H922="O",40,IF(H922="I",20,""))))</f>
        <v/>
      </c>
      <c r="Q922" s="132">
        <f>IF(AND(H922="L", P922&gt;=50%), "Pass",
IF(AND(H922="U", P922&gt;=60%), "Pass",
IF(AND(H922="O", P922&gt;=75%), "Pass", "Fail")))</f>
        <v/>
      </c>
      <c r="R922" s="104" t="n"/>
      <c r="S922" s="104" t="n">
        <v>10</v>
      </c>
      <c r="T922" s="104" t="n">
        <v>8</v>
      </c>
      <c r="U922" s="104">
        <f>SUM(S922:T922)</f>
        <v/>
      </c>
      <c r="V922" s="12">
        <f>U922/IF(H922="L",35,IF(H922="U",35,IF(H922="O",35,IF(H922="I",35,""))))</f>
        <v/>
      </c>
      <c r="W922" s="132">
        <f>IF(AND(H922="L", V922&gt;=50%), "Pass",
IF(AND(H922="U", V922&gt;=60%), "Pass",
IF(AND(H922="O", V922&gt;=75%), "Pass", "Fail")))</f>
        <v/>
      </c>
      <c r="X922" s="132">
        <f>IF(AND(Q922="Pass", W922="Pass"), "Pass", "Fail")</f>
        <v/>
      </c>
      <c r="Y922" s="15">
        <f>IF($X922="Pass",$H922,
IF(H922="L","I",
IF(H922="U","L",
IF(H922="O","U",
"I"))))</f>
        <v/>
      </c>
      <c r="Z922" s="82">
        <f>V922-75%</f>
        <v/>
      </c>
    </row>
    <row r="923">
      <c r="A923" s="147">
        <f>ROW()-2</f>
        <v/>
      </c>
      <c r="B923" s="127" t="inlineStr">
        <is>
          <t>SK3238</t>
        </is>
      </c>
      <c r="C923" s="128" t="inlineStr">
        <is>
          <t>PONRAJ</t>
        </is>
      </c>
      <c r="D923" s="127" t="inlineStr">
        <is>
          <t>PRODUCTION</t>
        </is>
      </c>
      <c r="E923" s="129" t="inlineStr">
        <is>
          <t>SOLID TYRE</t>
        </is>
      </c>
      <c r="F923" s="130" t="n">
        <v>44384</v>
      </c>
      <c r="G923" s="131">
        <f>NOW()-F923</f>
        <v/>
      </c>
      <c r="H923" s="104" t="inlineStr">
        <is>
          <t>O</t>
        </is>
      </c>
      <c r="I923" s="104" t="inlineStr">
        <is>
          <t>U</t>
        </is>
      </c>
      <c r="J923" s="104" t="n">
        <v>9</v>
      </c>
      <c r="K923" s="104" t="n">
        <v>9</v>
      </c>
      <c r="L923" s="104" t="n">
        <v>8</v>
      </c>
      <c r="M923" s="104" t="n">
        <v>9</v>
      </c>
      <c r="N923" s="104" t="n"/>
      <c r="O923" s="104">
        <f>SUM(J923:N923)</f>
        <v/>
      </c>
      <c r="P923" s="12">
        <f>O923/IF(H923="L",20,IF(H923="U",30,IF(H923="O",40,IF(H923="I",20,""))))</f>
        <v/>
      </c>
      <c r="Q923" s="132">
        <f>IF(AND(H923="L", P923&gt;=50%), "Pass",
IF(AND(H923="U", P923&gt;=60%), "Pass",
IF(AND(H923="O", P923&gt;=75%), "Pass", "Fail")))</f>
        <v/>
      </c>
      <c r="R923" s="104" t="n"/>
      <c r="S923" s="104" t="n">
        <v>18</v>
      </c>
      <c r="T923" s="104" t="n">
        <v>13</v>
      </c>
      <c r="U923" s="104">
        <f>SUM(S923:T923)</f>
        <v/>
      </c>
      <c r="V923" s="12">
        <f>U923/IF(H923="L",35,IF(H923="U",35,IF(H923="O",35,IF(H923="I",35,""))))</f>
        <v/>
      </c>
      <c r="W923" s="132">
        <f>IF(AND(H923="L", V923&gt;=50%), "Pass",
IF(AND(H923="U", V923&gt;=60%), "Pass",
IF(AND(H923="O", V923&gt;=75%), "Pass", "Fail")))</f>
        <v/>
      </c>
      <c r="X923" s="132">
        <f>IF(AND(Q923="Pass", W923="Pass"), "Pass", "Fail")</f>
        <v/>
      </c>
      <c r="Y923" s="15">
        <f>IF($X923="Pass",$H923,
IF(H923="L","I",
IF(H923="U","L",
IF(H923="O","U",
"I"))))</f>
        <v/>
      </c>
    </row>
    <row r="924">
      <c r="A924" s="147">
        <f>ROW()-2</f>
        <v/>
      </c>
      <c r="B924" s="127" t="inlineStr">
        <is>
          <t>KK1268</t>
        </is>
      </c>
      <c r="C924" s="128" t="inlineStr">
        <is>
          <t>P SEKAR</t>
        </is>
      </c>
      <c r="D924" s="127" t="inlineStr">
        <is>
          <t>PRODUCTION</t>
        </is>
      </c>
      <c r="E924" s="129" t="inlineStr">
        <is>
          <t>BAND BUILDING-P1</t>
        </is>
      </c>
      <c r="F924" s="130" t="n">
        <v>44386</v>
      </c>
      <c r="G924" s="131">
        <f>NOW()-F924</f>
        <v/>
      </c>
      <c r="H924" s="104" t="inlineStr">
        <is>
          <t>O</t>
        </is>
      </c>
      <c r="I924" s="104" t="inlineStr">
        <is>
          <t>U</t>
        </is>
      </c>
      <c r="J924" s="104" t="n">
        <v>10</v>
      </c>
      <c r="K924" s="104" t="n">
        <v>8</v>
      </c>
      <c r="L924" s="104" t="n">
        <v>9</v>
      </c>
      <c r="M924" s="104" t="n">
        <v>7</v>
      </c>
      <c r="N924" s="104" t="n"/>
      <c r="O924" s="104">
        <f>SUM(J924:N924)</f>
        <v/>
      </c>
      <c r="P924" s="12">
        <f>O924/IF(H924="L",20,IF(H924="U",30,IF(H924="O",40,IF(H924="I",20,""))))</f>
        <v/>
      </c>
      <c r="Q924" s="132">
        <f>IF(AND(H924="L", P924&gt;=50%), "Pass",
IF(AND(H924="U", P924&gt;=60%), "Pass",
IF(AND(H924="O", P924&gt;=75%), "Pass", "Fail")))</f>
        <v/>
      </c>
      <c r="R924" s="104" t="n"/>
      <c r="S924" s="104" t="n">
        <v>17</v>
      </c>
      <c r="T924" s="104" t="n">
        <v>15</v>
      </c>
      <c r="U924" s="104">
        <f>SUM(S924:T924)</f>
        <v/>
      </c>
      <c r="V924" s="12">
        <f>U924/IF(H924="L",35,IF(H924="U",35,IF(H924="O",35,IF(H924="I",35,""))))</f>
        <v/>
      </c>
      <c r="W924" s="132">
        <f>IF(AND(H924="L", V924&gt;=50%), "Pass",
IF(AND(H924="U", V924&gt;=60%), "Pass",
IF(AND(H924="O", V924&gt;=75%), "Pass", "Fail")))</f>
        <v/>
      </c>
      <c r="X924" s="132">
        <f>IF(AND(Q924="Pass", W924="Pass"), "Pass", "Fail")</f>
        <v/>
      </c>
      <c r="Y924" s="15">
        <f>IF($X924="Pass",$H924,
IF(H924="L","I",
IF(H924="U","L",
IF(H924="O","U",
"I"))))</f>
        <v/>
      </c>
    </row>
    <row r="925">
      <c r="A925" s="147">
        <f>ROW()-2</f>
        <v/>
      </c>
      <c r="B925" s="127" t="inlineStr">
        <is>
          <t>PK1256</t>
        </is>
      </c>
      <c r="C925" s="128" t="inlineStr">
        <is>
          <t>RATHINAVEL J</t>
        </is>
      </c>
      <c r="D925" s="127" t="inlineStr">
        <is>
          <t>PRODUCTION</t>
        </is>
      </c>
      <c r="E925" s="129" t="inlineStr">
        <is>
          <t>TYRE BUILDING-P1</t>
        </is>
      </c>
      <c r="F925" s="130" t="n">
        <v>44386</v>
      </c>
      <c r="G925" s="131">
        <f>NOW()-F925</f>
        <v/>
      </c>
      <c r="H925" s="104" t="inlineStr">
        <is>
          <t>U</t>
        </is>
      </c>
      <c r="I925" s="104" t="inlineStr">
        <is>
          <t>L</t>
        </is>
      </c>
      <c r="J925" s="104" t="n">
        <v>6</v>
      </c>
      <c r="K925" s="104" t="n">
        <v>6</v>
      </c>
      <c r="L925" s="104" t="n">
        <v>7</v>
      </c>
      <c r="M925" s="104" t="n">
        <v>5</v>
      </c>
      <c r="N925" s="104" t="n"/>
      <c r="O925" s="104">
        <f>SUM(J925:N925)</f>
        <v/>
      </c>
      <c r="P925" s="12">
        <f>O925/IF(H925="L",20,IF(H925="U",30,IF(H925="O",40,IF(H925="I",20,""))))</f>
        <v/>
      </c>
      <c r="Q925" s="132">
        <f>IF(AND(H925="L", P925&gt;=50%), "Pass",
IF(AND(H925="U", P925&gt;=60%), "Pass",
IF(AND(H925="O", P925&gt;=75%), "Pass", "Fail")))</f>
        <v/>
      </c>
      <c r="R925" s="104" t="n"/>
      <c r="S925" s="104" t="n">
        <v>10</v>
      </c>
      <c r="T925" s="104" t="n">
        <v>9</v>
      </c>
      <c r="U925" s="104">
        <f>SUM(S925:T925)</f>
        <v/>
      </c>
      <c r="V925" s="12">
        <f>U925/IF(H925="L",35,IF(H925="U",35,IF(H925="O",35,IF(H925="I",35,""))))</f>
        <v/>
      </c>
      <c r="W925" s="132">
        <f>IF(AND(H925="L", V925&gt;=50%), "Pass",
IF(AND(H925="U", V925&gt;=60%), "Pass",
IF(AND(H925="O", V925&gt;=75%), "Pass", "Fail")))</f>
        <v/>
      </c>
      <c r="X925" s="132">
        <f>IF(AND(Q925="Pass", W925="Pass"), "Pass", "Fail")</f>
        <v/>
      </c>
      <c r="Y925" s="15">
        <f>IF($X925="Pass",$H925,
IF(H925="L","I",
IF(H925="U","L",
IF(H925="O","U",
"I"))))</f>
        <v/>
      </c>
    </row>
    <row r="926">
      <c r="A926" s="147">
        <f>ROW()-2</f>
        <v/>
      </c>
      <c r="B926" s="127" t="inlineStr">
        <is>
          <t>SK3240</t>
        </is>
      </c>
      <c r="C926" s="128" t="inlineStr">
        <is>
          <t>MUTHU</t>
        </is>
      </c>
      <c r="D926" s="127" t="inlineStr">
        <is>
          <t>PRODUCTION</t>
        </is>
      </c>
      <c r="E926" s="129" t="inlineStr">
        <is>
          <t>TYRE BUILDING-P1</t>
        </is>
      </c>
      <c r="F926" s="130" t="n">
        <v>44386</v>
      </c>
      <c r="G926" s="131">
        <f>NOW()-F926</f>
        <v/>
      </c>
      <c r="H926" s="104" t="inlineStr">
        <is>
          <t>O</t>
        </is>
      </c>
      <c r="I926" s="104" t="inlineStr">
        <is>
          <t>U</t>
        </is>
      </c>
      <c r="J926" s="104" t="n">
        <v>8</v>
      </c>
      <c r="K926" s="104" t="n">
        <v>5</v>
      </c>
      <c r="L926" s="104" t="n">
        <v>7</v>
      </c>
      <c r="M926" s="104" t="n">
        <v>8</v>
      </c>
      <c r="N926" s="104" t="n"/>
      <c r="O926" s="104">
        <f>SUM(J926:N926)</f>
        <v/>
      </c>
      <c r="P926" s="12">
        <f>O926/IF(H926="L",20,IF(H926="U",30,IF(H926="O",40,IF(H926="I",20,""))))</f>
        <v/>
      </c>
      <c r="Q926" s="132">
        <f>IF(AND(H926="L", P926&gt;=50%), "Pass",
IF(AND(H926="U", P926&gt;=60%), "Pass",
IF(AND(H926="O", P926&gt;=75%), "Pass", "Fail")))</f>
        <v/>
      </c>
      <c r="R926" s="104" t="n"/>
      <c r="S926" s="104" t="n">
        <v>11</v>
      </c>
      <c r="T926" s="104" t="n">
        <v>12</v>
      </c>
      <c r="U926" s="104">
        <f>SUM(S926:T926)</f>
        <v/>
      </c>
      <c r="V926" s="12">
        <f>U926/IF(H926="L",35,IF(H926="U",35,IF(H926="O",35,IF(H926="I",35,""))))</f>
        <v/>
      </c>
      <c r="W926" s="132">
        <f>IF(AND(H926="L", V926&gt;=50%), "Pass",
IF(AND(H926="U", V926&gt;=60%), "Pass",
IF(AND(H926="O", V926&gt;=75%), "Pass", "Fail")))</f>
        <v/>
      </c>
      <c r="X926" s="132">
        <f>IF(AND(Q926="Pass", W926="Pass"), "Pass", "Fail")</f>
        <v/>
      </c>
      <c r="Y926" s="15">
        <f>IF($X926="Pass",$H926,
IF(H926="L","I",
IF(H926="U","L",
IF(H926="O","U",
"I"))))</f>
        <v/>
      </c>
    </row>
    <row r="927">
      <c r="A927" s="147">
        <f>ROW()-2</f>
        <v/>
      </c>
      <c r="B927" s="133" t="inlineStr">
        <is>
          <t>SK3243</t>
        </is>
      </c>
      <c r="C927" s="148" t="inlineStr">
        <is>
          <t>CHHOTU KUMAR MANDAL</t>
        </is>
      </c>
      <c r="D927" s="127" t="inlineStr">
        <is>
          <t>PRODUCTION</t>
        </is>
      </c>
      <c r="E927" s="135" t="inlineStr">
        <is>
          <t>MIXING</t>
        </is>
      </c>
      <c r="F927" s="136" t="n">
        <v>44386</v>
      </c>
      <c r="G927" s="131">
        <f>NOW()-F927</f>
        <v/>
      </c>
      <c r="H927" s="104" t="inlineStr">
        <is>
          <t>O</t>
        </is>
      </c>
      <c r="I927" s="104" t="inlineStr">
        <is>
          <t>L</t>
        </is>
      </c>
      <c r="J927" s="104" t="inlineStr">
        <is>
          <t>NIL</t>
        </is>
      </c>
      <c r="K927" s="104" t="n"/>
      <c r="L927" s="104" t="n"/>
      <c r="M927" s="104" t="n"/>
      <c r="N927" s="104" t="n"/>
      <c r="O927" s="104" t="n"/>
      <c r="P927" s="12">
        <f>O927/IF(H927="L",20,IF(H927="U",30,IF(H927="O",40,IF(H927="I",20,""))))</f>
        <v/>
      </c>
      <c r="Q927" s="132">
        <f>IF(AND(H927="L", P927&gt;=50%), "Pass",
IF(AND(H927="U", P927&gt;=60%), "Pass",
IF(AND(H927="O", P927&gt;=75%), "Pass", "Fail")))</f>
        <v/>
      </c>
      <c r="R927" s="104" t="n"/>
      <c r="S927" s="104" t="n">
        <v>12</v>
      </c>
      <c r="T927" s="104" t="n">
        <v>12</v>
      </c>
      <c r="U927" s="104">
        <f>SUM(S927:T927)</f>
        <v/>
      </c>
      <c r="V927" s="12">
        <f>U927/IF(H927="L",35,IF(H927="U",35,IF(H927="O",35,IF(H927="I",35,""))))</f>
        <v/>
      </c>
      <c r="W927" s="132">
        <f>IF(AND(H927="L", V927&gt;=50%), "Pass",
IF(AND(H927="U", V927&gt;=60%), "Pass",
IF(AND(H927="O", V927&gt;=75%), "Pass", "Fail")))</f>
        <v/>
      </c>
      <c r="X927" s="132">
        <f>IF(AND(Q927="Pass", W927="Pass"), "Pass", "Fail")</f>
        <v/>
      </c>
      <c r="Y927" s="15">
        <f>IF($X927="Pass",$H927,
IF(H927="L","I",
IF(H927="U","L",
IF(H927="O","U",
"I"))))</f>
        <v/>
      </c>
    </row>
    <row r="928">
      <c r="A928" s="147">
        <f>ROW()-2</f>
        <v/>
      </c>
      <c r="B928" s="127" t="inlineStr">
        <is>
          <t>PK1260</t>
        </is>
      </c>
      <c r="C928" s="128" t="inlineStr">
        <is>
          <t>PRAVIN RAY</t>
        </is>
      </c>
      <c r="D928" s="127" t="inlineStr">
        <is>
          <t>PRODUCTION</t>
        </is>
      </c>
      <c r="E928" s="129" t="inlineStr">
        <is>
          <t>TYRE BUILDING-P2</t>
        </is>
      </c>
      <c r="F928" s="130" t="n">
        <v>44387</v>
      </c>
      <c r="G928" s="131">
        <f>NOW()-F928</f>
        <v/>
      </c>
      <c r="H928" s="104" t="inlineStr">
        <is>
          <t>O</t>
        </is>
      </c>
      <c r="I928" s="104" t="inlineStr">
        <is>
          <t>L</t>
        </is>
      </c>
      <c r="J928" s="104" t="n">
        <v>7</v>
      </c>
      <c r="K928" s="104" t="n">
        <v>9</v>
      </c>
      <c r="L928" s="104" t="n">
        <v>7</v>
      </c>
      <c r="M928" s="104" t="n">
        <v>8</v>
      </c>
      <c r="N928" s="104" t="n"/>
      <c r="O928" s="104">
        <f>SUM(J928:N928)</f>
        <v/>
      </c>
      <c r="P928" s="12">
        <f>O928/IF(H928="L",20,IF(H928="U",30,IF(H928="O",40,IF(H928="I",20,""))))</f>
        <v/>
      </c>
      <c r="Q928" s="132">
        <f>IF(AND(H928="L", P928&gt;=50%), "Pass",
IF(AND(H928="U", P928&gt;=60%), "Pass",
IF(AND(H928="O", P928&gt;=75%), "Pass", "Fail")))</f>
        <v/>
      </c>
      <c r="R928" s="104" t="n"/>
      <c r="S928" s="104" t="n">
        <v>10</v>
      </c>
      <c r="T928" s="104" t="n">
        <v>7</v>
      </c>
      <c r="U928" s="104">
        <f>SUM(S928:T928)</f>
        <v/>
      </c>
      <c r="V928" s="12">
        <f>U928/IF(H928="L",35,IF(H928="U",35,IF(H928="O",35,IF(H928="I",35,""))))</f>
        <v/>
      </c>
      <c r="W928" s="132">
        <f>IF(AND(H928="L", V928&gt;=50%), "Pass",
IF(AND(H928="U", V928&gt;=60%), "Pass",
IF(AND(H928="O", V928&gt;=75%), "Pass", "Fail")))</f>
        <v/>
      </c>
      <c r="X928" s="132">
        <f>IF(AND(Q928="Pass", W928="Pass"), "Pass", "Fail")</f>
        <v/>
      </c>
      <c r="Y928" s="15">
        <f>IF($X928="Pass",$H928,
IF(H928="L","I",
IF(H928="U","L",
IF(H928="O","U",
"I"))))</f>
        <v/>
      </c>
    </row>
    <row r="929">
      <c r="A929" s="147">
        <f>ROW()-2</f>
        <v/>
      </c>
      <c r="B929" s="127" t="inlineStr">
        <is>
          <t>SK3253</t>
        </is>
      </c>
      <c r="C929" s="128" t="inlineStr">
        <is>
          <t>MANIKANDAN P</t>
        </is>
      </c>
      <c r="D929" s="127" t="inlineStr">
        <is>
          <t>PRODUCTION</t>
        </is>
      </c>
      <c r="E929" s="129" t="inlineStr">
        <is>
          <t>SOLID TYRE</t>
        </is>
      </c>
      <c r="F929" s="130" t="n">
        <v>44394</v>
      </c>
      <c r="G929" s="131">
        <f>NOW()-F929</f>
        <v/>
      </c>
      <c r="H929" s="104" t="inlineStr">
        <is>
          <t>O</t>
        </is>
      </c>
      <c r="I929" s="104" t="inlineStr">
        <is>
          <t>U</t>
        </is>
      </c>
      <c r="J929" s="104" t="n">
        <v>8</v>
      </c>
      <c r="K929" s="104" t="n">
        <v>9</v>
      </c>
      <c r="L929" s="104" t="n">
        <v>10</v>
      </c>
      <c r="M929" s="104" t="n">
        <v>8</v>
      </c>
      <c r="N929" s="104" t="n"/>
      <c r="O929" s="104">
        <f>SUM(J929:N929)</f>
        <v/>
      </c>
      <c r="P929" s="12">
        <f>O929/IF(H929="L",20,IF(H929="U",30,IF(H929="O",40,IF(H929="I",20,""))))</f>
        <v/>
      </c>
      <c r="Q929" s="132">
        <f>IF(AND(H929="L", P929&gt;=50%), "Pass",
IF(AND(H929="U", P929&gt;=60%), "Pass",
IF(AND(H929="O", P929&gt;=75%), "Pass", "Fail")))</f>
        <v/>
      </c>
      <c r="R929" s="104" t="n"/>
      <c r="S929" s="104" t="n">
        <v>19</v>
      </c>
      <c r="T929" s="104" t="n">
        <v>11</v>
      </c>
      <c r="U929" s="104">
        <f>SUM(S929:T929)</f>
        <v/>
      </c>
      <c r="V929" s="12">
        <f>U929/IF(H929="L",35,IF(H929="U",35,IF(H929="O",35,IF(H929="I",35,""))))</f>
        <v/>
      </c>
      <c r="W929" s="132">
        <f>IF(AND(H929="L", V929&gt;=50%), "Pass",
IF(AND(H929="U", V929&gt;=60%), "Pass",
IF(AND(H929="O", V929&gt;=75%), "Pass", "Fail")))</f>
        <v/>
      </c>
      <c r="X929" s="132">
        <f>IF(AND(Q929="Pass", W929="Pass"), "Pass", "Fail")</f>
        <v/>
      </c>
      <c r="Y929" s="15">
        <f>IF($X929="Pass",$H929,
IF(H929="L","I",
IF(H929="U","L",
IF(H929="O","U",
"I"))))</f>
        <v/>
      </c>
    </row>
    <row r="930">
      <c r="A930" s="147">
        <f>ROW()-2</f>
        <v/>
      </c>
      <c r="B930" s="127" t="inlineStr">
        <is>
          <t>KK1286</t>
        </is>
      </c>
      <c r="C930" s="128" t="inlineStr">
        <is>
          <t>C MAHARAJAN</t>
        </is>
      </c>
      <c r="D930" s="127" t="inlineStr">
        <is>
          <t>PRODUCTION</t>
        </is>
      </c>
      <c r="E930" s="129" t="inlineStr">
        <is>
          <t>SOLID TYRE</t>
        </is>
      </c>
      <c r="F930" s="130" t="n">
        <v>44419</v>
      </c>
      <c r="G930" s="131">
        <f>NOW()-F930</f>
        <v/>
      </c>
      <c r="H930" s="104" t="inlineStr">
        <is>
          <t>O</t>
        </is>
      </c>
      <c r="I930" s="104" t="inlineStr">
        <is>
          <t>U</t>
        </is>
      </c>
      <c r="J930" s="104" t="n">
        <v>10</v>
      </c>
      <c r="K930" s="104" t="n">
        <v>9</v>
      </c>
      <c r="L930" s="104" t="n">
        <v>8</v>
      </c>
      <c r="M930" s="104" t="n">
        <v>8</v>
      </c>
      <c r="N930" s="104" t="n"/>
      <c r="O930" s="104">
        <f>SUM(J930:N930)</f>
        <v/>
      </c>
      <c r="P930" s="12">
        <f>O930/IF(H930="L",20,IF(H930="U",30,IF(H930="O",40,IF(H930="I",20,""))))</f>
        <v/>
      </c>
      <c r="Q930" s="132">
        <f>IF(AND(H930="L", P930&gt;=50%), "Pass",
IF(AND(H930="U", P930&gt;=60%), "Pass",
IF(AND(H930="O", P930&gt;=75%), "Pass", "Fail")))</f>
        <v/>
      </c>
      <c r="R930" s="104" t="n"/>
      <c r="S930" s="104" t="n">
        <v>17</v>
      </c>
      <c r="T930" s="104" t="n">
        <v>14</v>
      </c>
      <c r="U930" s="104">
        <f>SUM(S930:T930)</f>
        <v/>
      </c>
      <c r="V930" s="12">
        <f>U930/IF(H930="L",35,IF(H930="U",35,IF(H930="O",35,IF(H930="I",35,""))))</f>
        <v/>
      </c>
      <c r="W930" s="132">
        <f>IF(AND(H930="L", V930&gt;=50%), "Pass",
IF(AND(H930="U", V930&gt;=60%), "Pass",
IF(AND(H930="O", V930&gt;=75%), "Pass", "Fail")))</f>
        <v/>
      </c>
      <c r="X930" s="132">
        <f>IF(AND(Q930="Pass", W930="Pass"), "Pass", "Fail")</f>
        <v/>
      </c>
      <c r="Y930" s="15">
        <f>IF($X930="Pass",$H930,
IF(H930="L","I",
IF(H930="U","L",
IF(H930="O","U",
"I"))))</f>
        <v/>
      </c>
    </row>
    <row r="931">
      <c r="A931" s="147">
        <f>ROW()-2</f>
        <v/>
      </c>
      <c r="B931" s="127" t="inlineStr">
        <is>
          <t>SR1179</t>
        </is>
      </c>
      <c r="C931" s="128" t="inlineStr">
        <is>
          <t>SURESHKUMAR</t>
        </is>
      </c>
      <c r="D931" s="127" t="inlineStr">
        <is>
          <t>PRODUCTION</t>
        </is>
      </c>
      <c r="E931" s="129" t="inlineStr">
        <is>
          <t>BIAS MARANGONI&amp;BESTRY</t>
        </is>
      </c>
      <c r="F931" s="130" t="n">
        <v>44429</v>
      </c>
      <c r="G931" s="131">
        <f>NOW()-F931</f>
        <v/>
      </c>
      <c r="H931" s="104" t="inlineStr">
        <is>
          <t>O</t>
        </is>
      </c>
      <c r="I931" s="104" t="inlineStr">
        <is>
          <t>U</t>
        </is>
      </c>
      <c r="J931" s="104" t="n">
        <v>9</v>
      </c>
      <c r="K931" s="104" t="n">
        <v>8</v>
      </c>
      <c r="L931" s="104" t="n">
        <v>9</v>
      </c>
      <c r="M931" s="104" t="n">
        <v>4</v>
      </c>
      <c r="N931" s="104" t="n"/>
      <c r="O931" s="104">
        <f>SUM(J931:N931)</f>
        <v/>
      </c>
      <c r="P931" s="12">
        <f>O931/IF(H931="L",20,IF(H931="U",30,IF(H931="O",40,IF(H931="I",20,""))))</f>
        <v/>
      </c>
      <c r="Q931" s="132">
        <f>IF(AND(H931="L", P931&gt;=50%), "Pass",
IF(AND(H931="U", P931&gt;=60%), "Pass",
IF(AND(H931="O", P931&gt;=75%), "Pass", "Fail")))</f>
        <v/>
      </c>
      <c r="R931" s="104" t="n"/>
      <c r="S931" s="104" t="n">
        <v>12</v>
      </c>
      <c r="T931" s="104" t="n">
        <v>11</v>
      </c>
      <c r="U931" s="104">
        <f>SUM(S931:T931)</f>
        <v/>
      </c>
      <c r="V931" s="12">
        <f>U931/IF(H931="L",35,IF(H931="U",35,IF(H931="O",35,IF(H931="I",35,""))))</f>
        <v/>
      </c>
      <c r="W931" s="132">
        <f>IF(AND(H931="L", V931&gt;=50%), "Pass",
IF(AND(H931="U", V931&gt;=60%), "Pass",
IF(AND(H931="O", V931&gt;=75%), "Pass", "Fail")))</f>
        <v/>
      </c>
      <c r="X931" s="132">
        <f>IF(AND(Q931="Pass", W931="Pass"), "Pass", "Fail")</f>
        <v/>
      </c>
      <c r="Y931" s="15">
        <f>IF($X931="Pass",$H931,
IF(H931="L","I",
IF(H931="U","L",
IF(H931="O","U",
"I"))))</f>
        <v/>
      </c>
    </row>
    <row r="932">
      <c r="A932" s="147">
        <f>ROW()-2</f>
        <v/>
      </c>
      <c r="B932" s="127" t="inlineStr">
        <is>
          <t>AK1049</t>
        </is>
      </c>
      <c r="C932" s="128" t="inlineStr">
        <is>
          <t>ARABATH YASAR</t>
        </is>
      </c>
      <c r="D932" s="127" t="inlineStr">
        <is>
          <t>PRODUCTION</t>
        </is>
      </c>
      <c r="E932" s="129" t="inlineStr">
        <is>
          <t>EXTRUDER</t>
        </is>
      </c>
      <c r="F932" s="130" t="n">
        <v>44434</v>
      </c>
      <c r="G932" s="131">
        <f>NOW()-F932</f>
        <v/>
      </c>
      <c r="H932" s="104" t="inlineStr">
        <is>
          <t>O</t>
        </is>
      </c>
      <c r="I932" s="104" t="inlineStr">
        <is>
          <t>L</t>
        </is>
      </c>
      <c r="J932" s="104" t="n">
        <v>7</v>
      </c>
      <c r="K932" s="104" t="n">
        <v>7</v>
      </c>
      <c r="L932" s="104" t="n">
        <v>9</v>
      </c>
      <c r="M932" s="104" t="n">
        <v>9</v>
      </c>
      <c r="N932" s="104" t="n"/>
      <c r="O932" s="104">
        <f>SUM(J932:N932)</f>
        <v/>
      </c>
      <c r="P932" s="12">
        <f>O932/IF(H932="L",20,IF(H932="U",30,IF(H932="O",40,IF(H932="I",20,""))))</f>
        <v/>
      </c>
      <c r="Q932" s="132">
        <f>IF(AND(H932="L", P932&gt;=50%), "Pass",
IF(AND(H932="U", P932&gt;=60%), "Pass",
IF(AND(H932="O", P932&gt;=75%), "Pass", "Fail")))</f>
        <v/>
      </c>
      <c r="R932" s="104" t="n"/>
      <c r="S932" s="104" t="n">
        <v>12</v>
      </c>
      <c r="T932" s="104" t="n">
        <v>10</v>
      </c>
      <c r="U932" s="104">
        <f>SUM(S932:T932)</f>
        <v/>
      </c>
      <c r="V932" s="12">
        <f>U932/IF(H932="L",35,IF(H932="U",35,IF(H932="O",35,IF(H932="I",35,""))))</f>
        <v/>
      </c>
      <c r="W932" s="132">
        <f>IF(AND(H932="L", V932&gt;=50%), "Pass",
IF(AND(H932="U", V932&gt;=60%), "Pass",
IF(AND(H932="O", V932&gt;=75%), "Pass", "Fail")))</f>
        <v/>
      </c>
      <c r="X932" s="132">
        <f>IF(AND(Q932="Pass", W932="Pass"), "Pass", "Fail")</f>
        <v/>
      </c>
      <c r="Y932" s="15">
        <f>IF($X932="Pass",$H932,
IF(H932="L","I",
IF(H932="U","L",
IF(H932="O","U",
"I"))))</f>
        <v/>
      </c>
    </row>
    <row r="933">
      <c r="A933" s="147">
        <f>ROW()-2</f>
        <v/>
      </c>
      <c r="B933" s="127" t="inlineStr">
        <is>
          <t>KK1290</t>
        </is>
      </c>
      <c r="C933" s="128" t="inlineStr">
        <is>
          <t>MURUGAN</t>
        </is>
      </c>
      <c r="D933" s="127" t="inlineStr">
        <is>
          <t>PRODUCTION</t>
        </is>
      </c>
      <c r="E933" s="129" t="inlineStr">
        <is>
          <t>TYRE CURING</t>
        </is>
      </c>
      <c r="F933" s="130" t="n">
        <v>44434</v>
      </c>
      <c r="G933" s="131">
        <f>NOW()-F933</f>
        <v/>
      </c>
      <c r="H933" s="104" t="inlineStr">
        <is>
          <t>O</t>
        </is>
      </c>
      <c r="I933" s="104" t="inlineStr">
        <is>
          <t>U</t>
        </is>
      </c>
      <c r="J933" s="104" t="n">
        <v>8</v>
      </c>
      <c r="K933" s="104" t="n">
        <v>9</v>
      </c>
      <c r="L933" s="104" t="n">
        <v>7</v>
      </c>
      <c r="M933" s="104" t="n">
        <v>6</v>
      </c>
      <c r="N933" s="104" t="n"/>
      <c r="O933" s="104">
        <f>SUM(J933:N933)</f>
        <v/>
      </c>
      <c r="P933" s="12">
        <f>O933/IF(H933="L",20,IF(H933="U",30,IF(H933="O",40,IF(H933="I",20,""))))</f>
        <v/>
      </c>
      <c r="Q933" s="132">
        <f>IF(AND(H933="L", P933&gt;=50%), "Pass",
IF(AND(H933="U", P933&gt;=60%), "Pass",
IF(AND(H933="O", P933&gt;=75%), "Pass", "Fail")))</f>
        <v/>
      </c>
      <c r="R933" s="104" t="n"/>
      <c r="S933" s="104" t="n">
        <v>15</v>
      </c>
      <c r="T933" s="104" t="n">
        <v>14</v>
      </c>
      <c r="U933" s="104">
        <f>SUM(S933:T933)</f>
        <v/>
      </c>
      <c r="V933" s="12">
        <f>U933/IF(H933="L",35,IF(H933="U",35,IF(H933="O",35,IF(H933="I",35,""))))</f>
        <v/>
      </c>
      <c r="W933" s="132">
        <f>IF(AND(H933="L", V933&gt;=50%), "Pass",
IF(AND(H933="U", V933&gt;=60%), "Pass",
IF(AND(H933="O", V933&gt;=75%), "Pass", "Fail")))</f>
        <v/>
      </c>
      <c r="X933" s="132">
        <f>IF(AND(Q933="Pass", W933="Pass"), "Pass", "Fail")</f>
        <v/>
      </c>
      <c r="Y933" s="15">
        <f>IF($X933="Pass",$H933,
IF(H933="L","I",
IF(H933="U","L",
IF(H933="O","U",
"I"))))</f>
        <v/>
      </c>
    </row>
    <row r="934">
      <c r="A934" s="147">
        <f>ROW()-2</f>
        <v/>
      </c>
      <c r="B934" s="133" t="inlineStr">
        <is>
          <t>SR1181</t>
        </is>
      </c>
      <c r="C934" s="148" t="inlineStr">
        <is>
          <t>VAIKUNDAM K</t>
        </is>
      </c>
      <c r="D934" s="127" t="inlineStr">
        <is>
          <t>PRODUCTION</t>
        </is>
      </c>
      <c r="E934" s="135" t="inlineStr">
        <is>
          <t>BAND BUILDING-P3</t>
        </is>
      </c>
      <c r="F934" s="136" t="n">
        <v>44436</v>
      </c>
      <c r="G934" s="131">
        <f>NOW()-F934</f>
        <v/>
      </c>
      <c r="H934" s="104" t="inlineStr">
        <is>
          <t>O</t>
        </is>
      </c>
      <c r="I934" s="104" t="inlineStr">
        <is>
          <t>I</t>
        </is>
      </c>
      <c r="J934" s="104" t="n">
        <v>9</v>
      </c>
      <c r="K934" s="104" t="n">
        <v>8</v>
      </c>
      <c r="L934" s="104" t="n">
        <v>7</v>
      </c>
      <c r="M934" s="104" t="n">
        <v>8</v>
      </c>
      <c r="N934" s="104" t="n"/>
      <c r="O934" s="104">
        <f>SUM(J934:N934)</f>
        <v/>
      </c>
      <c r="P934" s="12">
        <f>O934/IF(H934="L",20,IF(H934="U",30,IF(H934="O",40,IF(H934="I",20,""))))</f>
        <v/>
      </c>
      <c r="Q934" s="132">
        <f>IF(AND(H934="L", P934&gt;=50%), "Pass",
IF(AND(H934="U", P934&gt;=60%), "Pass",
IF(AND(H934="O", P934&gt;=75%), "Pass", "Fail")))</f>
        <v/>
      </c>
      <c r="R934" s="104" t="n"/>
      <c r="S934" s="104" t="n">
        <v>12</v>
      </c>
      <c r="T934" s="104" t="n">
        <v>8</v>
      </c>
      <c r="U934" s="104">
        <f>SUM(S934:T934)</f>
        <v/>
      </c>
      <c r="V934" s="12">
        <f>U934/IF(H934="L",35,IF(H934="U",35,IF(H934="O",35,IF(H934="I",35,""))))</f>
        <v/>
      </c>
      <c r="W934" s="132">
        <f>IF(AND(H934="L", V934&gt;=50%), "Pass",
IF(AND(H934="U", V934&gt;=60%), "Pass",
IF(AND(H934="O", V934&gt;=75%), "Pass", "Fail")))</f>
        <v/>
      </c>
      <c r="X934" s="132">
        <f>IF(AND(Q934="Pass", W934="Pass"), "Pass", "Fail")</f>
        <v/>
      </c>
      <c r="Y934" s="15">
        <f>IF($X934="Pass",$H934,
IF(H934="L","I",
IF(H934="U","L",
IF(H934="O","U",
"I"))))</f>
        <v/>
      </c>
    </row>
    <row r="935">
      <c r="A935" s="147">
        <f>ROW()-2</f>
        <v/>
      </c>
      <c r="B935" s="127" t="inlineStr">
        <is>
          <t>KK1293</t>
        </is>
      </c>
      <c r="C935" s="128" t="inlineStr">
        <is>
          <t>JOTHI MANIKANDAN T</t>
        </is>
      </c>
      <c r="D935" s="127" t="inlineStr">
        <is>
          <t>PRODUCTION</t>
        </is>
      </c>
      <c r="E935" s="129" t="inlineStr">
        <is>
          <t>SOLID TYRE</t>
        </is>
      </c>
      <c r="F935" s="130" t="n">
        <v>44446</v>
      </c>
      <c r="G935" s="131">
        <f>NOW()-F935</f>
        <v/>
      </c>
      <c r="H935" s="104" t="inlineStr">
        <is>
          <t>O</t>
        </is>
      </c>
      <c r="I935" s="104" t="inlineStr">
        <is>
          <t>U</t>
        </is>
      </c>
      <c r="J935" s="104" t="n">
        <v>9</v>
      </c>
      <c r="K935" s="104" t="n">
        <v>8</v>
      </c>
      <c r="L935" s="104" t="n">
        <v>10</v>
      </c>
      <c r="M935" s="104" t="n">
        <v>7</v>
      </c>
      <c r="N935" s="104" t="n"/>
      <c r="O935" s="104">
        <f>SUM(J935:N935)</f>
        <v/>
      </c>
      <c r="P935" s="12">
        <f>O935/IF(H935="L",20,IF(H935="U",30,IF(H935="O",40,IF(H935="I",20,""))))</f>
        <v/>
      </c>
      <c r="Q935" s="132">
        <f>IF(AND(H935="L", P935&gt;=50%), "Pass",
IF(AND(H935="U", P935&gt;=60%), "Pass",
IF(AND(H935="O", P935&gt;=75%), "Pass", "Fail")))</f>
        <v/>
      </c>
      <c r="R935" s="104" t="n"/>
      <c r="S935" s="104" t="n">
        <v>19</v>
      </c>
      <c r="T935" s="104" t="n">
        <v>12</v>
      </c>
      <c r="U935" s="104">
        <f>SUM(S935:T935)</f>
        <v/>
      </c>
      <c r="V935" s="12">
        <f>U935/IF(H935="L",35,IF(H935="U",35,IF(H935="O",35,IF(H935="I",35,""))))</f>
        <v/>
      </c>
      <c r="W935" s="132">
        <f>IF(AND(H935="L", V935&gt;=50%), "Pass",
IF(AND(H935="U", V935&gt;=60%), "Pass",
IF(AND(H935="O", V935&gt;=75%), "Pass", "Fail")))</f>
        <v/>
      </c>
      <c r="X935" s="132">
        <f>IF(AND(Q935="Pass", W935="Pass"), "Pass", "Fail")</f>
        <v/>
      </c>
      <c r="Y935" s="15">
        <f>IF($X935="Pass",$H935,
IF(H935="L","I",
IF(H935="U","L",
IF(H935="O","U",
"I"))))</f>
        <v/>
      </c>
    </row>
    <row r="936">
      <c r="A936" s="147">
        <f>ROW()-2</f>
        <v/>
      </c>
      <c r="B936" s="127" t="inlineStr">
        <is>
          <t>MG1461</t>
        </is>
      </c>
      <c r="C936" s="128" t="inlineStr">
        <is>
          <t>MUTHUKUTTY M</t>
        </is>
      </c>
      <c r="D936" s="127" t="inlineStr">
        <is>
          <t>PRODUCTION</t>
        </is>
      </c>
      <c r="E936" s="129" t="inlineStr">
        <is>
          <t>YANTHAI</t>
        </is>
      </c>
      <c r="F936" s="130" t="n">
        <v>44447</v>
      </c>
      <c r="G936" s="131">
        <f>NOW()-F936</f>
        <v/>
      </c>
      <c r="H936" s="104" t="inlineStr">
        <is>
          <t>O</t>
        </is>
      </c>
      <c r="I936" s="104" t="inlineStr">
        <is>
          <t>U</t>
        </is>
      </c>
      <c r="J936" s="104" t="n">
        <v>8</v>
      </c>
      <c r="K936" s="104" t="n">
        <v>10</v>
      </c>
      <c r="L936" s="104" t="n">
        <v>8</v>
      </c>
      <c r="M936" s="104" t="n">
        <v>6</v>
      </c>
      <c r="N936" s="104" t="n"/>
      <c r="O936" s="104">
        <f>SUM(J936:N936)</f>
        <v/>
      </c>
      <c r="P936" s="12">
        <f>O936/IF(H936="L",20,IF(H936="U",30,IF(H936="O",40,IF(H936="I",20,""))))</f>
        <v/>
      </c>
      <c r="Q936" s="132">
        <f>IF(AND(H936="L", P936&gt;=50%), "Pass",
IF(AND(H936="U", P936&gt;=60%), "Pass",
IF(AND(H936="O", P936&gt;=75%), "Pass", "Fail")))</f>
        <v/>
      </c>
      <c r="R936" s="104" t="n"/>
      <c r="S936" s="43" t="n">
        <v>18</v>
      </c>
      <c r="T936" s="43" t="n">
        <v>15</v>
      </c>
      <c r="U936" s="104">
        <f>SUM(S936:T936)</f>
        <v/>
      </c>
      <c r="V936" s="12">
        <f>U936/IF(H936="L",35,IF(H936="U",35,IF(H936="O",35,IF(H936="I",35,""))))</f>
        <v/>
      </c>
      <c r="W936" s="132">
        <f>IF(AND(H936="L", V936&gt;=50%), "Pass",
IF(AND(H936="U", V936&gt;=60%), "Pass",
IF(AND(H936="O", V936&gt;=75%), "Pass", "Fail")))</f>
        <v/>
      </c>
      <c r="X936" s="132">
        <f>IF(AND(Q936="Pass", W936="Pass"), "Pass", "Fail")</f>
        <v/>
      </c>
      <c r="Y936" s="15">
        <f>IF($X936="Pass",$H936,
IF(H936="L","I",
IF(H936="U","L",
IF(H936="O","U",
"I"))))</f>
        <v/>
      </c>
    </row>
    <row r="937">
      <c r="A937" s="147">
        <f>ROW()-2</f>
        <v/>
      </c>
      <c r="B937" s="127" t="inlineStr">
        <is>
          <t>SK3266</t>
        </is>
      </c>
      <c r="C937" s="128" t="inlineStr">
        <is>
          <t>THANGESWARAN SUDALAIKUMAR</t>
        </is>
      </c>
      <c r="D937" s="127" t="inlineStr">
        <is>
          <t>PRODUCTION</t>
        </is>
      </c>
      <c r="E937" s="129" t="inlineStr">
        <is>
          <t>TYRE BUILDING-P3</t>
        </is>
      </c>
      <c r="F937" s="130" t="n">
        <v>44448</v>
      </c>
      <c r="G937" s="131">
        <f>NOW()-F937</f>
        <v/>
      </c>
      <c r="H937" s="104" t="inlineStr">
        <is>
          <t>O</t>
        </is>
      </c>
      <c r="I937" s="104" t="inlineStr">
        <is>
          <t>U</t>
        </is>
      </c>
      <c r="J937" s="104" t="n">
        <v>10</v>
      </c>
      <c r="K937" s="104" t="n">
        <v>9</v>
      </c>
      <c r="L937" s="104" t="n">
        <v>7</v>
      </c>
      <c r="M937" s="104" t="n">
        <v>7</v>
      </c>
      <c r="N937" s="104" t="n"/>
      <c r="O937" s="104">
        <f>SUM(J937:N937)</f>
        <v/>
      </c>
      <c r="P937" s="12">
        <f>O937/IF(H937="L",20,IF(H937="U",30,IF(H937="O",40,IF(H937="I",20,""))))</f>
        <v/>
      </c>
      <c r="Q937" s="132">
        <f>IF(AND(H937="L", P937&gt;=50%), "Pass",
IF(AND(H937="U", P937&gt;=60%), "Pass",
IF(AND(H937="O", P937&gt;=75%), "Pass", "Fail")))</f>
        <v/>
      </c>
      <c r="R937" s="104" t="n"/>
      <c r="S937" s="104" t="n">
        <v>18</v>
      </c>
      <c r="T937" s="104" t="n">
        <v>15</v>
      </c>
      <c r="U937" s="104">
        <f>SUM(S937:T937)</f>
        <v/>
      </c>
      <c r="V937" s="12">
        <f>U937/IF(H937="L",35,IF(H937="U",35,IF(H937="O",35,IF(H937="I",35,""))))</f>
        <v/>
      </c>
      <c r="W937" s="132">
        <f>IF(AND(H937="L", V937&gt;=50%), "Pass",
IF(AND(H937="U", V937&gt;=60%), "Pass",
IF(AND(H937="O", V937&gt;=75%), "Pass", "Fail")))</f>
        <v/>
      </c>
      <c r="X937" s="132">
        <f>IF(AND(Q937="Pass", W937="Pass"), "Pass", "Fail")</f>
        <v/>
      </c>
      <c r="Y937" s="15">
        <f>IF($X937="Pass",$H937,
IF(H937="L","I",
IF(H937="U","L",
IF(H937="O","U",
"I"))))</f>
        <v/>
      </c>
    </row>
    <row r="938">
      <c r="A938" s="147">
        <f>ROW()-2</f>
        <v/>
      </c>
      <c r="B938" s="127" t="inlineStr">
        <is>
          <t>MG1464</t>
        </is>
      </c>
      <c r="C938" s="128" t="inlineStr">
        <is>
          <t>KALLATHIMURUGAN K</t>
        </is>
      </c>
      <c r="D938" s="127" t="inlineStr">
        <is>
          <t>PRODUCTION</t>
        </is>
      </c>
      <c r="E938" s="129" t="inlineStr">
        <is>
          <t>TYRE BUILDING-P3</t>
        </is>
      </c>
      <c r="F938" s="130" t="n">
        <v>44493</v>
      </c>
      <c r="G938" s="131">
        <f>NOW()-F938</f>
        <v/>
      </c>
      <c r="H938" s="104" t="inlineStr">
        <is>
          <t>O</t>
        </is>
      </c>
      <c r="I938" s="104" t="inlineStr">
        <is>
          <t>U</t>
        </is>
      </c>
      <c r="J938" s="104" t="n">
        <v>10</v>
      </c>
      <c r="K938" s="104" t="n">
        <v>8</v>
      </c>
      <c r="L938" s="104" t="n">
        <v>7</v>
      </c>
      <c r="M938" s="104" t="n">
        <v>9</v>
      </c>
      <c r="N938" s="104" t="n"/>
      <c r="O938" s="104">
        <f>SUM(J938:N938)</f>
        <v/>
      </c>
      <c r="P938" s="12">
        <f>O938/IF(H938="L",20,IF(H938="U",30,IF(H938="O",40,IF(H938="I",20,""))))</f>
        <v/>
      </c>
      <c r="Q938" s="132">
        <f>IF(AND(H938="L", P938&gt;=50%), "Pass",
IF(AND(H938="U", P938&gt;=60%), "Pass",
IF(AND(H938="O", P938&gt;=75%), "Pass", "Fail")))</f>
        <v/>
      </c>
      <c r="R938" s="104" t="n"/>
      <c r="S938" s="104" t="n">
        <v>19</v>
      </c>
      <c r="T938" s="104" t="n">
        <v>15</v>
      </c>
      <c r="U938" s="104">
        <f>SUM(S938:T938)</f>
        <v/>
      </c>
      <c r="V938" s="12">
        <f>U938/IF(H938="L",35,IF(H938="U",35,IF(H938="O",35,IF(H938="I",35,""))))</f>
        <v/>
      </c>
      <c r="W938" s="132">
        <f>IF(AND(H938="L", V938&gt;=50%), "Pass",
IF(AND(H938="U", V938&gt;=60%), "Pass",
IF(AND(H938="O", V938&gt;=75%), "Pass", "Fail")))</f>
        <v/>
      </c>
      <c r="X938" s="132">
        <f>IF(AND(Q938="Pass", W938="Pass"), "Pass", "Fail")</f>
        <v/>
      </c>
      <c r="Y938" s="15">
        <f>IF($X938="Pass",$H938,
IF(H938="L","I",
IF(H938="U","L",
IF(H938="O","U",
"I"))))</f>
        <v/>
      </c>
    </row>
    <row r="939">
      <c r="A939" s="147">
        <f>ROW()-2</f>
        <v/>
      </c>
      <c r="B939" s="127" t="inlineStr">
        <is>
          <t>MG1467</t>
        </is>
      </c>
      <c r="C939" s="128" t="inlineStr">
        <is>
          <t>RAMESH</t>
        </is>
      </c>
      <c r="D939" s="127" t="inlineStr">
        <is>
          <t>PRODUCTION</t>
        </is>
      </c>
      <c r="E939" s="129" t="inlineStr">
        <is>
          <t>TYRE CURING</t>
        </is>
      </c>
      <c r="F939" s="130" t="n">
        <v>44499</v>
      </c>
      <c r="G939" s="131">
        <f>NOW()-F939</f>
        <v/>
      </c>
      <c r="H939" s="104" t="inlineStr">
        <is>
          <t>O</t>
        </is>
      </c>
      <c r="I939" s="104" t="inlineStr">
        <is>
          <t>O</t>
        </is>
      </c>
      <c r="J939" s="104" t="n">
        <v>9</v>
      </c>
      <c r="K939" s="104" t="n">
        <v>9</v>
      </c>
      <c r="L939" s="104" t="n">
        <v>8</v>
      </c>
      <c r="M939" s="104" t="n">
        <v>9</v>
      </c>
      <c r="N939" s="104" t="n"/>
      <c r="O939" s="104">
        <f>SUM(J939:N939)</f>
        <v/>
      </c>
      <c r="P939" s="12">
        <f>O939/IF(H939="L",20,IF(H939="U",30,IF(H939="O",40,IF(H939="I",20,""))))</f>
        <v/>
      </c>
      <c r="Q939" s="132">
        <f>IF(AND(H939="L", P939&gt;=50%), "Pass",
IF(AND(H939="U", P939&gt;=60%), "Pass",
IF(AND(H939="O", P939&gt;=75%), "Pass", "Fail")))</f>
        <v/>
      </c>
      <c r="R939" s="104" t="n"/>
      <c r="S939" s="104" t="n">
        <v>11</v>
      </c>
      <c r="T939" s="104" t="n">
        <v>9</v>
      </c>
      <c r="U939" s="104">
        <f>SUM(S939:T939)</f>
        <v/>
      </c>
      <c r="V939" s="12">
        <f>U939/IF(H939="L",35,IF(H939="U",35,IF(H939="O",35,IF(H939="I",35,""))))</f>
        <v/>
      </c>
      <c r="W939" s="132">
        <f>IF(AND(H939="L", V939&gt;=50%), "Pass",
IF(AND(H939="U", V939&gt;=60%), "Pass",
IF(AND(H939="O", V939&gt;=75%), "Pass", "Fail")))</f>
        <v/>
      </c>
      <c r="X939" s="132">
        <f>IF(AND(Q939="Pass", W939="Pass"), "Pass", "Fail")</f>
        <v/>
      </c>
      <c r="Y939" s="15">
        <f>IF($X939="Pass",$H939,
IF(H939="L","I",
IF(H939="U","L",
IF(H939="O","U",
"I"))))</f>
        <v/>
      </c>
    </row>
    <row r="940">
      <c r="A940" s="147">
        <f>ROW()-2</f>
        <v/>
      </c>
      <c r="B940" s="127" t="inlineStr">
        <is>
          <t>SR1192</t>
        </is>
      </c>
      <c r="C940" s="128" t="inlineStr">
        <is>
          <t>ESAKKIPANDI</t>
        </is>
      </c>
      <c r="D940" s="127" t="inlineStr">
        <is>
          <t>PRODUCTION</t>
        </is>
      </c>
      <c r="E940" s="129" t="inlineStr">
        <is>
          <t>TYRE BUILDING-P3</t>
        </is>
      </c>
      <c r="F940" s="130" t="n">
        <v>44499</v>
      </c>
      <c r="G940" s="131">
        <f>NOW()-F940</f>
        <v/>
      </c>
      <c r="H940" s="104" t="inlineStr">
        <is>
          <t>O</t>
        </is>
      </c>
      <c r="I940" s="104" t="inlineStr">
        <is>
          <t>U</t>
        </is>
      </c>
      <c r="J940" s="104" t="n">
        <v>9</v>
      </c>
      <c r="K940" s="104" t="n">
        <v>9</v>
      </c>
      <c r="L940" s="104" t="n">
        <v>9</v>
      </c>
      <c r="M940" s="104" t="n">
        <v>9</v>
      </c>
      <c r="N940" s="104" t="n"/>
      <c r="O940" s="104">
        <f>SUM(J940:N940)</f>
        <v/>
      </c>
      <c r="P940" s="12">
        <f>O940/IF(H940="L",20,IF(H940="U",30,IF(H940="O",40,IF(H940="I",20,""))))</f>
        <v/>
      </c>
      <c r="Q940" s="132">
        <f>IF(AND(H940="L", P940&gt;=50%), "Pass",
IF(AND(H940="U", P940&gt;=60%), "Pass",
IF(AND(H940="O", P940&gt;=75%), "Pass", "Fail")))</f>
        <v/>
      </c>
      <c r="R940" s="104" t="n"/>
      <c r="S940" s="104" t="n">
        <v>18</v>
      </c>
      <c r="T940" s="104" t="n">
        <v>15</v>
      </c>
      <c r="U940" s="104">
        <f>SUM(S940:T940)</f>
        <v/>
      </c>
      <c r="V940" s="12">
        <f>U940/IF(H940="L",35,IF(H940="U",35,IF(H940="O",35,IF(H940="I",35,""))))</f>
        <v/>
      </c>
      <c r="W940" s="132">
        <f>IF(AND(H940="L", V940&gt;=50%), "Pass",
IF(AND(H940="U", V940&gt;=60%), "Pass",
IF(AND(H940="O", V940&gt;=75%), "Pass", "Fail")))</f>
        <v/>
      </c>
      <c r="X940" s="132">
        <f>IF(AND(Q940="Pass", W940="Pass"), "Pass", "Fail")</f>
        <v/>
      </c>
      <c r="Y940" s="15">
        <f>IF($X940="Pass",$H940,
IF(H940="L","I",
IF(H940="U","L",
IF(H940="O","U",
"I"))))</f>
        <v/>
      </c>
    </row>
    <row r="941">
      <c r="A941" s="147">
        <f>ROW()-2</f>
        <v/>
      </c>
      <c r="B941" s="133" t="inlineStr">
        <is>
          <t>KK1311</t>
        </is>
      </c>
      <c r="C941" s="148" t="inlineStr">
        <is>
          <t>KANDAN RANA</t>
        </is>
      </c>
      <c r="D941" s="127" t="inlineStr">
        <is>
          <t>PRODUCTION</t>
        </is>
      </c>
      <c r="E941" s="135" t="inlineStr">
        <is>
          <t>MIXING</t>
        </is>
      </c>
      <c r="F941" s="136" t="n">
        <v>44509</v>
      </c>
      <c r="G941" s="131">
        <f>NOW()-F941</f>
        <v/>
      </c>
      <c r="H941" s="104" t="inlineStr">
        <is>
          <t>O</t>
        </is>
      </c>
      <c r="I941" s="104" t="inlineStr">
        <is>
          <t>U</t>
        </is>
      </c>
      <c r="J941" s="104" t="inlineStr">
        <is>
          <t>NIL</t>
        </is>
      </c>
      <c r="K941" s="104" t="n"/>
      <c r="L941" s="104" t="n"/>
      <c r="M941" s="104" t="n"/>
      <c r="N941" s="104" t="n"/>
      <c r="O941" s="104" t="n"/>
      <c r="P941" s="12">
        <f>O941/IF(H941="L",20,IF(H941="U",30,IF(H941="O",40,IF(H941="I",20,""))))</f>
        <v/>
      </c>
      <c r="Q941" s="132">
        <f>IF(AND(H941="L", P941&gt;=50%), "Pass",
IF(AND(H941="U", P941&gt;=60%), "Pass",
IF(AND(H941="O", P941&gt;=75%), "Pass", "Fail")))</f>
        <v/>
      </c>
      <c r="R941" s="104" t="n"/>
      <c r="S941" s="104" t="n">
        <v>12</v>
      </c>
      <c r="T941" s="104" t="n">
        <v>10</v>
      </c>
      <c r="U941" s="104">
        <f>SUM(S941:T941)</f>
        <v/>
      </c>
      <c r="V941" s="12">
        <f>U941/IF(H941="L",35,IF(H941="U",35,IF(H941="O",35,IF(H941="I",35,""))))</f>
        <v/>
      </c>
      <c r="W941" s="132">
        <f>IF(AND(H941="L", V941&gt;=50%), "Pass",
IF(AND(H941="U", V941&gt;=60%), "Pass",
IF(AND(H941="O", V941&gt;=75%), "Pass", "Fail")))</f>
        <v/>
      </c>
      <c r="X941" s="132">
        <f>IF(AND(Q941="Pass", W941="Pass"), "Pass", "Fail")</f>
        <v/>
      </c>
      <c r="Y941" s="15">
        <f>IF($X941="Pass",$H941,
IF(H941="L","I",
IF(H941="U","L",
IF(H941="O","U",
"I"))))</f>
        <v/>
      </c>
      <c r="Z941" s="82" t="n"/>
    </row>
    <row r="942">
      <c r="A942" s="147">
        <f>ROW()-2</f>
        <v/>
      </c>
      <c r="B942" s="127" t="inlineStr">
        <is>
          <t>SR1194</t>
        </is>
      </c>
      <c r="C942" s="128" t="inlineStr">
        <is>
          <t>SOLOMON A</t>
        </is>
      </c>
      <c r="D942" s="127" t="inlineStr">
        <is>
          <t>PRODUCTION</t>
        </is>
      </c>
      <c r="E942" s="129" t="inlineStr">
        <is>
          <t>SOLID TYRE</t>
        </is>
      </c>
      <c r="F942" s="130" t="n">
        <v>44510</v>
      </c>
      <c r="G942" s="131">
        <f>NOW()-F942</f>
        <v/>
      </c>
      <c r="H942" s="104" t="inlineStr">
        <is>
          <t>O</t>
        </is>
      </c>
      <c r="I942" s="104" t="inlineStr">
        <is>
          <t>U</t>
        </is>
      </c>
      <c r="J942" s="104" t="n">
        <v>8</v>
      </c>
      <c r="K942" s="104" t="n">
        <v>8</v>
      </c>
      <c r="L942" s="104" t="n">
        <v>8</v>
      </c>
      <c r="M942" s="104" t="n">
        <v>6</v>
      </c>
      <c r="N942" s="104" t="n"/>
      <c r="O942" s="104">
        <f>SUM(J942:N942)</f>
        <v/>
      </c>
      <c r="P942" s="12">
        <f>O942/IF(H942="L",20,IF(H942="U",30,IF(H942="O",40,IF(H942="I",20,""))))</f>
        <v/>
      </c>
      <c r="Q942" s="132">
        <f>IF(AND(H942="L", P942&gt;=50%), "Pass",
IF(AND(H942="U", P942&gt;=60%), "Pass",
IF(AND(H942="O", P942&gt;=75%), "Pass", "Fail")))</f>
        <v/>
      </c>
      <c r="R942" s="104" t="n"/>
      <c r="S942" s="104" t="n">
        <v>18</v>
      </c>
      <c r="T942" s="104" t="n">
        <v>11</v>
      </c>
      <c r="U942" s="104">
        <f>SUM(S942:T942)</f>
        <v/>
      </c>
      <c r="V942" s="12">
        <f>U942/IF(H942="L",35,IF(H942="U",35,IF(H942="O",35,IF(H942="I",35,""))))</f>
        <v/>
      </c>
      <c r="W942" s="132">
        <f>IF(AND(H942="L", V942&gt;=50%), "Pass",
IF(AND(H942="U", V942&gt;=60%), "Pass",
IF(AND(H942="O", V942&gt;=75%), "Pass", "Fail")))</f>
        <v/>
      </c>
      <c r="X942" s="132">
        <f>IF(AND(Q942="Pass", W942="Pass"), "Pass", "Fail")</f>
        <v/>
      </c>
      <c r="Y942" s="15">
        <f>IF($X942="Pass",$H942,
IF(H942="L","I",
IF(H942="U","L",
IF(H942="O","U",
"I"))))</f>
        <v/>
      </c>
    </row>
    <row r="943">
      <c r="A943" s="147">
        <f>ROW()-2</f>
        <v/>
      </c>
      <c r="B943" s="127" t="inlineStr">
        <is>
          <t>KK1318</t>
        </is>
      </c>
      <c r="C943" s="128" t="inlineStr">
        <is>
          <t>MUNDASAMY P</t>
        </is>
      </c>
      <c r="D943" s="127" t="inlineStr">
        <is>
          <t>PRODUCTION</t>
        </is>
      </c>
      <c r="E943" s="129" t="inlineStr">
        <is>
          <t>SOLID TYRE</t>
        </is>
      </c>
      <c r="F943" s="130" t="n">
        <v>44511</v>
      </c>
      <c r="G943" s="131">
        <f>NOW()-F943</f>
        <v/>
      </c>
      <c r="H943" s="104" t="inlineStr">
        <is>
          <t>O</t>
        </is>
      </c>
      <c r="I943" s="104" t="inlineStr">
        <is>
          <t>U</t>
        </is>
      </c>
      <c r="J943" s="104" t="n">
        <v>8</v>
      </c>
      <c r="K943" s="104" t="n">
        <v>6</v>
      </c>
      <c r="L943" s="104" t="n">
        <v>9</v>
      </c>
      <c r="M943" s="104" t="n">
        <v>8</v>
      </c>
      <c r="N943" s="104" t="n"/>
      <c r="O943" s="104">
        <f>SUM(J943:N943)</f>
        <v/>
      </c>
      <c r="P943" s="12">
        <f>O943/IF(H943="L",20,IF(H943="U",30,IF(H943="O",40,IF(H943="I",20,""))))</f>
        <v/>
      </c>
      <c r="Q943" s="132">
        <f>IF(AND(H943="L", P943&gt;=50%), "Pass",
IF(AND(H943="U", P943&gt;=60%), "Pass",
IF(AND(H943="O", P943&gt;=75%), "Pass", "Fail")))</f>
        <v/>
      </c>
      <c r="R943" s="104" t="n"/>
      <c r="S943" s="104" t="n">
        <v>17</v>
      </c>
      <c r="T943" s="104" t="n">
        <v>13</v>
      </c>
      <c r="U943" s="104">
        <f>SUM(S943:T943)</f>
        <v/>
      </c>
      <c r="V943" s="12">
        <f>U943/IF(H943="L",35,IF(H943="U",35,IF(H943="O",35,IF(H943="I",35,""))))</f>
        <v/>
      </c>
      <c r="W943" s="132">
        <f>IF(AND(H943="L", V943&gt;=50%), "Pass",
IF(AND(H943="U", V943&gt;=60%), "Pass",
IF(AND(H943="O", V943&gt;=75%), "Pass", "Fail")))</f>
        <v/>
      </c>
      <c r="X943" s="132">
        <f>IF(AND(Q943="Pass", W943="Pass"), "Pass", "Fail")</f>
        <v/>
      </c>
      <c r="Y943" s="15">
        <f>IF($X943="Pass",$H943,
IF(H943="L","I",
IF(H943="U","L",
IF(H943="O","U",
"I"))))</f>
        <v/>
      </c>
    </row>
    <row r="944">
      <c r="A944" s="147">
        <f>ROW()-2</f>
        <v/>
      </c>
      <c r="B944" s="127" t="inlineStr">
        <is>
          <t>SK3286</t>
        </is>
      </c>
      <c r="C944" s="128" t="inlineStr">
        <is>
          <t>MAYANDI</t>
        </is>
      </c>
      <c r="D944" s="127" t="inlineStr">
        <is>
          <t>PRODUCTION</t>
        </is>
      </c>
      <c r="E944" s="129" t="inlineStr">
        <is>
          <t>TYRE BUILDING-P3</t>
        </is>
      </c>
      <c r="F944" s="130" t="n">
        <v>44512</v>
      </c>
      <c r="G944" s="131">
        <f>NOW()-F944</f>
        <v/>
      </c>
      <c r="H944" s="104" t="inlineStr">
        <is>
          <t>O</t>
        </is>
      </c>
      <c r="I944" s="104" t="inlineStr">
        <is>
          <t>U</t>
        </is>
      </c>
      <c r="J944" s="104" t="n">
        <v>10</v>
      </c>
      <c r="K944" s="104" t="n">
        <v>9</v>
      </c>
      <c r="L944" s="104" t="n">
        <v>8</v>
      </c>
      <c r="M944" s="104" t="n">
        <v>9</v>
      </c>
      <c r="N944" s="104" t="n"/>
      <c r="O944" s="104">
        <f>SUM(J944:N944)</f>
        <v/>
      </c>
      <c r="P944" s="12">
        <f>O944/IF(H944="L",20,IF(H944="U",30,IF(H944="O",40,IF(H944="I",20,""))))</f>
        <v/>
      </c>
      <c r="Q944" s="132">
        <f>IF(AND(H944="L", P944&gt;=50%), "Pass",
IF(AND(H944="U", P944&gt;=60%), "Pass",
IF(AND(H944="O", P944&gt;=75%), "Pass", "Fail")))</f>
        <v/>
      </c>
      <c r="R944" s="104" t="n"/>
      <c r="S944" s="104" t="n">
        <v>17</v>
      </c>
      <c r="T944" s="104" t="n">
        <v>14</v>
      </c>
      <c r="U944" s="104">
        <f>SUM(S944:T944)</f>
        <v/>
      </c>
      <c r="V944" s="12">
        <f>U944/IF(H944="L",35,IF(H944="U",35,IF(H944="O",35,IF(H944="I",35,""))))</f>
        <v/>
      </c>
      <c r="W944" s="132">
        <f>IF(AND(H944="L", V944&gt;=50%), "Pass",
IF(AND(H944="U", V944&gt;=60%), "Pass",
IF(AND(H944="O", V944&gt;=75%), "Pass", "Fail")))</f>
        <v/>
      </c>
      <c r="X944" s="132">
        <f>IF(AND(Q944="Pass", W944="Pass"), "Pass", "Fail")</f>
        <v/>
      </c>
      <c r="Y944" s="15">
        <f>IF($X944="Pass",$H944,
IF(H944="L","I",
IF(H944="U","L",
IF(H944="O","U",
"I"))))</f>
        <v/>
      </c>
    </row>
    <row r="945">
      <c r="A945" s="147">
        <f>ROW()-2</f>
        <v/>
      </c>
      <c r="B945" s="127" t="inlineStr">
        <is>
          <t>AK1069</t>
        </is>
      </c>
      <c r="C945" s="128" t="inlineStr">
        <is>
          <t>ELANGO S</t>
        </is>
      </c>
      <c r="D945" s="127" t="inlineStr">
        <is>
          <t>PRODUCTION</t>
        </is>
      </c>
      <c r="E945" s="129" t="inlineStr">
        <is>
          <t>SOLID TYRE</t>
        </is>
      </c>
      <c r="F945" s="130" t="n">
        <v>44513</v>
      </c>
      <c r="G945" s="131">
        <f>NOW()-F945</f>
        <v/>
      </c>
      <c r="H945" s="104" t="inlineStr">
        <is>
          <t>O</t>
        </is>
      </c>
      <c r="I945" s="104" t="inlineStr">
        <is>
          <t>U</t>
        </is>
      </c>
      <c r="J945" s="104" t="n">
        <v>8</v>
      </c>
      <c r="K945" s="104" t="n">
        <v>9</v>
      </c>
      <c r="L945" s="104" t="n">
        <v>6</v>
      </c>
      <c r="M945" s="104" t="n">
        <v>4</v>
      </c>
      <c r="N945" s="104" t="n"/>
      <c r="O945" s="104">
        <f>SUM(J945:N945)</f>
        <v/>
      </c>
      <c r="P945" s="12">
        <f>O945/IF(H945="L",20,IF(H945="U",30,IF(H945="O",40,IF(H945="I",20,""))))</f>
        <v/>
      </c>
      <c r="Q945" s="132">
        <f>IF(AND(H945="L", P945&gt;=50%), "Pass",
IF(AND(H945="U", P945&gt;=60%), "Pass",
IF(AND(H945="O", P945&gt;=75%), "Pass", "Fail")))</f>
        <v/>
      </c>
      <c r="R945" s="104" t="n"/>
      <c r="S945" s="104" t="n">
        <v>15</v>
      </c>
      <c r="T945" s="104" t="n">
        <v>7</v>
      </c>
      <c r="U945" s="104">
        <f>SUM(S945:T945)</f>
        <v/>
      </c>
      <c r="V945" s="12">
        <f>U945/IF(H945="L",35,IF(H945="U",35,IF(H945="O",35,IF(H945="I",35,""))))</f>
        <v/>
      </c>
      <c r="W945" s="132">
        <f>IF(AND(H945="L", V945&gt;=50%), "Pass",
IF(AND(H945="U", V945&gt;=60%), "Pass",
IF(AND(H945="O", V945&gt;=75%), "Pass", "Fail")))</f>
        <v/>
      </c>
      <c r="X945" s="132">
        <f>IF(AND(Q945="Pass", W945="Pass"), "Pass", "Fail")</f>
        <v/>
      </c>
      <c r="Y945" s="15">
        <f>IF($X945="Pass",$H945,
IF(H945="L","I",
IF(H945="U","L",
IF(H945="O","U",
"I"))))</f>
        <v/>
      </c>
      <c r="Z945" s="82" t="n"/>
    </row>
    <row r="946">
      <c r="A946" s="147">
        <f>ROW()-2</f>
        <v/>
      </c>
      <c r="B946" s="127" t="inlineStr">
        <is>
          <t>AK1072</t>
        </is>
      </c>
      <c r="C946" s="128" t="inlineStr">
        <is>
          <t>MAHARAJA</t>
        </is>
      </c>
      <c r="D946" s="127" t="inlineStr">
        <is>
          <t>PRODUCTION</t>
        </is>
      </c>
      <c r="E946" s="129" t="inlineStr">
        <is>
          <t>BIAS MARANGONI&amp;BESTRY</t>
        </is>
      </c>
      <c r="F946" s="130" t="n">
        <v>44516</v>
      </c>
      <c r="G946" s="131">
        <f>NOW()-F946</f>
        <v/>
      </c>
      <c r="H946" s="104" t="inlineStr">
        <is>
          <t>O</t>
        </is>
      </c>
      <c r="I946" s="104" t="inlineStr">
        <is>
          <t>U</t>
        </is>
      </c>
      <c r="J946" s="104" t="n">
        <v>9</v>
      </c>
      <c r="K946" s="104" t="n">
        <v>9</v>
      </c>
      <c r="L946" s="104" t="n">
        <v>7</v>
      </c>
      <c r="M946" s="104" t="n">
        <v>7</v>
      </c>
      <c r="N946" s="104" t="n"/>
      <c r="O946" s="104">
        <f>SUM(J946:N946)</f>
        <v/>
      </c>
      <c r="P946" s="12">
        <f>O946/IF(H946="L",20,IF(H946="U",30,IF(H946="O",40,IF(H946="I",20,""))))</f>
        <v/>
      </c>
      <c r="Q946" s="132">
        <f>IF(AND(H946="L", P946&gt;=50%), "Pass",
IF(AND(H946="U", P946&gt;=60%), "Pass",
IF(AND(H946="O", P946&gt;=75%), "Pass", "Fail")))</f>
        <v/>
      </c>
      <c r="R946" s="104" t="n"/>
      <c r="S946" s="104" t="n">
        <v>16</v>
      </c>
      <c r="T946" s="104" t="n">
        <v>12</v>
      </c>
      <c r="U946" s="104">
        <f>SUM(S946:T946)</f>
        <v/>
      </c>
      <c r="V946" s="12">
        <f>U946/IF(H946="L",35,IF(H946="U",35,IF(H946="O",35,IF(H946="I",35,""))))</f>
        <v/>
      </c>
      <c r="W946" s="132">
        <f>IF(AND(H946="L", V946&gt;=50%), "Pass",
IF(AND(H946="U", V946&gt;=60%), "Pass",
IF(AND(H946="O", V946&gt;=75%), "Pass", "Fail")))</f>
        <v/>
      </c>
      <c r="X946" s="132">
        <f>IF(AND(Q946="Pass", W946="Pass"), "Pass", "Fail")</f>
        <v/>
      </c>
      <c r="Y946" s="15">
        <f>IF($X946="Pass",$H946,
IF(H946="L","I",
IF(H946="U","L",
IF(H946="O","U",
"I"))))</f>
        <v/>
      </c>
    </row>
    <row r="947">
      <c r="A947" s="147">
        <f>ROW()-2</f>
        <v/>
      </c>
      <c r="B947" s="127" t="inlineStr">
        <is>
          <t>AK1073</t>
        </is>
      </c>
      <c r="C947" s="128" t="inlineStr">
        <is>
          <t>BALA SUBRAMANIAN A</t>
        </is>
      </c>
      <c r="D947" s="127" t="inlineStr">
        <is>
          <t>PRODUCTION</t>
        </is>
      </c>
      <c r="E947" s="129" t="inlineStr">
        <is>
          <t>TYRE CURING</t>
        </is>
      </c>
      <c r="F947" s="130" t="n">
        <v>44518</v>
      </c>
      <c r="G947" s="131">
        <f>NOW()-F947</f>
        <v/>
      </c>
      <c r="H947" s="104" t="inlineStr">
        <is>
          <t>O</t>
        </is>
      </c>
      <c r="I947" s="104" t="inlineStr">
        <is>
          <t>U</t>
        </is>
      </c>
      <c r="J947" s="104" t="n">
        <v>9</v>
      </c>
      <c r="K947" s="104" t="n">
        <v>9</v>
      </c>
      <c r="L947" s="104" t="n">
        <v>9</v>
      </c>
      <c r="M947" s="104" t="n">
        <v>6</v>
      </c>
      <c r="N947" s="104" t="n"/>
      <c r="O947" s="104">
        <f>SUM(J947:N947)</f>
        <v/>
      </c>
      <c r="P947" s="12">
        <f>O947/IF(H947="L",20,IF(H947="U",30,IF(H947="O",40,IF(H947="I",20,""))))</f>
        <v/>
      </c>
      <c r="Q947" s="132">
        <f>IF(AND(H947="L", P947&gt;=50%), "Pass",
IF(AND(H947="U", P947&gt;=60%), "Pass",
IF(AND(H947="O", P947&gt;=75%), "Pass", "Fail")))</f>
        <v/>
      </c>
      <c r="R947" s="104" t="n"/>
      <c r="S947" s="104" t="n">
        <v>14</v>
      </c>
      <c r="T947" s="104" t="n">
        <v>13</v>
      </c>
      <c r="U947" s="104">
        <f>SUM(S947:T947)</f>
        <v/>
      </c>
      <c r="V947" s="12">
        <f>U947/IF(H947="L",35,IF(H947="U",35,IF(H947="O",35,IF(H947="I",35,""))))</f>
        <v/>
      </c>
      <c r="W947" s="132">
        <f>IF(AND(H947="L", V947&gt;=50%), "Pass",
IF(AND(H947="U", V947&gt;=60%), "Pass",
IF(AND(H947="O", V947&gt;=75%), "Pass", "Fail")))</f>
        <v/>
      </c>
      <c r="X947" s="132">
        <f>IF(AND(Q947="Pass", W947="Pass"), "Pass", "Fail")</f>
        <v/>
      </c>
      <c r="Y947" s="15">
        <f>IF($X947="Pass",$H947,
IF(H947="L","I",
IF(H947="U","L",
IF(H947="O","U",
"I"))))</f>
        <v/>
      </c>
    </row>
    <row r="948">
      <c r="A948" s="147">
        <f>ROW()-2</f>
        <v/>
      </c>
      <c r="B948" s="127" t="inlineStr">
        <is>
          <t>PK1309</t>
        </is>
      </c>
      <c r="C948" s="128" t="inlineStr">
        <is>
          <t>MARIMUTHU V</t>
        </is>
      </c>
      <c r="D948" s="127" t="inlineStr">
        <is>
          <t>PRODUCTION</t>
        </is>
      </c>
      <c r="E948" s="129" t="inlineStr">
        <is>
          <t>TYRE CURING</t>
        </is>
      </c>
      <c r="F948" s="130" t="n">
        <v>44518</v>
      </c>
      <c r="G948" s="131">
        <f>NOW()-F948</f>
        <v/>
      </c>
      <c r="H948" s="104" t="inlineStr">
        <is>
          <t>O</t>
        </is>
      </c>
      <c r="I948" s="104" t="inlineStr">
        <is>
          <t>U</t>
        </is>
      </c>
      <c r="J948" s="104" t="n">
        <v>9</v>
      </c>
      <c r="K948" s="104" t="n">
        <v>6</v>
      </c>
      <c r="L948" s="104" t="n">
        <v>8</v>
      </c>
      <c r="M948" s="104" t="n">
        <v>5</v>
      </c>
      <c r="N948" s="104" t="n"/>
      <c r="O948" s="104">
        <f>SUM(J948:N948)</f>
        <v/>
      </c>
      <c r="P948" s="12">
        <f>O948/IF(H948="L",20,IF(H948="U",30,IF(H948="O",40,IF(H948="I",20,""))))</f>
        <v/>
      </c>
      <c r="Q948" s="132">
        <f>IF(AND(H948="L", P948&gt;=50%), "Pass",
IF(AND(H948="U", P948&gt;=60%), "Pass",
IF(AND(H948="O", P948&gt;=75%), "Pass", "Fail")))</f>
        <v/>
      </c>
      <c r="R948" s="104" t="n"/>
      <c r="S948" s="104" t="n">
        <v>12</v>
      </c>
      <c r="T948" s="104" t="n">
        <v>8</v>
      </c>
      <c r="U948" s="104">
        <f>SUM(S948:T948)</f>
        <v/>
      </c>
      <c r="V948" s="12">
        <f>U948/IF(H948="L",35,IF(H948="U",35,IF(H948="O",35,IF(H948="I",35,""))))</f>
        <v/>
      </c>
      <c r="W948" s="132">
        <f>IF(AND(H948="L", V948&gt;=50%), "Pass",
IF(AND(H948="U", V948&gt;=60%), "Pass",
IF(AND(H948="O", V948&gt;=75%), "Pass", "Fail")))</f>
        <v/>
      </c>
      <c r="X948" s="132">
        <f>IF(AND(Q948="Pass", W948="Pass"), "Pass", "Fail")</f>
        <v/>
      </c>
      <c r="Y948" s="15">
        <f>IF($X948="Pass",$H948,
IF(H948="L","I",
IF(H948="U","L",
IF(H948="O","U",
"I"))))</f>
        <v/>
      </c>
    </row>
    <row r="949">
      <c r="A949" s="147">
        <f>ROW()-2</f>
        <v/>
      </c>
      <c r="B949" s="127" t="inlineStr">
        <is>
          <t>SR1200</t>
        </is>
      </c>
      <c r="C949" s="128" t="inlineStr">
        <is>
          <t>ESAKKI ARUN</t>
        </is>
      </c>
      <c r="D949" s="127" t="inlineStr">
        <is>
          <t>PRODUCTION</t>
        </is>
      </c>
      <c r="E949" s="129" t="inlineStr">
        <is>
          <t>BIAS MARANGONI&amp;BESTRY</t>
        </is>
      </c>
      <c r="F949" s="130" t="n">
        <v>44518</v>
      </c>
      <c r="G949" s="131">
        <f>NOW()-F949</f>
        <v/>
      </c>
      <c r="H949" s="104" t="inlineStr">
        <is>
          <t>O</t>
        </is>
      </c>
      <c r="I949" s="104" t="inlineStr">
        <is>
          <t>U</t>
        </is>
      </c>
      <c r="J949" s="104" t="n">
        <v>9</v>
      </c>
      <c r="K949" s="104" t="n">
        <v>7</v>
      </c>
      <c r="L949" s="104" t="n">
        <v>8</v>
      </c>
      <c r="M949" s="104" t="n">
        <v>7</v>
      </c>
      <c r="N949" s="104" t="n"/>
      <c r="O949" s="104">
        <f>SUM(J949:N949)</f>
        <v/>
      </c>
      <c r="P949" s="12">
        <f>O949/IF(H949="L",20,IF(H949="U",30,IF(H949="O",40,IF(H949="I",20,""))))</f>
        <v/>
      </c>
      <c r="Q949" s="132">
        <f>IF(AND(H949="L", P949&gt;=50%), "Pass",
IF(AND(H949="U", P949&gt;=60%), "Pass",
IF(AND(H949="O", P949&gt;=75%), "Pass", "Fail")))</f>
        <v/>
      </c>
      <c r="R949" s="104" t="n"/>
      <c r="S949" s="104" t="n">
        <v>16</v>
      </c>
      <c r="T949" s="104" t="n">
        <v>12</v>
      </c>
      <c r="U949" s="104">
        <f>SUM(S949:T949)</f>
        <v/>
      </c>
      <c r="V949" s="12">
        <f>U949/IF(H949="L",35,IF(H949="U",35,IF(H949="O",35,IF(H949="I",35,""))))</f>
        <v/>
      </c>
      <c r="W949" s="132">
        <f>IF(AND(H949="L", V949&gt;=50%), "Pass",
IF(AND(H949="U", V949&gt;=60%), "Pass",
IF(AND(H949="O", V949&gt;=75%), "Pass", "Fail")))</f>
        <v/>
      </c>
      <c r="X949" s="132">
        <f>IF(AND(Q949="Pass", W949="Pass"), "Pass", "Fail")</f>
        <v/>
      </c>
      <c r="Y949" s="15">
        <f>IF($X949="Pass",$H949,
IF(H949="L","I",
IF(H949="U","L",
IF(H949="O","U",
"I"))))</f>
        <v/>
      </c>
      <c r="Z949" s="82" t="n"/>
    </row>
    <row r="950">
      <c r="A950" s="147">
        <f>ROW()-2</f>
        <v/>
      </c>
      <c r="B950" s="127" t="inlineStr">
        <is>
          <t>PK1316</t>
        </is>
      </c>
      <c r="C950" s="128" t="inlineStr">
        <is>
          <t>G MUTHU GANESAN</t>
        </is>
      </c>
      <c r="D950" s="127" t="inlineStr">
        <is>
          <t>PRODUCTION</t>
        </is>
      </c>
      <c r="E950" s="129" t="inlineStr">
        <is>
          <t>BIAS CUTTING-5</t>
        </is>
      </c>
      <c r="F950" s="130" t="n">
        <v>44523</v>
      </c>
      <c r="G950" s="131">
        <f>NOW()-F950</f>
        <v/>
      </c>
      <c r="H950" s="104" t="inlineStr">
        <is>
          <t>O</t>
        </is>
      </c>
      <c r="I950" s="104" t="inlineStr">
        <is>
          <t>L</t>
        </is>
      </c>
      <c r="J950" s="104" t="n">
        <v>10</v>
      </c>
      <c r="K950" s="104" t="n">
        <v>9</v>
      </c>
      <c r="L950" s="104" t="n">
        <v>7</v>
      </c>
      <c r="M950" s="104" t="n">
        <v>8</v>
      </c>
      <c r="N950" s="104" t="n"/>
      <c r="O950" s="104">
        <f>SUM(J950:N950)</f>
        <v/>
      </c>
      <c r="P950" s="12">
        <f>O950/IF(H950="L",20,IF(H950="U",30,IF(H950="O",40,IF(H950="I",20,""))))</f>
        <v/>
      </c>
      <c r="Q950" s="132">
        <f>IF(AND(H950="L", P950&gt;=50%), "Pass",
IF(AND(H950="U", P950&gt;=60%), "Pass",
IF(AND(H950="O", P950&gt;=75%), "Pass", "Fail")))</f>
        <v/>
      </c>
      <c r="R950" s="104" t="n"/>
      <c r="S950" s="104" t="n">
        <v>12</v>
      </c>
      <c r="T950" s="104" t="n">
        <v>8</v>
      </c>
      <c r="U950" s="104">
        <f>SUM(S950:T950)</f>
        <v/>
      </c>
      <c r="V950" s="12">
        <f>U950/IF(H950="L",35,IF(H950="U",35,IF(H950="O",35,IF(H950="I",35,""))))</f>
        <v/>
      </c>
      <c r="W950" s="132">
        <f>IF(AND(H950="L", V950&gt;=50%), "Pass",
IF(AND(H950="U", V950&gt;=60%), "Pass",
IF(AND(H950="O", V950&gt;=75%), "Pass", "Fail")))</f>
        <v/>
      </c>
      <c r="X950" s="132">
        <f>IF(AND(Q950="Pass", W950="Pass"), "Pass", "Fail")</f>
        <v/>
      </c>
      <c r="Y950" s="15">
        <f>IF($X950="Pass",$H950,
IF(H950="L","I",
IF(H950="U","L",
IF(H950="O","U",
"I"))))</f>
        <v/>
      </c>
    </row>
    <row r="951">
      <c r="A951" s="147">
        <f>ROW()-2</f>
        <v/>
      </c>
      <c r="B951" s="127" t="inlineStr">
        <is>
          <t>PK1322</t>
        </is>
      </c>
      <c r="C951" s="128" t="inlineStr">
        <is>
          <t>SUDALAIMUTHU</t>
        </is>
      </c>
      <c r="D951" s="127" t="inlineStr">
        <is>
          <t>PRODUCTION</t>
        </is>
      </c>
      <c r="E951" s="129" t="inlineStr">
        <is>
          <t>EXTRUDER</t>
        </is>
      </c>
      <c r="F951" s="130" t="n">
        <v>44543</v>
      </c>
      <c r="G951" s="131">
        <f>NOW()-F951</f>
        <v/>
      </c>
      <c r="H951" s="104" t="inlineStr">
        <is>
          <t>O</t>
        </is>
      </c>
      <c r="I951" s="104" t="inlineStr">
        <is>
          <t>U</t>
        </is>
      </c>
      <c r="J951" s="104" t="n">
        <v>8</v>
      </c>
      <c r="K951" s="104" t="n">
        <v>8</v>
      </c>
      <c r="L951" s="104" t="n">
        <v>7</v>
      </c>
      <c r="M951" s="104" t="n">
        <v>8</v>
      </c>
      <c r="N951" s="104" t="n"/>
      <c r="O951" s="104">
        <f>SUM(J951:N951)</f>
        <v/>
      </c>
      <c r="P951" s="12">
        <f>O951/IF(H951="L",20,IF(H951="U",30,IF(H951="O",40,IF(H951="I",20,""))))</f>
        <v/>
      </c>
      <c r="Q951" s="132">
        <f>IF(AND(H951="L", P951&gt;=50%), "Pass",
IF(AND(H951="U", P951&gt;=60%), "Pass",
IF(AND(H951="O", P951&gt;=75%), "Pass", "Fail")))</f>
        <v/>
      </c>
      <c r="R951" s="104" t="n"/>
      <c r="S951" s="104" t="n">
        <v>13</v>
      </c>
      <c r="T951" s="104" t="n">
        <v>8</v>
      </c>
      <c r="U951" s="104">
        <f>SUM(S951:T951)</f>
        <v/>
      </c>
      <c r="V951" s="12">
        <f>U951/IF(H951="L",35,IF(H951="U",35,IF(H951="O",35,IF(H951="I",35,""))))</f>
        <v/>
      </c>
      <c r="W951" s="132">
        <f>IF(AND(H951="L", V951&gt;=50%), "Pass",
IF(AND(H951="U", V951&gt;=60%), "Pass",
IF(AND(H951="O", V951&gt;=75%), "Pass", "Fail")))</f>
        <v/>
      </c>
      <c r="X951" s="132">
        <f>IF(AND(Q951="Pass", W951="Pass"), "Pass", "Fail")</f>
        <v/>
      </c>
      <c r="Y951" s="15">
        <f>IF($X951="Pass",$H951,
IF(H951="L","I",
IF(H951="U","L",
IF(H951="O","U",
"I"))))</f>
        <v/>
      </c>
    </row>
    <row r="952">
      <c r="A952" s="147">
        <f>ROW()-2</f>
        <v/>
      </c>
      <c r="B952" s="127" t="inlineStr">
        <is>
          <t>SK3317</t>
        </is>
      </c>
      <c r="C952" s="128" t="inlineStr">
        <is>
          <t>RANKAJ KUMAR</t>
        </is>
      </c>
      <c r="D952" s="127" t="inlineStr">
        <is>
          <t>PRODUCTION</t>
        </is>
      </c>
      <c r="E952" s="129" t="inlineStr">
        <is>
          <t>TYRE BUILDING-P1</t>
        </is>
      </c>
      <c r="F952" s="130" t="n">
        <v>44547</v>
      </c>
      <c r="G952" s="131">
        <f>NOW()-F952</f>
        <v/>
      </c>
      <c r="H952" s="104" t="inlineStr">
        <is>
          <t>O</t>
        </is>
      </c>
      <c r="I952" s="104" t="inlineStr">
        <is>
          <t>U</t>
        </is>
      </c>
      <c r="J952" s="104" t="n">
        <v>8</v>
      </c>
      <c r="K952" s="104" t="n">
        <v>9</v>
      </c>
      <c r="L952" s="104" t="n">
        <v>8</v>
      </c>
      <c r="M952" s="104" t="n">
        <v>8</v>
      </c>
      <c r="N952" s="104" t="n"/>
      <c r="O952" s="104">
        <f>SUM(J952:N952)</f>
        <v/>
      </c>
      <c r="P952" s="12">
        <f>O952/IF(H952="L",20,IF(H952="U",30,IF(H952="O",40,IF(H952="I",20,""))))</f>
        <v/>
      </c>
      <c r="Q952" s="132">
        <f>IF(AND(H952="L", P952&gt;=50%), "Pass",
IF(AND(H952="U", P952&gt;=60%), "Pass",
IF(AND(H952="O", P952&gt;=75%), "Pass", "Fail")))</f>
        <v/>
      </c>
      <c r="R952" s="104" t="n"/>
      <c r="S952" s="104" t="n">
        <v>10</v>
      </c>
      <c r="T952" s="104" t="n">
        <v>12</v>
      </c>
      <c r="U952" s="104">
        <f>SUM(S952:T952)</f>
        <v/>
      </c>
      <c r="V952" s="12">
        <f>U952/IF(H952="L",35,IF(H952="U",35,IF(H952="O",35,IF(H952="I",35,""))))</f>
        <v/>
      </c>
      <c r="W952" s="132">
        <f>IF(AND(H952="L", V952&gt;=50%), "Pass",
IF(AND(H952="U", V952&gt;=60%), "Pass",
IF(AND(H952="O", V952&gt;=75%), "Pass", "Fail")))</f>
        <v/>
      </c>
      <c r="X952" s="132">
        <f>IF(AND(Q952="Pass", W952="Pass"), "Pass", "Fail")</f>
        <v/>
      </c>
      <c r="Y952" s="15">
        <f>IF($X952="Pass",$H952,
IF(H952="L","I",
IF(H952="U","L",
IF(H952="O","U",
"I"))))</f>
        <v/>
      </c>
    </row>
    <row r="953" ht="16.5" customHeight="1" s="118">
      <c r="A953" s="147">
        <f>ROW()-2</f>
        <v/>
      </c>
      <c r="B953" s="127" t="inlineStr">
        <is>
          <t>PK1325</t>
        </is>
      </c>
      <c r="C953" s="128" t="inlineStr">
        <is>
          <t>ESAKKIRAJA E</t>
        </is>
      </c>
      <c r="D953" s="127" t="inlineStr">
        <is>
          <t>PRODUCTION</t>
        </is>
      </c>
      <c r="E953" s="129" t="inlineStr">
        <is>
          <t>SOLID TYRE</t>
        </is>
      </c>
      <c r="F953" s="130" t="n">
        <v>44551</v>
      </c>
      <c r="G953" s="131">
        <f>NOW()-F953</f>
        <v/>
      </c>
      <c r="H953" s="104" t="inlineStr">
        <is>
          <t>O</t>
        </is>
      </c>
      <c r="I953" s="104" t="inlineStr">
        <is>
          <t>U</t>
        </is>
      </c>
      <c r="J953" s="104" t="n">
        <v>7</v>
      </c>
      <c r="K953" s="104" t="n">
        <v>8</v>
      </c>
      <c r="L953" s="104" t="n">
        <v>8</v>
      </c>
      <c r="M953" s="104" t="n">
        <v>4</v>
      </c>
      <c r="N953" s="104" t="n"/>
      <c r="O953" s="104">
        <f>SUM(J953:N953)</f>
        <v/>
      </c>
      <c r="P953" s="12">
        <f>O953/IF(H953="L",20,IF(H953="U",30,IF(H953="O",40,IF(H953="I",20,""))))</f>
        <v/>
      </c>
      <c r="Q953" s="132">
        <f>IF(AND(H953="L", P953&gt;=50%), "Pass",
IF(AND(H953="U", P953&gt;=60%), "Pass",
IF(AND(H953="O", P953&gt;=75%), "Pass", "Fail")))</f>
        <v/>
      </c>
      <c r="R953" s="104" t="n"/>
      <c r="S953" s="104" t="n">
        <v>16</v>
      </c>
      <c r="T953" s="104" t="n">
        <v>11</v>
      </c>
      <c r="U953" s="104">
        <f>SUM(S953:T953)</f>
        <v/>
      </c>
      <c r="V953" s="12">
        <f>U953/IF(H953="L",35,IF(H953="U",35,IF(H953="O",35,IF(H953="I",35,""))))</f>
        <v/>
      </c>
      <c r="W953" s="132">
        <f>IF(AND(H953="L", V953&gt;=50%), "Pass",
IF(AND(H953="U", V953&gt;=60%), "Pass",
IF(AND(H953="O", V953&gt;=75%), "Pass", "Fail")))</f>
        <v/>
      </c>
      <c r="X953" s="132">
        <f>IF(AND(Q953="Pass", W953="Pass"), "Pass", "Fail")</f>
        <v/>
      </c>
      <c r="Y953" s="15">
        <f>IF($X953="Pass",$H953,
IF(H953="L","I",
IF(H953="U","L",
IF(H953="O","U",
"I"))))</f>
        <v/>
      </c>
    </row>
    <row r="954">
      <c r="A954" s="147">
        <f>ROW()-2</f>
        <v/>
      </c>
      <c r="B954" s="127" t="inlineStr">
        <is>
          <t>KK1336</t>
        </is>
      </c>
      <c r="C954" s="128" t="inlineStr">
        <is>
          <t>MARTIN MURMU</t>
        </is>
      </c>
      <c r="D954" s="127" t="inlineStr">
        <is>
          <t>PRODUCTION</t>
        </is>
      </c>
      <c r="E954" s="129" t="inlineStr">
        <is>
          <t>3 ROLL-P2</t>
        </is>
      </c>
      <c r="F954" s="130" t="n">
        <v>44552</v>
      </c>
      <c r="G954" s="131">
        <f>NOW()-F954</f>
        <v/>
      </c>
      <c r="H954" s="104" t="inlineStr">
        <is>
          <t>O</t>
        </is>
      </c>
      <c r="I954" s="104" t="inlineStr">
        <is>
          <t>L</t>
        </is>
      </c>
      <c r="J954" s="104" t="n">
        <v>8</v>
      </c>
      <c r="K954" s="104" t="n">
        <v>5</v>
      </c>
      <c r="L954" s="104" t="n">
        <v>5</v>
      </c>
      <c r="M954" s="104" t="n">
        <v>4</v>
      </c>
      <c r="N954" s="104" t="n"/>
      <c r="O954" s="104">
        <f>SUM(J954:N954)</f>
        <v/>
      </c>
      <c r="P954" s="12">
        <f>O954/IF(H954="L",20,IF(H954="U",30,IF(H954="O",40,IF(H954="I",20,""))))</f>
        <v/>
      </c>
      <c r="Q954" s="132">
        <f>IF(AND(H954="L", P954&gt;=50%), "Pass",
IF(AND(H954="U", P954&gt;=60%), "Pass",
IF(AND(H954="O", P954&gt;=75%), "Pass", "Fail")))</f>
        <v/>
      </c>
      <c r="R954" s="104" t="n"/>
      <c r="S954" s="104" t="n">
        <v>14</v>
      </c>
      <c r="T954" s="104" t="n">
        <v>10</v>
      </c>
      <c r="U954" s="104">
        <f>SUM(S954:T954)</f>
        <v/>
      </c>
      <c r="V954" s="12">
        <f>U954/IF(H954="L",35,IF(H954="U",35,IF(H954="O",35,IF(H954="I",35,""))))</f>
        <v/>
      </c>
      <c r="W954" s="132">
        <f>IF(AND(H954="L", V954&gt;=50%), "Pass",
IF(AND(H954="U", V954&gt;=60%), "Pass",
IF(AND(H954="O", V954&gt;=75%), "Pass", "Fail")))</f>
        <v/>
      </c>
      <c r="X954" s="132">
        <f>IF(AND(Q954="Pass", W954="Pass"), "Pass", "Fail")</f>
        <v/>
      </c>
      <c r="Y954" s="15">
        <f>IF($X954="Pass",$H954,
IF(H954="L","I",
IF(H954="U","L",
IF(H954="O","U",
"I"))))</f>
        <v/>
      </c>
    </row>
    <row r="955">
      <c r="A955" s="147">
        <f>ROW()-2</f>
        <v/>
      </c>
      <c r="B955" s="127" t="inlineStr">
        <is>
          <t>SR1211</t>
        </is>
      </c>
      <c r="C955" s="128" t="inlineStr">
        <is>
          <t>MOHAMED IBRAHIM</t>
        </is>
      </c>
      <c r="D955" s="127" t="inlineStr">
        <is>
          <t>PRODUCTION</t>
        </is>
      </c>
      <c r="E955" s="129" t="inlineStr">
        <is>
          <t>BIAS MARANGONI&amp;BESTRY</t>
        </is>
      </c>
      <c r="F955" s="130" t="n">
        <v>44553</v>
      </c>
      <c r="G955" s="131">
        <f>NOW()-F955</f>
        <v/>
      </c>
      <c r="H955" s="104" t="inlineStr">
        <is>
          <t>O</t>
        </is>
      </c>
      <c r="I955" s="104" t="inlineStr">
        <is>
          <t>U</t>
        </is>
      </c>
      <c r="J955" s="104" t="n">
        <v>9</v>
      </c>
      <c r="K955" s="104" t="n">
        <v>6</v>
      </c>
      <c r="L955" s="104" t="n">
        <v>9</v>
      </c>
      <c r="M955" s="104" t="n">
        <v>7</v>
      </c>
      <c r="N955" s="104" t="n"/>
      <c r="O955" s="104">
        <f>SUM(J955:N955)</f>
        <v/>
      </c>
      <c r="P955" s="12">
        <f>O955/IF(H955="L",20,IF(H955="U",30,IF(H955="O",40,IF(H955="I",20,""))))</f>
        <v/>
      </c>
      <c r="Q955" s="132">
        <f>IF(AND(H955="L", P955&gt;=50%), "Pass",
IF(AND(H955="U", P955&gt;=60%), "Pass",
IF(AND(H955="O", P955&gt;=75%), "Pass", "Fail")))</f>
        <v/>
      </c>
      <c r="R955" s="104" t="n"/>
      <c r="S955" s="104" t="n">
        <v>16</v>
      </c>
      <c r="T955" s="104" t="n">
        <v>12</v>
      </c>
      <c r="U955" s="104">
        <f>SUM(S955:T955)</f>
        <v/>
      </c>
      <c r="V955" s="12">
        <f>U955/IF(H955="L",35,IF(H955="U",35,IF(H955="O",35,IF(H955="I",35,""))))</f>
        <v/>
      </c>
      <c r="W955" s="132">
        <f>IF(AND(H955="L", V955&gt;=50%), "Pass",
IF(AND(H955="U", V955&gt;=60%), "Pass",
IF(AND(H955="O", V955&gt;=75%), "Pass", "Fail")))</f>
        <v/>
      </c>
      <c r="X955" s="132">
        <f>IF(AND(Q955="Pass", W955="Pass"), "Pass", "Fail")</f>
        <v/>
      </c>
      <c r="Y955" s="15">
        <f>IF($X955="Pass",$H955,
IF(H955="L","I",
IF(H955="U","L",
IF(H955="O","U",
"I"))))</f>
        <v/>
      </c>
    </row>
    <row r="956">
      <c r="A956" s="147">
        <f>ROW()-2</f>
        <v/>
      </c>
      <c r="B956" s="127" t="inlineStr">
        <is>
          <t>SR1220</t>
        </is>
      </c>
      <c r="C956" s="128" t="inlineStr">
        <is>
          <t>ATHISAYARAJA PARAMASIVAN</t>
        </is>
      </c>
      <c r="D956" s="127" t="inlineStr">
        <is>
          <t>PRODUCTION</t>
        </is>
      </c>
      <c r="E956" s="129" t="inlineStr">
        <is>
          <t>TYRE CURING</t>
        </is>
      </c>
      <c r="F956" s="130" t="n">
        <v>44572</v>
      </c>
      <c r="G956" s="131">
        <f>NOW()-F956</f>
        <v/>
      </c>
      <c r="H956" s="104" t="inlineStr">
        <is>
          <t>O</t>
        </is>
      </c>
      <c r="I956" s="104" t="inlineStr">
        <is>
          <t>L</t>
        </is>
      </c>
      <c r="J956" s="104" t="n">
        <v>8</v>
      </c>
      <c r="K956" s="104" t="n">
        <v>8</v>
      </c>
      <c r="L956" s="104" t="n">
        <v>8</v>
      </c>
      <c r="M956" s="104" t="n">
        <v>9</v>
      </c>
      <c r="N956" s="104" t="n"/>
      <c r="O956" s="104">
        <f>SUM(J956:N956)</f>
        <v/>
      </c>
      <c r="P956" s="12">
        <f>O956/IF(H956="L",20,IF(H956="U",30,IF(H956="O",40,IF(H956="I",20,""))))</f>
        <v/>
      </c>
      <c r="Q956" s="132">
        <f>IF(AND(H956="L", P956&gt;=50%), "Pass",
IF(AND(H956="U", P956&gt;=60%), "Pass",
IF(AND(H956="O", P956&gt;=75%), "Pass", "Fail")))</f>
        <v/>
      </c>
      <c r="R956" s="104" t="n"/>
      <c r="S956" s="104" t="n">
        <v>14</v>
      </c>
      <c r="T956" s="104" t="n">
        <v>13</v>
      </c>
      <c r="U956" s="104">
        <f>SUM(S956:T956)</f>
        <v/>
      </c>
      <c r="V956" s="12">
        <f>U956/IF(H956="L",35,IF(H956="U",35,IF(H956="O",35,IF(H956="I",35,""))))</f>
        <v/>
      </c>
      <c r="W956" s="132">
        <f>IF(AND(H956="L", V956&gt;=50%), "Pass",
IF(AND(H956="U", V956&gt;=60%), "Pass",
IF(AND(H956="O", V956&gt;=75%), "Pass", "Fail")))</f>
        <v/>
      </c>
      <c r="X956" s="132">
        <f>IF(AND(Q956="Pass", W956="Pass"), "Pass", "Fail")</f>
        <v/>
      </c>
      <c r="Y956" s="15">
        <f>IF($X956="Pass",$H956,
IF(H956="L","I",
IF(H956="U","L",
IF(H956="O","U",
"I"))))</f>
        <v/>
      </c>
    </row>
    <row r="957">
      <c r="A957" s="147">
        <f>ROW()-2</f>
        <v/>
      </c>
      <c r="B957" s="127" t="inlineStr">
        <is>
          <t>PK1336</t>
        </is>
      </c>
      <c r="C957" s="128" t="inlineStr">
        <is>
          <t>KARTHEESWARAN</t>
        </is>
      </c>
      <c r="D957" s="127" t="inlineStr">
        <is>
          <t>PRODUCTION</t>
        </is>
      </c>
      <c r="E957" s="129" t="inlineStr">
        <is>
          <t>SOLID TYRE</t>
        </is>
      </c>
      <c r="F957" s="130" t="n">
        <v>44581</v>
      </c>
      <c r="G957" s="131">
        <f>NOW()-F957</f>
        <v/>
      </c>
      <c r="H957" s="104" t="inlineStr">
        <is>
          <t>O</t>
        </is>
      </c>
      <c r="I957" s="104" t="inlineStr">
        <is>
          <t>L</t>
        </is>
      </c>
      <c r="J957" s="104" t="n">
        <v>6</v>
      </c>
      <c r="K957" s="104" t="n">
        <v>9</v>
      </c>
      <c r="L957" s="104" t="n">
        <v>9</v>
      </c>
      <c r="M957" s="104" t="n">
        <v>6</v>
      </c>
      <c r="N957" s="104" t="n"/>
      <c r="O957" s="104">
        <f>SUM(J957:N957)</f>
        <v/>
      </c>
      <c r="P957" s="12">
        <f>O957/IF(H957="L",20,IF(H957="U",30,IF(H957="O",40,IF(H957="I",20,""))))</f>
        <v/>
      </c>
      <c r="Q957" s="132">
        <f>IF(AND(H957="L", P957&gt;=50%), "Pass",
IF(AND(H957="U", P957&gt;=60%), "Pass",
IF(AND(H957="O", P957&gt;=75%), "Pass", "Fail")))</f>
        <v/>
      </c>
      <c r="R957" s="104" t="n"/>
      <c r="S957" s="104" t="n">
        <v>15</v>
      </c>
      <c r="T957" s="104" t="n">
        <v>14</v>
      </c>
      <c r="U957" s="104">
        <f>SUM(S957:T957)</f>
        <v/>
      </c>
      <c r="V957" s="12">
        <f>U957/IF(H957="L",35,IF(H957="U",35,IF(H957="O",35,IF(H957="I",35,""))))</f>
        <v/>
      </c>
      <c r="W957" s="132">
        <f>IF(AND(H957="L", V957&gt;=50%), "Pass",
IF(AND(H957="U", V957&gt;=60%), "Pass",
IF(AND(H957="O", V957&gt;=75%), "Pass", "Fail")))</f>
        <v/>
      </c>
      <c r="X957" s="132">
        <f>IF(AND(Q957="Pass", W957="Pass"), "Pass", "Fail")</f>
        <v/>
      </c>
      <c r="Y957" s="15">
        <f>IF($X957="Pass",$H957,
IF(H957="L","I",
IF(H957="U","L",
IF(H957="O","U",
"I"))))</f>
        <v/>
      </c>
    </row>
    <row r="958">
      <c r="A958" s="147">
        <f>ROW()-2</f>
        <v/>
      </c>
      <c r="B958" s="127" t="inlineStr">
        <is>
          <t>SK3331</t>
        </is>
      </c>
      <c r="C958" s="128" t="inlineStr">
        <is>
          <t>SUDALAIMANI</t>
        </is>
      </c>
      <c r="D958" s="127" t="inlineStr">
        <is>
          <t>PRODUCTION</t>
        </is>
      </c>
      <c r="E958" s="129" t="inlineStr">
        <is>
          <t>BIAS CUTTING-4</t>
        </is>
      </c>
      <c r="F958" s="130" t="n">
        <v>44583</v>
      </c>
      <c r="G958" s="131">
        <f>NOW()-F958</f>
        <v/>
      </c>
      <c r="H958" s="104" t="inlineStr">
        <is>
          <t>O</t>
        </is>
      </c>
      <c r="I958" s="104" t="inlineStr">
        <is>
          <t>L</t>
        </is>
      </c>
      <c r="J958" s="104" t="n">
        <v>6</v>
      </c>
      <c r="K958" s="104" t="n">
        <v>5</v>
      </c>
      <c r="L958" s="104" t="n">
        <v>6</v>
      </c>
      <c r="M958" s="104" t="n">
        <v>6</v>
      </c>
      <c r="N958" s="104" t="n"/>
      <c r="O958" s="104">
        <f>SUM(J958:N958)</f>
        <v/>
      </c>
      <c r="P958" s="12">
        <f>O958/IF(H958="L",20,IF(H958="U",30,IF(H958="O",40,IF(H958="I",20,""))))</f>
        <v/>
      </c>
      <c r="Q958" s="132">
        <f>IF(AND(H958="L", P958&gt;=50%), "Pass",
IF(AND(H958="U", P958&gt;=60%), "Pass",
IF(AND(H958="O", P958&gt;=75%), "Pass", "Fail")))</f>
        <v/>
      </c>
      <c r="R958" s="104" t="n"/>
      <c r="S958" s="104" t="n">
        <v>7</v>
      </c>
      <c r="T958" s="104" t="n">
        <v>3</v>
      </c>
      <c r="U958" s="104">
        <f>SUM(S958:T958)</f>
        <v/>
      </c>
      <c r="V958" s="12">
        <f>U958/IF(H958="L",35,IF(H958="U",35,IF(H958="O",35,IF(H958="I",35,""))))</f>
        <v/>
      </c>
      <c r="W958" s="132">
        <f>IF(AND(H958="L", V958&gt;=50%), "Pass",
IF(AND(H958="U", V958&gt;=60%), "Pass",
IF(AND(H958="O", V958&gt;=75%), "Pass", "Fail")))</f>
        <v/>
      </c>
      <c r="X958" s="132">
        <f>IF(AND(Q958="Pass", W958="Pass"), "Pass", "Fail")</f>
        <v/>
      </c>
      <c r="Y958" s="15">
        <f>IF($X958="Pass",$H958,
IF(H958="L","I",
IF(H958="U","L",
IF(H958="O","U",
"I"))))</f>
        <v/>
      </c>
    </row>
    <row r="959">
      <c r="A959" s="147">
        <f>ROW()-2</f>
        <v/>
      </c>
      <c r="B959" s="127" t="inlineStr">
        <is>
          <t>MG1484</t>
        </is>
      </c>
      <c r="C959" s="128" t="inlineStr">
        <is>
          <t>RAJENDRAN M</t>
        </is>
      </c>
      <c r="D959" s="127" t="inlineStr">
        <is>
          <t>PRODUCTION</t>
        </is>
      </c>
      <c r="E959" s="129" t="inlineStr">
        <is>
          <t>BIAS CUTTING-4</t>
        </is>
      </c>
      <c r="F959" s="130" t="n">
        <v>44584</v>
      </c>
      <c r="G959" s="131">
        <f>NOW()-F959</f>
        <v/>
      </c>
      <c r="H959" s="104" t="inlineStr">
        <is>
          <t>O</t>
        </is>
      </c>
      <c r="I959" s="104" t="inlineStr">
        <is>
          <t>U</t>
        </is>
      </c>
      <c r="J959" s="104" t="n">
        <v>8</v>
      </c>
      <c r="K959" s="104" t="n">
        <v>8</v>
      </c>
      <c r="L959" s="104" t="n">
        <v>9</v>
      </c>
      <c r="M959" s="104" t="n">
        <v>2</v>
      </c>
      <c r="N959" s="104" t="n"/>
      <c r="O959" s="104">
        <f>SUM(J959:N959)</f>
        <v/>
      </c>
      <c r="P959" s="12">
        <f>O959/IF(H959="L",20,IF(H959="U",30,IF(H959="O",40,IF(H959="I",20,""))))</f>
        <v/>
      </c>
      <c r="Q959" s="132">
        <f>IF(AND(H959="L", P959&gt;=50%), "Pass",
IF(AND(H959="U", P959&gt;=60%), "Pass",
IF(AND(H959="O", P959&gt;=75%), "Pass", "Fail")))</f>
        <v/>
      </c>
      <c r="R959" s="104" t="n"/>
      <c r="S959" s="104" t="n">
        <v>18</v>
      </c>
      <c r="T959" s="104" t="n">
        <v>6</v>
      </c>
      <c r="U959" s="104">
        <f>SUM(S959:T959)</f>
        <v/>
      </c>
      <c r="V959" s="12">
        <f>U959/IF(H959="L",35,IF(H959="U",35,IF(H959="O",35,IF(H959="I",35,""))))</f>
        <v/>
      </c>
      <c r="W959" s="132">
        <f>IF(AND(H959="L", V959&gt;=50%), "Pass",
IF(AND(H959="U", V959&gt;=60%), "Pass",
IF(AND(H959="O", V959&gt;=75%), "Pass", "Fail")))</f>
        <v/>
      </c>
      <c r="X959" s="132">
        <f>IF(AND(Q959="Pass", W959="Pass"), "Pass", "Fail")</f>
        <v/>
      </c>
      <c r="Y959" s="15">
        <f>IF($X959="Pass",$H959,
IF(H959="L","I",
IF(H959="U","L",
IF(H959="O","U",
"I"))))</f>
        <v/>
      </c>
    </row>
    <row r="960">
      <c r="A960" s="147">
        <f>ROW()-2</f>
        <v/>
      </c>
      <c r="B960" s="127" t="inlineStr">
        <is>
          <t>AK1095</t>
        </is>
      </c>
      <c r="C960" s="128" t="inlineStr">
        <is>
          <t>SUBRAMANIAN M</t>
        </is>
      </c>
      <c r="D960" s="127" t="inlineStr">
        <is>
          <t>PRODUCTION</t>
        </is>
      </c>
      <c r="E960" s="129" t="inlineStr">
        <is>
          <t>BIAS MARANGONI&amp;BESTRY</t>
        </is>
      </c>
      <c r="F960" s="130" t="n">
        <v>44586</v>
      </c>
      <c r="G960" s="131">
        <f>NOW()-F960</f>
        <v/>
      </c>
      <c r="H960" s="104" t="inlineStr">
        <is>
          <t>O</t>
        </is>
      </c>
      <c r="I960" s="104" t="inlineStr">
        <is>
          <t>U</t>
        </is>
      </c>
      <c r="J960" s="104" t="n">
        <v>9</v>
      </c>
      <c r="K960" s="104" t="n">
        <v>8</v>
      </c>
      <c r="L960" s="104" t="n">
        <v>7</v>
      </c>
      <c r="M960" s="104" t="n">
        <v>6</v>
      </c>
      <c r="N960" s="104" t="n"/>
      <c r="O960" s="104">
        <f>SUM(J960:N960)</f>
        <v/>
      </c>
      <c r="P960" s="12">
        <f>O960/IF(H960="L",20,IF(H960="U",30,IF(H960="O",40,IF(H960="I",20,""))))</f>
        <v/>
      </c>
      <c r="Q960" s="132">
        <f>IF(AND(H960="L", P960&gt;=50%), "Pass",
IF(AND(H960="U", P960&gt;=60%), "Pass",
IF(AND(H960="O", P960&gt;=75%), "Pass", "Fail")))</f>
        <v/>
      </c>
      <c r="R960" s="104" t="n"/>
      <c r="S960" s="104" t="n">
        <v>16</v>
      </c>
      <c r="T960" s="104" t="n">
        <v>12</v>
      </c>
      <c r="U960" s="104">
        <f>SUM(S960:T960)</f>
        <v/>
      </c>
      <c r="V960" s="12">
        <f>U960/IF(H960="L",35,IF(H960="U",35,IF(H960="O",35,IF(H960="I",35,""))))</f>
        <v/>
      </c>
      <c r="W960" s="132">
        <f>IF(AND(H960="L", V960&gt;=50%), "Pass",
IF(AND(H960="U", V960&gt;=60%), "Pass",
IF(AND(H960="O", V960&gt;=75%), "Pass", "Fail")))</f>
        <v/>
      </c>
      <c r="X960" s="132">
        <f>IF(AND(Q960="Pass", W960="Pass"), "Pass", "Fail")</f>
        <v/>
      </c>
      <c r="Y960" s="15">
        <f>IF($X960="Pass",$H960,
IF(H960="L","I",
IF(H960="U","L",
IF(H960="O","U",
"I"))))</f>
        <v/>
      </c>
    </row>
    <row r="961">
      <c r="A961" s="147">
        <f>ROW()-2</f>
        <v/>
      </c>
      <c r="B961" s="127" t="inlineStr">
        <is>
          <t>SR1235</t>
        </is>
      </c>
      <c r="C961" s="128" t="inlineStr">
        <is>
          <t>LAKSHMI KANTH MURUGAN</t>
        </is>
      </c>
      <c r="D961" s="127" t="inlineStr">
        <is>
          <t>PRODUCTION</t>
        </is>
      </c>
      <c r="E961" s="129" t="inlineStr">
        <is>
          <t>BEAD WINDING</t>
        </is>
      </c>
      <c r="F961" s="130" t="n">
        <v>44590</v>
      </c>
      <c r="G961" s="131">
        <f>NOW()-F961</f>
        <v/>
      </c>
      <c r="H961" s="104" t="inlineStr">
        <is>
          <t>U</t>
        </is>
      </c>
      <c r="I961" s="104" t="inlineStr">
        <is>
          <t>L</t>
        </is>
      </c>
      <c r="J961" s="104" t="n">
        <v>5</v>
      </c>
      <c r="K961" s="104" t="n">
        <v>7</v>
      </c>
      <c r="L961" s="104" t="n">
        <v>6</v>
      </c>
      <c r="M961" s="104" t="n">
        <v>6</v>
      </c>
      <c r="N961" s="104" t="n"/>
      <c r="O961" s="104">
        <f>SUM(J961:N961)</f>
        <v/>
      </c>
      <c r="P961" s="12">
        <f>O961/IF(H961="L",20,IF(H961="U",30,IF(H961="O",40,IF(H961="I",20,""))))</f>
        <v/>
      </c>
      <c r="Q961" s="132">
        <f>IF(AND(H961="L", P961&gt;=50%), "Pass",
IF(AND(H961="U", P961&gt;=60%), "Pass",
IF(AND(H961="O", P961&gt;=75%), "Pass", "Fail")))</f>
        <v/>
      </c>
      <c r="R961" s="104" t="n"/>
      <c r="S961" s="104" t="n">
        <v>10</v>
      </c>
      <c r="T961" s="104" t="n">
        <v>5</v>
      </c>
      <c r="U961" s="104">
        <f>SUM(S961:T961)</f>
        <v/>
      </c>
      <c r="V961" s="12">
        <f>U961/IF(H961="L",35,IF(H961="U",35,IF(H961="O",35,IF(H961="I",35,""))))</f>
        <v/>
      </c>
      <c r="W961" s="132">
        <f>IF(AND(H961="L", V961&gt;=50%), "Pass",
IF(AND(H961="U", V961&gt;=60%), "Pass",
IF(AND(H961="O", V961&gt;=75%), "Pass", "Fail")))</f>
        <v/>
      </c>
      <c r="X961" s="132">
        <f>IF(AND(Q961="Pass", W961="Pass"), "Pass", "Fail")</f>
        <v/>
      </c>
      <c r="Y961" s="15">
        <f>IF($X961="Pass",$H961,
IF(H961="L","I",
IF(H961="U","L",
IF(H961="O","U",
"I"))))</f>
        <v/>
      </c>
    </row>
    <row r="962">
      <c r="A962" s="147">
        <f>ROW()-2</f>
        <v/>
      </c>
      <c r="B962" s="133" t="inlineStr">
        <is>
          <t>SK3337</t>
        </is>
      </c>
      <c r="C962" s="148" t="inlineStr">
        <is>
          <t>KANHAI PRASAD</t>
        </is>
      </c>
      <c r="D962" s="127" t="inlineStr">
        <is>
          <t>PRODUCTION</t>
        </is>
      </c>
      <c r="E962" s="135" t="inlineStr">
        <is>
          <t>MIXING</t>
        </is>
      </c>
      <c r="F962" s="136" t="n">
        <v>44595</v>
      </c>
      <c r="G962" s="131">
        <f>NOW()-F962</f>
        <v/>
      </c>
      <c r="H962" s="104" t="inlineStr">
        <is>
          <t>O</t>
        </is>
      </c>
      <c r="I962" s="104" t="inlineStr">
        <is>
          <t>U</t>
        </is>
      </c>
      <c r="J962" s="104" t="inlineStr">
        <is>
          <t>NIL</t>
        </is>
      </c>
      <c r="K962" s="104" t="n"/>
      <c r="L962" s="104" t="n"/>
      <c r="M962" s="104" t="n"/>
      <c r="N962" s="104" t="n"/>
      <c r="O962" s="104" t="n"/>
      <c r="P962" s="12">
        <f>O962/IF(H962="L",20,IF(H962="U",30,IF(H962="O",40,IF(H962="I",20,""))))</f>
        <v/>
      </c>
      <c r="Q962" s="132">
        <f>IF(AND(H962="L", P962&gt;=50%), "Pass",
IF(AND(H962="U", P962&gt;=60%), "Pass",
IF(AND(H962="O", P962&gt;=75%), "Pass", "Fail")))</f>
        <v/>
      </c>
      <c r="R962" s="104" t="n"/>
      <c r="S962" s="104" t="n">
        <v>12</v>
      </c>
      <c r="T962" s="104" t="n">
        <v>11</v>
      </c>
      <c r="U962" s="104">
        <f>SUM(S962:T962)</f>
        <v/>
      </c>
      <c r="V962" s="12">
        <f>U962/IF(H962="L",35,IF(H962="U",35,IF(H962="O",35,IF(H962="I",35,""))))</f>
        <v/>
      </c>
      <c r="W962" s="132">
        <f>IF(AND(H962="L", V962&gt;=50%), "Pass",
IF(AND(H962="U", V962&gt;=60%), "Pass",
IF(AND(H962="O", V962&gt;=75%), "Pass", "Fail")))</f>
        <v/>
      </c>
      <c r="X962" s="132">
        <f>IF(AND(Q962="Pass", W962="Pass"), "Pass", "Fail")</f>
        <v/>
      </c>
      <c r="Y962" s="15">
        <f>IF($X962="Pass",$H962,
IF(H962="L","I",
IF(H962="U","L",
IF(H962="O","U",
"I"))))</f>
        <v/>
      </c>
    </row>
    <row r="963">
      <c r="A963" s="147">
        <f>ROW()-2</f>
        <v/>
      </c>
      <c r="B963" s="127" t="inlineStr">
        <is>
          <t>AK1097</t>
        </is>
      </c>
      <c r="C963" s="128" t="inlineStr">
        <is>
          <t>SANKAR</t>
        </is>
      </c>
      <c r="D963" s="127" t="inlineStr">
        <is>
          <t>PRODUCTION</t>
        </is>
      </c>
      <c r="E963" s="129" t="inlineStr">
        <is>
          <t>TYRE BUILDING-P3</t>
        </is>
      </c>
      <c r="F963" s="130" t="n">
        <v>44598</v>
      </c>
      <c r="G963" s="131">
        <f>NOW()-F963</f>
        <v/>
      </c>
      <c r="H963" s="104" t="inlineStr">
        <is>
          <t>O</t>
        </is>
      </c>
      <c r="I963" s="104" t="inlineStr">
        <is>
          <t>U</t>
        </is>
      </c>
      <c r="J963" s="104" t="n">
        <v>10</v>
      </c>
      <c r="K963" s="104" t="n">
        <v>10</v>
      </c>
      <c r="L963" s="104" t="n">
        <v>8</v>
      </c>
      <c r="M963" s="104" t="n">
        <v>8</v>
      </c>
      <c r="N963" s="104" t="n"/>
      <c r="O963" s="104">
        <f>SUM(J963:N963)</f>
        <v/>
      </c>
      <c r="P963" s="12">
        <f>O963/IF(H963="L",20,IF(H963="U",30,IF(H963="O",40,IF(H963="I",20,""))))</f>
        <v/>
      </c>
      <c r="Q963" s="132">
        <f>IF(AND(H963="L", P963&gt;=50%), "Pass",
 IF(AND(H963="U", P963&gt;=60%), "Pass",
 IF(AND(H963="O", P963&gt;=75%), "Pass", "Fail")))</f>
        <v/>
      </c>
      <c r="R963" s="104" t="n"/>
      <c r="S963" s="104" t="n">
        <v>17</v>
      </c>
      <c r="T963" s="104" t="n">
        <v>15</v>
      </c>
      <c r="U963" s="104">
        <f>SUM(S963:T963)</f>
        <v/>
      </c>
      <c r="V963" s="12">
        <f>U963/IF(H963="L",35,IF(H963="U",35,IF(H963="O",35,IF(H963="I",35,""))))</f>
        <v/>
      </c>
      <c r="W963" s="132">
        <f>IF(AND(H963="L", V963&gt;=50%), "Pass",
 IF(AND(H963="U", V963&gt;=60%), "Pass",
 IF(AND(H963="O", V963&gt;=75%), "Pass", "Fail")))</f>
        <v/>
      </c>
      <c r="X963" s="132">
        <f>IF(AND(Q963="Pass", W963="Pass"), "Pass", "Fail")</f>
        <v/>
      </c>
      <c r="Y963" s="15">
        <f>IF($X963="Pass",$H963,
IF(H963="L","I",
IF(H963="U","L",
IF(H963="O","U",
"I"))))</f>
        <v/>
      </c>
    </row>
    <row r="964">
      <c r="A964" s="147">
        <f>ROW()-2</f>
        <v/>
      </c>
      <c r="B964" s="127" t="inlineStr">
        <is>
          <t>SK3340</t>
        </is>
      </c>
      <c r="C964" s="128" t="inlineStr">
        <is>
          <t>ARIGOBALAN B</t>
        </is>
      </c>
      <c r="D964" s="127" t="inlineStr">
        <is>
          <t>PRODUCTION</t>
        </is>
      </c>
      <c r="E964" s="129" t="inlineStr">
        <is>
          <t>TYRE CURING</t>
        </is>
      </c>
      <c r="F964" s="130" t="n">
        <v>44602</v>
      </c>
      <c r="G964" s="131">
        <f>NOW()-F964</f>
        <v/>
      </c>
      <c r="H964" s="104" t="inlineStr">
        <is>
          <t>O</t>
        </is>
      </c>
      <c r="I964" s="104" t="inlineStr">
        <is>
          <t>U</t>
        </is>
      </c>
      <c r="J964" s="104" t="n">
        <v>10</v>
      </c>
      <c r="K964" s="104" t="n">
        <v>9</v>
      </c>
      <c r="L964" s="104" t="n">
        <v>10</v>
      </c>
      <c r="M964" s="104" t="n">
        <v>7</v>
      </c>
      <c r="N964" s="104" t="n"/>
      <c r="O964" s="104">
        <f>SUM(J964:N964)</f>
        <v/>
      </c>
      <c r="P964" s="12">
        <f>O964/IF(H964="L",20,IF(H964="U",30,IF(H964="O",40,IF(H964="I",20,""))))</f>
        <v/>
      </c>
      <c r="Q964" s="132">
        <f>IF(AND(H964="L", P964&gt;=50%), "Pass",
IF(AND(H964="U", P964&gt;=60%), "Pass",
IF(AND(H964="O", P964&gt;=75%), "Pass", "Fail")))</f>
        <v/>
      </c>
      <c r="R964" s="104" t="n"/>
      <c r="S964" s="104" t="n">
        <v>16</v>
      </c>
      <c r="T964" s="104" t="n">
        <v>11</v>
      </c>
      <c r="U964" s="104">
        <f>SUM(S964:T964)</f>
        <v/>
      </c>
      <c r="V964" s="12">
        <f>U964/IF(H964="L",35,IF(H964="U",35,IF(H964="O",35,IF(H964="I",35,""))))</f>
        <v/>
      </c>
      <c r="W964" s="132">
        <f>IF(AND(H964="L", V964&gt;=50%), "Pass",
IF(AND(H964="U", V964&gt;=60%), "Pass",
IF(AND(H964="O", V964&gt;=75%), "Pass", "Fail")))</f>
        <v/>
      </c>
      <c r="X964" s="132">
        <f>IF(AND(Q964="Pass", W964="Pass"), "Pass", "Fail")</f>
        <v/>
      </c>
      <c r="Y964" s="15">
        <f>IF($X964="Pass",$H964,
IF(H964="L","I",
IF(H964="U","L",
IF(H964="O","U",
"I"))))</f>
        <v/>
      </c>
    </row>
    <row r="965">
      <c r="A965" s="147">
        <f>ROW()-2</f>
        <v/>
      </c>
      <c r="B965" s="133" t="inlineStr">
        <is>
          <t>SK3342</t>
        </is>
      </c>
      <c r="C965" s="148" t="inlineStr">
        <is>
          <t>KAILA TIGGA</t>
        </is>
      </c>
      <c r="D965" s="127" t="inlineStr">
        <is>
          <t>PRODUCTION</t>
        </is>
      </c>
      <c r="E965" s="135" t="inlineStr">
        <is>
          <t>MIXING</t>
        </is>
      </c>
      <c r="F965" s="136" t="n">
        <v>44604</v>
      </c>
      <c r="G965" s="131">
        <f>NOW()-F965</f>
        <v/>
      </c>
      <c r="H965" s="104" t="inlineStr">
        <is>
          <t>O</t>
        </is>
      </c>
      <c r="I965" s="104" t="inlineStr">
        <is>
          <t>L</t>
        </is>
      </c>
      <c r="J965" s="104" t="inlineStr">
        <is>
          <t>NIL</t>
        </is>
      </c>
      <c r="K965" s="104" t="n"/>
      <c r="L965" s="104" t="n"/>
      <c r="M965" s="104" t="n"/>
      <c r="N965" s="104" t="n"/>
      <c r="O965" s="104" t="n"/>
      <c r="P965" s="12">
        <f>O965/IF(H965="L",20,IF(H965="U",30,IF(H965="O",40,IF(H965="I",20,""))))</f>
        <v/>
      </c>
      <c r="Q965" s="132">
        <f>IF(AND(H965="L", P965&gt;=50%), "Pass",
IF(AND(H965="U", P965&gt;=60%), "Pass",
IF(AND(H965="O", P965&gt;=75%), "Pass", "Fail")))</f>
        <v/>
      </c>
      <c r="R965" s="104" t="n"/>
      <c r="S965" s="104" t="n">
        <v>12</v>
      </c>
      <c r="T965" s="104" t="n">
        <v>11</v>
      </c>
      <c r="U965" s="104">
        <f>SUM(S965:T965)</f>
        <v/>
      </c>
      <c r="V965" s="12">
        <f>U965/IF(H965="L",35,IF(H965="U",35,IF(H965="O",35,IF(H965="I",35,""))))</f>
        <v/>
      </c>
      <c r="W965" s="132">
        <f>IF(AND(H965="L", V965&gt;=50%), "Pass",
IF(AND(H965="U", V965&gt;=60%), "Pass",
IF(AND(H965="O", V965&gt;=75%), "Pass", "Fail")))</f>
        <v/>
      </c>
      <c r="X965" s="132">
        <f>IF(AND(Q965="Pass", W965="Pass"), "Pass", "Fail")</f>
        <v/>
      </c>
      <c r="Y965" s="15">
        <f>IF($X965="Pass",$H965,
IF(H965="L","I",
IF(H965="U","L",
IF(H965="O","U",
"I"))))</f>
        <v/>
      </c>
    </row>
    <row r="966">
      <c r="A966" s="147">
        <f>ROW()-2</f>
        <v/>
      </c>
      <c r="B966" s="133" t="inlineStr">
        <is>
          <t>SK3344</t>
        </is>
      </c>
      <c r="C966" s="148" t="inlineStr">
        <is>
          <t>SANDEEP XALXO</t>
        </is>
      </c>
      <c r="D966" s="127" t="inlineStr">
        <is>
          <t>PRODUCTION</t>
        </is>
      </c>
      <c r="E966" s="135" t="inlineStr">
        <is>
          <t>MIXING</t>
        </is>
      </c>
      <c r="F966" s="136" t="n">
        <v>44604</v>
      </c>
      <c r="G966" s="131">
        <f>NOW()-F966</f>
        <v/>
      </c>
      <c r="H966" s="104" t="inlineStr">
        <is>
          <t>O</t>
        </is>
      </c>
      <c r="I966" s="104" t="inlineStr">
        <is>
          <t>U</t>
        </is>
      </c>
      <c r="J966" s="104" t="inlineStr">
        <is>
          <t>NIL</t>
        </is>
      </c>
      <c r="K966" s="104" t="n"/>
      <c r="L966" s="104" t="n"/>
      <c r="M966" s="104" t="n"/>
      <c r="N966" s="104" t="n"/>
      <c r="O966" s="104" t="n"/>
      <c r="P966" s="12">
        <f>O966/IF(H966="L",20,IF(H966="U",30,IF(H966="O",40,IF(H966="I",20,""))))</f>
        <v/>
      </c>
      <c r="Q966" s="132">
        <f>IF(AND(H966="L", P966&gt;=50%), "Pass",
IF(AND(H966="U", P966&gt;=60%), "Pass",
IF(AND(H966="O", P966&gt;=75%), "Pass", "Fail")))</f>
        <v/>
      </c>
      <c r="R966" s="104" t="n"/>
      <c r="S966" s="104" t="n">
        <v>12</v>
      </c>
      <c r="T966" s="104" t="n">
        <v>11</v>
      </c>
      <c r="U966" s="104">
        <f>SUM(S966:T966)</f>
        <v/>
      </c>
      <c r="V966" s="12">
        <f>U966/IF(H966="L",35,IF(H966="U",35,IF(H966="O",35,IF(H966="I",35,""))))</f>
        <v/>
      </c>
      <c r="W966" s="132">
        <f>IF(AND(H966="L", V966&gt;=50%), "Pass",
IF(AND(H966="U", V966&gt;=60%), "Pass",
IF(AND(H966="O", V966&gt;=75%), "Pass", "Fail")))</f>
        <v/>
      </c>
      <c r="X966" s="132">
        <f>IF(AND(Q966="Pass", W966="Pass"), "Pass", "Fail")</f>
        <v/>
      </c>
      <c r="Y966" s="15">
        <f>IF($X966="Pass",$H966,
IF(H966="L","I",
IF(H966="U","L",
IF(H966="O","U",
"I"))))</f>
        <v/>
      </c>
    </row>
    <row r="967">
      <c r="A967" s="147">
        <f>ROW()-2</f>
        <v/>
      </c>
      <c r="B967" s="127" t="inlineStr">
        <is>
          <t>AK1101</t>
        </is>
      </c>
      <c r="C967" s="128" t="inlineStr">
        <is>
          <t>MUPPIDATHI M</t>
        </is>
      </c>
      <c r="D967" s="127" t="inlineStr">
        <is>
          <t>PRODUCTION</t>
        </is>
      </c>
      <c r="E967" s="129" t="inlineStr">
        <is>
          <t>TYRE BUILDING-P2</t>
        </is>
      </c>
      <c r="F967" s="130" t="n">
        <v>44605</v>
      </c>
      <c r="G967" s="131">
        <f>NOW()-F967</f>
        <v/>
      </c>
      <c r="H967" s="104" t="inlineStr">
        <is>
          <t>O</t>
        </is>
      </c>
      <c r="I967" s="104" t="inlineStr">
        <is>
          <t>L</t>
        </is>
      </c>
      <c r="J967" s="104" t="n">
        <v>10</v>
      </c>
      <c r="K967" s="104" t="n">
        <v>10</v>
      </c>
      <c r="L967" s="104" t="n">
        <v>9</v>
      </c>
      <c r="M967" s="104" t="n">
        <v>9</v>
      </c>
      <c r="N967" s="104" t="n"/>
      <c r="O967" s="104">
        <f>SUM(J967:N967)</f>
        <v/>
      </c>
      <c r="P967" s="12">
        <f>O967/IF(H967="L",20,IF(H967="U",30,IF(H967="O",40,IF(H967="I",20,""))))</f>
        <v/>
      </c>
      <c r="Q967" s="132">
        <f>IF(AND(H967="L", P967&gt;=50%), "Pass",
IF(AND(H967="U", P967&gt;=60%), "Pass",
IF(AND(H967="O", P967&gt;=75%), "Pass", "Fail")))</f>
        <v/>
      </c>
      <c r="R967" s="104" t="n"/>
      <c r="S967" s="104" t="n">
        <v>9</v>
      </c>
      <c r="T967" s="104" t="n">
        <v>6</v>
      </c>
      <c r="U967" s="104">
        <f>SUM(S967:T967)</f>
        <v/>
      </c>
      <c r="V967" s="12">
        <f>U967/IF(H967="L",35,IF(H967="U",35,IF(H967="O",35,IF(H967="I",35,""))))</f>
        <v/>
      </c>
      <c r="W967" s="132">
        <f>IF(AND(H967="L", V967&gt;=50%), "Pass",
IF(AND(H967="U", V967&gt;=60%), "Pass",
IF(AND(H967="O", V967&gt;=75%), "Pass", "Fail")))</f>
        <v/>
      </c>
      <c r="X967" s="132">
        <f>IF(AND(Q967="Pass", W967="Pass"), "Pass", "Fail")</f>
        <v/>
      </c>
      <c r="Y967" s="15">
        <f>IF($X967="Pass",$H967,
IF(H967="L","I",
IF(H967="U","L",
IF(H967="O","U",
"I"))))</f>
        <v/>
      </c>
    </row>
    <row r="968">
      <c r="A968" s="147">
        <f>ROW()-2</f>
        <v/>
      </c>
      <c r="B968" s="127" t="inlineStr">
        <is>
          <t>KK1356</t>
        </is>
      </c>
      <c r="C968" s="128" t="inlineStr">
        <is>
          <t>D MUGESH</t>
        </is>
      </c>
      <c r="D968" s="127" t="inlineStr">
        <is>
          <t>PRODUCTION</t>
        </is>
      </c>
      <c r="E968" s="129" t="inlineStr">
        <is>
          <t>RADIAL MARANGONI</t>
        </is>
      </c>
      <c r="F968" s="130" t="n">
        <v>44606</v>
      </c>
      <c r="G968" s="131">
        <f>NOW()-F968</f>
        <v/>
      </c>
      <c r="H968" s="104" t="inlineStr">
        <is>
          <t>O</t>
        </is>
      </c>
      <c r="I968" s="104" t="inlineStr">
        <is>
          <t>L</t>
        </is>
      </c>
      <c r="J968" s="104" t="n">
        <v>9</v>
      </c>
      <c r="K968" s="104" t="n">
        <v>10</v>
      </c>
      <c r="L968" s="104" t="n">
        <v>9</v>
      </c>
      <c r="M968" s="104" t="n">
        <v>9</v>
      </c>
      <c r="N968" s="104" t="n"/>
      <c r="O968" s="104">
        <f>SUM(J968:N968)</f>
        <v/>
      </c>
      <c r="P968" s="12">
        <f>O968/IF(H968="L",20,IF(H968="U",30,IF(H968="O",40,IF(H968="I",20,""))))</f>
        <v/>
      </c>
      <c r="Q968" s="132">
        <f>IF(AND(H968="L", P968&gt;=50%), "Pass",
IF(AND(H968="U", P968&gt;=60%), "Pass",
IF(AND(H968="O", P968&gt;=75%), "Pass", "Fail")))</f>
        <v/>
      </c>
      <c r="R968" s="104" t="n"/>
      <c r="S968" s="104" t="n">
        <v>8</v>
      </c>
      <c r="T968" s="104" t="n">
        <v>6</v>
      </c>
      <c r="U968" s="104">
        <f>SUM(S968:T968)</f>
        <v/>
      </c>
      <c r="V968" s="12">
        <f>U968/IF(H968="L",35,IF(H968="U",35,IF(H968="O",35,IF(H968="I",35,""))))</f>
        <v/>
      </c>
      <c r="W968" s="132">
        <f>IF(AND(H968="L", V968&gt;=50%), "Pass",
IF(AND(H968="U", V968&gt;=60%), "Pass",
IF(AND(H968="O", V968&gt;=75%), "Pass", "Fail")))</f>
        <v/>
      </c>
      <c r="X968" s="132">
        <f>IF(AND(Q968="Pass", W968="Pass"), "Pass", "Fail")</f>
        <v/>
      </c>
      <c r="Y968" s="15">
        <f>IF($X968="Pass",$H968,
IF(H968="L","I",
IF(H968="U","L",
IF(H968="O","U",
"I"))))</f>
        <v/>
      </c>
    </row>
    <row r="969">
      <c r="A969" s="147">
        <f>ROW()-2</f>
        <v/>
      </c>
      <c r="B969" s="127" t="inlineStr">
        <is>
          <t>KK1360</t>
        </is>
      </c>
      <c r="C969" s="128" t="inlineStr">
        <is>
          <t>ESAKKIMUTHU</t>
        </is>
      </c>
      <c r="D969" s="127" t="inlineStr">
        <is>
          <t>PRODUCTION</t>
        </is>
      </c>
      <c r="E969" s="129" t="inlineStr">
        <is>
          <t>TYRE BUILDING-P1</t>
        </is>
      </c>
      <c r="F969" s="130" t="n">
        <v>44624</v>
      </c>
      <c r="G969" s="131">
        <f>NOW()-F969</f>
        <v/>
      </c>
      <c r="H969" s="104" t="inlineStr">
        <is>
          <t>O</t>
        </is>
      </c>
      <c r="I969" s="104" t="inlineStr">
        <is>
          <t>L</t>
        </is>
      </c>
      <c r="J969" s="104" t="n">
        <v>8</v>
      </c>
      <c r="K969" s="104" t="n">
        <v>10</v>
      </c>
      <c r="L969" s="104" t="n">
        <v>8</v>
      </c>
      <c r="M969" s="104" t="n">
        <v>9</v>
      </c>
      <c r="N969" s="104" t="n"/>
      <c r="O969" s="104">
        <f>SUM(J969:N969)</f>
        <v/>
      </c>
      <c r="P969" s="12">
        <f>O969/IF(H969="L",20,IF(H969="U",30,IF(H969="O",40,IF(H969="I",20,""))))</f>
        <v/>
      </c>
      <c r="Q969" s="132">
        <f>IF(AND(H969="L", P969&gt;=50%), "Pass",
IF(AND(H969="U", P969&gt;=60%), "Pass",
IF(AND(H969="O", P969&gt;=75%), "Pass", "Fail")))</f>
        <v/>
      </c>
      <c r="R969" s="104" t="n"/>
      <c r="S969" s="104" t="n">
        <v>14</v>
      </c>
      <c r="T969" s="104" t="n">
        <v>15</v>
      </c>
      <c r="U969" s="104">
        <f>SUM(S969:T969)</f>
        <v/>
      </c>
      <c r="V969" s="12">
        <f>U969/IF(H969="L",35,IF(H969="U",35,IF(H969="O",35,IF(H969="I",35,""))))</f>
        <v/>
      </c>
      <c r="W969" s="132">
        <f>IF(AND(H969="L", V969&gt;=50%), "Pass",
IF(AND(H969="U", V969&gt;=60%), "Pass",
IF(AND(H969="O", V969&gt;=75%), "Pass", "Fail")))</f>
        <v/>
      </c>
      <c r="X969" s="132">
        <f>IF(AND(Q969="Pass", W969="Pass"), "Pass", "Fail")</f>
        <v/>
      </c>
      <c r="Y969" s="15">
        <f>IF($X969="Pass",$H969,
IF(H969="L","I",
IF(H969="U","L",
IF(H969="O","U",
"I"))))</f>
        <v/>
      </c>
    </row>
    <row r="970">
      <c r="A970" s="147">
        <f>ROW()-2</f>
        <v/>
      </c>
      <c r="B970" s="127" t="inlineStr">
        <is>
          <t>KK1361</t>
        </is>
      </c>
      <c r="C970" s="128" t="inlineStr">
        <is>
          <t>MURUGA PRABU A</t>
        </is>
      </c>
      <c r="D970" s="127" t="inlineStr">
        <is>
          <t>PRODUCTION</t>
        </is>
      </c>
      <c r="E970" s="129" t="inlineStr">
        <is>
          <t>SOLID TYRE</t>
        </is>
      </c>
      <c r="F970" s="130" t="n">
        <v>44627</v>
      </c>
      <c r="G970" s="131">
        <f>NOW()-F970</f>
        <v/>
      </c>
      <c r="H970" s="104" t="inlineStr">
        <is>
          <t>O</t>
        </is>
      </c>
      <c r="I970" s="104" t="inlineStr">
        <is>
          <t>U</t>
        </is>
      </c>
      <c r="J970" s="104" t="n">
        <v>9</v>
      </c>
      <c r="K970" s="104" t="n">
        <v>8</v>
      </c>
      <c r="L970" s="104" t="n">
        <v>8</v>
      </c>
      <c r="M970" s="104" t="n">
        <v>7</v>
      </c>
      <c r="N970" s="104" t="n"/>
      <c r="O970" s="104">
        <f>SUM(J970:N970)</f>
        <v/>
      </c>
      <c r="P970" s="12">
        <f>O970/IF(H970="L",20,IF(H970="U",30,IF(H970="O",40,IF(H970="I",20,""))))</f>
        <v/>
      </c>
      <c r="Q970" s="132">
        <f>IF(AND(H970="L", P970&gt;=50%), "Pass",
IF(AND(H970="U", P970&gt;=60%), "Pass",
IF(AND(H970="O", P970&gt;=75%), "Pass", "Fail")))</f>
        <v/>
      </c>
      <c r="R970" s="104" t="n"/>
      <c r="S970" s="104" t="n">
        <v>15</v>
      </c>
      <c r="T970" s="104" t="n">
        <v>13</v>
      </c>
      <c r="U970" s="104">
        <f>SUM(S970:T970)</f>
        <v/>
      </c>
      <c r="V970" s="12">
        <f>U970/IF(H970="L",35,IF(H970="U",35,IF(H970="O",35,IF(H970="I",35,""))))</f>
        <v/>
      </c>
      <c r="W970" s="132">
        <f>IF(AND(H970="L", V970&gt;=50%), "Pass",
IF(AND(H970="U", V970&gt;=60%), "Pass",
IF(AND(H970="O", V970&gt;=75%), "Pass", "Fail")))</f>
        <v/>
      </c>
      <c r="X970" s="132">
        <f>IF(AND(Q970="Pass", W970="Pass"), "Pass", "Fail")</f>
        <v/>
      </c>
      <c r="Y970" s="15">
        <f>IF($X970="Pass",$H970,
IF(H970="L","I",
IF(H970="U","L",
IF(H970="O","U",
"I"))))</f>
        <v/>
      </c>
      <c r="Z970" s="82" t="n"/>
    </row>
    <row r="971">
      <c r="A971" s="147">
        <f>ROW()-2</f>
        <v/>
      </c>
      <c r="B971" s="133" t="inlineStr">
        <is>
          <t>SK3351</t>
        </is>
      </c>
      <c r="C971" s="148" t="inlineStr">
        <is>
          <t>BALU</t>
        </is>
      </c>
      <c r="D971" s="127" t="inlineStr">
        <is>
          <t>PRODUCTION</t>
        </is>
      </c>
      <c r="E971" s="135" t="inlineStr">
        <is>
          <t>LINER DRESSING</t>
        </is>
      </c>
      <c r="F971" s="136" t="n">
        <v>44629</v>
      </c>
      <c r="G971" s="131">
        <f>NOW()-F971</f>
        <v/>
      </c>
      <c r="H971" s="104" t="inlineStr">
        <is>
          <t>O</t>
        </is>
      </c>
      <c r="I971" s="104" t="inlineStr">
        <is>
          <t>I</t>
        </is>
      </c>
      <c r="J971" s="104" t="n">
        <v>8</v>
      </c>
      <c r="K971" s="104" t="n">
        <v>4</v>
      </c>
      <c r="L971" s="104" t="n">
        <v>0</v>
      </c>
      <c r="M971" s="104" t="n">
        <v>7</v>
      </c>
      <c r="N971" s="104" t="n"/>
      <c r="O971" s="104">
        <f>SUM(J971:N971)</f>
        <v/>
      </c>
      <c r="P971" s="12">
        <f>O971/IF(H971="L",20,IF(H971="U",30,IF(H971="O",40,IF(H971="I",20,""))))</f>
        <v/>
      </c>
      <c r="Q971" s="132">
        <f>IF(AND(H971="L", P971&gt;=50%), "Pass",
IF(AND(H971="U", P971&gt;=60%), "Pass",
IF(AND(H971="O", P971&gt;=75%), "Pass", "Fail")))</f>
        <v/>
      </c>
      <c r="R971" s="104" t="n"/>
      <c r="S971" s="104" t="n">
        <v>13</v>
      </c>
      <c r="T971" s="104" t="n">
        <v>6</v>
      </c>
      <c r="U971" s="104">
        <f>SUM(S971:T971)</f>
        <v/>
      </c>
      <c r="V971" s="12">
        <f>U971/IF(H971="L",35,IF(H971="U",35,IF(H971="O",35,IF(H971="I",35,""))))</f>
        <v/>
      </c>
      <c r="W971" s="132">
        <f>IF(AND(H971="L", V971&gt;=50%), "Pass",
IF(AND(H971="U", V971&gt;=60%), "Pass",
IF(AND(H971="O", V971&gt;=75%), "Pass", "Fail")))</f>
        <v/>
      </c>
      <c r="X971" s="132">
        <f>IF(AND(Q971="Pass", W971="Pass"), "Pass", "Fail")</f>
        <v/>
      </c>
      <c r="Y971" s="15">
        <f>IF($X971="Pass",$H971,
IF(H971="L","I",
IF(H971="U","L",
IF(H971="O","U",
"I"))))</f>
        <v/>
      </c>
    </row>
    <row r="972">
      <c r="A972" s="147">
        <f>ROW()-2</f>
        <v/>
      </c>
      <c r="B972" s="127" t="inlineStr">
        <is>
          <t>AK1109</t>
        </is>
      </c>
      <c r="C972" s="128" t="inlineStr">
        <is>
          <t>SUGUMAR ANATHARAJ</t>
        </is>
      </c>
      <c r="D972" s="127" t="inlineStr">
        <is>
          <t>PRODUCTION</t>
        </is>
      </c>
      <c r="E972" s="129" t="inlineStr">
        <is>
          <t>TYRE CURING</t>
        </is>
      </c>
      <c r="F972" s="130" t="n">
        <v>44631</v>
      </c>
      <c r="G972" s="131">
        <f>NOW()-F972</f>
        <v/>
      </c>
      <c r="H972" s="104" t="inlineStr">
        <is>
          <t>O</t>
        </is>
      </c>
      <c r="I972" s="104" t="inlineStr">
        <is>
          <t>L</t>
        </is>
      </c>
      <c r="J972" s="104" t="n">
        <v>8</v>
      </c>
      <c r="K972" s="104" t="n">
        <v>9</v>
      </c>
      <c r="L972" s="104" t="n">
        <v>8</v>
      </c>
      <c r="M972" s="104" t="n">
        <v>6</v>
      </c>
      <c r="N972" s="104" t="n"/>
      <c r="O972" s="104">
        <f>SUM(J972:N972)</f>
        <v/>
      </c>
      <c r="P972" s="12">
        <f>O972/IF(H972="L",20,IF(H972="U",30,IF(H972="O",40,IF(H972="I",20,""))))</f>
        <v/>
      </c>
      <c r="Q972" s="132">
        <f>IF(AND(H972="L", P972&gt;=50%), "Pass",
IF(AND(H972="U", P972&gt;=60%), "Pass",
IF(AND(H972="O", P972&gt;=75%), "Pass", "Fail")))</f>
        <v/>
      </c>
      <c r="R972" s="104" t="n"/>
      <c r="S972" s="104" t="n">
        <v>15</v>
      </c>
      <c r="T972" s="104" t="n">
        <v>10</v>
      </c>
      <c r="U972" s="104">
        <f>SUM(S972:T972)</f>
        <v/>
      </c>
      <c r="V972" s="12">
        <f>U972/IF(H972="L",35,IF(H972="U",35,IF(H972="O",35,IF(H972="I",35,""))))</f>
        <v/>
      </c>
      <c r="W972" s="132">
        <f>IF(AND(H972="L", V972&gt;=50%), "Pass",
IF(AND(H972="U", V972&gt;=60%), "Pass",
IF(AND(H972="O", V972&gt;=75%), "Pass", "Fail")))</f>
        <v/>
      </c>
      <c r="X972" s="132">
        <f>IF(AND(Q972="Pass", W972="Pass"), "Pass", "Fail")</f>
        <v/>
      </c>
      <c r="Y972" s="15">
        <f>IF($X972="Pass",$H972,
IF(H972="L","I",
IF(H972="U","L",
IF(H972="O","U",
"I"))))</f>
        <v/>
      </c>
    </row>
    <row r="973">
      <c r="A973" s="147">
        <f>ROW()-2</f>
        <v/>
      </c>
      <c r="B973" s="127" t="inlineStr">
        <is>
          <t>PK1381</t>
        </is>
      </c>
      <c r="C973" s="128" t="inlineStr">
        <is>
          <t>MUTHUKUMAR</t>
        </is>
      </c>
      <c r="D973" s="127" t="inlineStr">
        <is>
          <t>PRODUCTION</t>
        </is>
      </c>
      <c r="E973" s="129" t="inlineStr">
        <is>
          <t>YANTHAI</t>
        </is>
      </c>
      <c r="F973" s="130" t="n">
        <v>44661</v>
      </c>
      <c r="G973" s="131">
        <f>NOW()-F973</f>
        <v/>
      </c>
      <c r="H973" s="104" t="inlineStr">
        <is>
          <t>O</t>
        </is>
      </c>
      <c r="I973" s="104" t="inlineStr">
        <is>
          <t>U</t>
        </is>
      </c>
      <c r="J973" s="104" t="n">
        <v>8</v>
      </c>
      <c r="K973" s="104" t="n">
        <v>10</v>
      </c>
      <c r="L973" s="104" t="n">
        <v>9</v>
      </c>
      <c r="M973" s="104" t="n">
        <v>9</v>
      </c>
      <c r="N973" s="104" t="n"/>
      <c r="O973" s="104">
        <f>SUM(J973:N973)</f>
        <v/>
      </c>
      <c r="P973" s="12">
        <f>O973/IF(H973="L",20,IF(H973="U",30,IF(H973="O",40,IF(H973="I",20,""))))</f>
        <v/>
      </c>
      <c r="Q973" s="132">
        <f>IF(AND(H973="L", P973&gt;=50%), "Pass",
IF(AND(H973="U", P973&gt;=60%), "Pass",
IF(AND(H973="O", P973&gt;=75%), "Pass", "Fail")))</f>
        <v/>
      </c>
      <c r="R973" s="104" t="n"/>
      <c r="S973" s="43" t="n">
        <v>16</v>
      </c>
      <c r="T973" s="43" t="n">
        <v>14</v>
      </c>
      <c r="U973" s="104">
        <f>SUM(S973:T973)</f>
        <v/>
      </c>
      <c r="V973" s="12">
        <f>U973/IF(H973="L",35,IF(H973="U",35,IF(H973="O",35,IF(H973="I",35,""))))</f>
        <v/>
      </c>
      <c r="W973" s="132">
        <f>IF(AND(H973="L", V973&gt;=50%), "Pass",
IF(AND(H973="U", V973&gt;=60%), "Pass",
IF(AND(H973="O", V973&gt;=75%), "Pass", "Fail")))</f>
        <v/>
      </c>
      <c r="X973" s="132">
        <f>IF(AND(Q973="Pass", W973="Pass"), "Pass", "Fail")</f>
        <v/>
      </c>
      <c r="Y973" s="15">
        <f>IF($X973="Pass",$H973,
IF(H973="L","I",
IF(H973="U","L",
IF(H973="O","U",
"I"))))</f>
        <v/>
      </c>
      <c r="Z973" s="81">
        <f>V973-75%</f>
        <v/>
      </c>
    </row>
    <row r="974">
      <c r="A974" s="147">
        <f>ROW()-2</f>
        <v/>
      </c>
      <c r="B974" s="127" t="inlineStr">
        <is>
          <t>KK1380</t>
        </is>
      </c>
      <c r="C974" s="128" t="inlineStr">
        <is>
          <t>KANKATHARAN MADASAMY</t>
        </is>
      </c>
      <c r="D974" s="127" t="inlineStr">
        <is>
          <t>PRODUCTION</t>
        </is>
      </c>
      <c r="E974" s="129" t="inlineStr">
        <is>
          <t>YANTHAI</t>
        </is>
      </c>
      <c r="F974" s="130" t="n">
        <v>44663</v>
      </c>
      <c r="G974" s="131">
        <f>NOW()-F974</f>
        <v/>
      </c>
      <c r="H974" s="104" t="inlineStr">
        <is>
          <t>O</t>
        </is>
      </c>
      <c r="I974" s="104" t="inlineStr">
        <is>
          <t>L</t>
        </is>
      </c>
      <c r="J974" s="104" t="n">
        <v>10</v>
      </c>
      <c r="K974" s="104" t="n">
        <v>9</v>
      </c>
      <c r="L974" s="104" t="n">
        <v>10</v>
      </c>
      <c r="M974" s="104" t="n">
        <v>10</v>
      </c>
      <c r="N974" s="104" t="n"/>
      <c r="O974" s="104">
        <f>SUM(J974:N974)</f>
        <v/>
      </c>
      <c r="P974" s="12">
        <f>O974/IF(H974="L",20,IF(H974="U",30,IF(H974="O",40,IF(H974="I",20,""))))</f>
        <v/>
      </c>
      <c r="Q974" s="132">
        <f>IF(AND(H974="L", P974&gt;=50%), "Pass",
IF(AND(H974="U", P974&gt;=60%), "Pass",
IF(AND(H974="O", P974&gt;=75%), "Pass", "Fail")))</f>
        <v/>
      </c>
      <c r="R974" s="104" t="n"/>
      <c r="S974" s="104" t="n">
        <v>14</v>
      </c>
      <c r="T974" s="104" t="n">
        <v>14</v>
      </c>
      <c r="U974" s="104">
        <f>SUM(S974:T974)</f>
        <v/>
      </c>
      <c r="V974" s="12">
        <f>U974/IF(H974="L",35,IF(H974="U",35,IF(H974="O",35,IF(H974="I",35,""))))</f>
        <v/>
      </c>
      <c r="W974" s="132">
        <f>IF(AND(H974="L", V974&gt;=50%), "Pass",
IF(AND(H974="U", V974&gt;=60%), "Pass",
IF(AND(H974="O", V974&gt;=75%), "Pass", "Fail")))</f>
        <v/>
      </c>
      <c r="X974" s="132">
        <f>IF(AND(Q974="Pass", W974="Pass"), "Pass", "Fail")</f>
        <v/>
      </c>
      <c r="Y974" s="15">
        <f>IF($X974="Pass",$H974,
IF(H974="L","I",
IF(H974="U","L",
IF(H974="O","U",
"I"))))</f>
        <v/>
      </c>
    </row>
    <row r="975">
      <c r="A975" s="147">
        <f>ROW()-2</f>
        <v/>
      </c>
      <c r="B975" s="133" t="inlineStr">
        <is>
          <t>MG1498</t>
        </is>
      </c>
      <c r="C975" s="148" t="inlineStr">
        <is>
          <t>SUDAR SELVAN M</t>
        </is>
      </c>
      <c r="D975" s="127" t="inlineStr">
        <is>
          <t>PRODUCTION</t>
        </is>
      </c>
      <c r="E975" s="135" t="inlineStr">
        <is>
          <t>SALVAGE</t>
        </is>
      </c>
      <c r="F975" s="136" t="n">
        <v>44667</v>
      </c>
      <c r="G975" s="131">
        <f>NOW()-F975</f>
        <v/>
      </c>
      <c r="H975" s="104" t="inlineStr">
        <is>
          <t>O</t>
        </is>
      </c>
      <c r="I975" s="104" t="inlineStr">
        <is>
          <t>U</t>
        </is>
      </c>
      <c r="J975" s="104" t="n">
        <v>10</v>
      </c>
      <c r="K975" s="104" t="n">
        <v>8</v>
      </c>
      <c r="L975" s="104" t="n">
        <v>8</v>
      </c>
      <c r="M975" s="104" t="n">
        <v>7</v>
      </c>
      <c r="N975" s="104" t="n"/>
      <c r="O975" s="104">
        <f>SUM(J975:N975)</f>
        <v/>
      </c>
      <c r="P975" s="12">
        <f>O975/IF(H975="L",20,IF(H975="U",30,IF(H975="O",40,IF(H975="I",20,""))))</f>
        <v/>
      </c>
      <c r="Q975" s="132">
        <f>IF(AND(H975="L", P975&gt;=50%), "Pass",
IF(AND(H975="U", P975&gt;=60%), "Pass",
IF(AND(H975="O", P975&gt;=75%), "Pass", "Fail")))</f>
        <v/>
      </c>
      <c r="R975" s="104" t="n"/>
      <c r="S975" s="104" t="n">
        <v>15</v>
      </c>
      <c r="T975" s="104" t="n">
        <v>12</v>
      </c>
      <c r="U975" s="104">
        <f>SUM(S975:T975)</f>
        <v/>
      </c>
      <c r="V975" s="12">
        <f>U975/IF(H975="L",35,IF(H975="U",35,IF(H975="O",35,IF(H975="I",35,""))))</f>
        <v/>
      </c>
      <c r="W975" s="132">
        <f>IF(AND(H975="L", V975&gt;=50%), "Pass",
IF(AND(H975="U", V975&gt;=60%), "Pass",
IF(AND(H975="O", V975&gt;=75%), "Pass", "Fail")))</f>
        <v/>
      </c>
      <c r="X975" s="132">
        <f>IF(AND(Q975="Pass", W975="Pass"), "Pass", "Fail")</f>
        <v/>
      </c>
      <c r="Y975" s="15">
        <f>IF($X975="Pass",$H975,
IF(H975="L","I",
IF(H975="U","L",
IF(H975="O","U",
"I"))))</f>
        <v/>
      </c>
    </row>
    <row r="976">
      <c r="A976" s="147">
        <f>ROW()-2</f>
        <v/>
      </c>
      <c r="B976" s="127" t="inlineStr">
        <is>
          <t>KK1385</t>
        </is>
      </c>
      <c r="C976" s="128" t="inlineStr">
        <is>
          <t>MUTHUSELVAM</t>
        </is>
      </c>
      <c r="D976" s="127" t="inlineStr">
        <is>
          <t>PRODUCTION</t>
        </is>
      </c>
      <c r="E976" s="129" t="inlineStr">
        <is>
          <t>TYRE CURING</t>
        </is>
      </c>
      <c r="F976" s="130" t="n">
        <v>44677</v>
      </c>
      <c r="G976" s="131">
        <f>NOW()-F976</f>
        <v/>
      </c>
      <c r="H976" s="104" t="inlineStr">
        <is>
          <t>O</t>
        </is>
      </c>
      <c r="I976" s="104" t="inlineStr">
        <is>
          <t>U</t>
        </is>
      </c>
      <c r="J976" s="104" t="n">
        <v>10</v>
      </c>
      <c r="K976" s="104" t="n">
        <v>9</v>
      </c>
      <c r="L976" s="104" t="n">
        <v>9</v>
      </c>
      <c r="M976" s="104" t="n">
        <v>7</v>
      </c>
      <c r="N976" s="104" t="n"/>
      <c r="O976" s="104">
        <f>SUM(J976:N976)</f>
        <v/>
      </c>
      <c r="P976" s="12">
        <f>O976/IF(H976="L",20,IF(H976="U",30,IF(H976="O",40,IF(H976="I",20,""))))</f>
        <v/>
      </c>
      <c r="Q976" s="132">
        <f>IF(AND(H976="L", P976&gt;=50%), "Pass",
IF(AND(H976="U", P976&gt;=60%), "Pass",
IF(AND(H976="O", P976&gt;=75%), "Pass", "Fail")))</f>
        <v/>
      </c>
      <c r="R976" s="104" t="n"/>
      <c r="S976" s="104" t="n">
        <v>16</v>
      </c>
      <c r="T976" s="104" t="n">
        <v>14</v>
      </c>
      <c r="U976" s="104">
        <f>SUM(S976:T976)</f>
        <v/>
      </c>
      <c r="V976" s="12">
        <f>U976/IF(H976="L",35,IF(H976="U",35,IF(H976="O",35,IF(H976="I",35,""))))</f>
        <v/>
      </c>
      <c r="W976" s="132">
        <f>IF(AND(H976="L", V976&gt;=50%), "Pass",
IF(AND(H976="U", V976&gt;=60%), "Pass",
IF(AND(H976="O", V976&gt;=75%), "Pass", "Fail")))</f>
        <v/>
      </c>
      <c r="X976" s="132">
        <f>IF(AND(Q976="Pass", W976="Pass"), "Pass", "Fail")</f>
        <v/>
      </c>
      <c r="Y976" s="15">
        <f>IF($X976="Pass",$H976,
IF(H976="L","I",
IF(H976="U","L",
IF(H976="O","U",
"I"))))</f>
        <v/>
      </c>
    </row>
    <row r="977">
      <c r="A977" s="147">
        <f>ROW()-2</f>
        <v/>
      </c>
      <c r="B977" s="127" t="inlineStr">
        <is>
          <t>AK1124</t>
        </is>
      </c>
      <c r="C977" s="128" t="inlineStr">
        <is>
          <t>MUTHU NAVIN</t>
        </is>
      </c>
      <c r="D977" s="127" t="inlineStr">
        <is>
          <t>PRODUCTION</t>
        </is>
      </c>
      <c r="E977" s="129" t="inlineStr">
        <is>
          <t>TYRE BUILDING-P3</t>
        </is>
      </c>
      <c r="F977" s="130" t="n">
        <v>44696</v>
      </c>
      <c r="G977" s="131">
        <f>NOW()-F977</f>
        <v/>
      </c>
      <c r="H977" s="104" t="inlineStr">
        <is>
          <t>O</t>
        </is>
      </c>
      <c r="I977" s="104" t="inlineStr">
        <is>
          <t>U</t>
        </is>
      </c>
      <c r="J977" s="104" t="n">
        <v>10</v>
      </c>
      <c r="K977" s="104" t="n">
        <v>8</v>
      </c>
      <c r="L977" s="104" t="n">
        <v>5</v>
      </c>
      <c r="M977" s="104" t="n">
        <v>9</v>
      </c>
      <c r="N977" s="104" t="n"/>
      <c r="O977" s="104">
        <f>SUM(J977:N977)</f>
        <v/>
      </c>
      <c r="P977" s="12">
        <f>O977/IF(H977="L",20,IF(H977="U",30,IF(H977="O",40,IF(H977="I",20,""))))</f>
        <v/>
      </c>
      <c r="Q977" s="132">
        <f>IF(AND(H977="L", P977&gt;=50%), "Pass",
IF(AND(H977="U", P977&gt;=60%), "Pass",
IF(AND(H977="O", P977&gt;=75%), "Pass", "Fail")))</f>
        <v/>
      </c>
      <c r="R977" s="104" t="n"/>
      <c r="S977" s="104" t="n">
        <v>18</v>
      </c>
      <c r="T977" s="104" t="n">
        <v>15</v>
      </c>
      <c r="U977" s="104">
        <f>SUM(S977:T977)</f>
        <v/>
      </c>
      <c r="V977" s="12">
        <f>U977/IF(H977="L",35,IF(H977="U",35,IF(H977="O",35,IF(H977="I",35,""))))</f>
        <v/>
      </c>
      <c r="W977" s="132">
        <f>IF(AND(H977="L", V977&gt;=50%), "Pass",
IF(AND(H977="U", V977&gt;=60%), "Pass",
IF(AND(H977="O", V977&gt;=75%), "Pass", "Fail")))</f>
        <v/>
      </c>
      <c r="X977" s="132">
        <f>IF(AND(Q977="Pass", W977="Pass"), "Pass", "Fail")</f>
        <v/>
      </c>
      <c r="Y977" s="15">
        <f>IF($X977="Pass",$H977,
IF(H977="L","I",
IF(H977="U","L",
IF(H977="O","U",
"I"))))</f>
        <v/>
      </c>
    </row>
    <row r="978">
      <c r="A978" s="147">
        <f>ROW()-2</f>
        <v/>
      </c>
      <c r="B978" s="127" t="inlineStr">
        <is>
          <t>SK3392</t>
        </is>
      </c>
      <c r="C978" s="128" t="inlineStr">
        <is>
          <t>MUTHURAJA P</t>
        </is>
      </c>
      <c r="D978" s="127" t="inlineStr">
        <is>
          <t>PRODUCTION</t>
        </is>
      </c>
      <c r="E978" s="129" t="inlineStr">
        <is>
          <t>TYRE CURING</t>
        </is>
      </c>
      <c r="F978" s="130" t="n">
        <v>44698</v>
      </c>
      <c r="G978" s="131">
        <f>NOW()-F978</f>
        <v/>
      </c>
      <c r="H978" s="104" t="inlineStr">
        <is>
          <t>O</t>
        </is>
      </c>
      <c r="I978" s="104" t="inlineStr">
        <is>
          <t>U</t>
        </is>
      </c>
      <c r="J978" s="104" t="n">
        <v>9</v>
      </c>
      <c r="K978" s="104" t="n">
        <v>9</v>
      </c>
      <c r="L978" s="104" t="n">
        <v>6</v>
      </c>
      <c r="M978" s="104" t="n">
        <v>8</v>
      </c>
      <c r="N978" s="104" t="n"/>
      <c r="O978" s="104">
        <f>SUM(J978:N978)</f>
        <v/>
      </c>
      <c r="P978" s="12">
        <f>O978/IF(H978="L",20,IF(H978="U",30,IF(H978="O",40,IF(H978="I",20,""))))</f>
        <v/>
      </c>
      <c r="Q978" s="132">
        <f>IF(AND(H978="L", P978&gt;=50%), "Pass",
IF(AND(H978="U", P978&gt;=60%), "Pass",
IF(AND(H978="O", P978&gt;=75%), "Pass", "Fail")))</f>
        <v/>
      </c>
      <c r="R978" s="104" t="n"/>
      <c r="S978" s="104" t="n">
        <v>11</v>
      </c>
      <c r="T978" s="104" t="n">
        <v>8</v>
      </c>
      <c r="U978" s="104">
        <f>SUM(S978:T978)</f>
        <v/>
      </c>
      <c r="V978" s="12">
        <f>U978/IF(H978="L",35,IF(H978="U",35,IF(H978="O",35,IF(H978="I",35,""))))</f>
        <v/>
      </c>
      <c r="W978" s="132">
        <f>IF(AND(H978="L", V978&gt;=50%), "Pass",
IF(AND(H978="U", V978&gt;=60%), "Pass",
IF(AND(H978="O", V978&gt;=75%), "Pass", "Fail")))</f>
        <v/>
      </c>
      <c r="X978" s="132">
        <f>IF(AND(Q978="Pass", W978="Pass"), "Pass", "Fail")</f>
        <v/>
      </c>
      <c r="Y978" s="15">
        <f>IF($X978="Pass",$H978,
IF(H978="L","I",
IF(H978="U","L",
IF(H978="O","U",
"I"))))</f>
        <v/>
      </c>
    </row>
    <row r="979">
      <c r="A979" s="147">
        <f>ROW()-2</f>
        <v/>
      </c>
      <c r="B979" s="127" t="inlineStr">
        <is>
          <t>MG1506</t>
        </is>
      </c>
      <c r="C979" s="128" t="inlineStr">
        <is>
          <t>AROCKIYA RAJ J</t>
        </is>
      </c>
      <c r="D979" s="127" t="inlineStr">
        <is>
          <t>PRODUCTION</t>
        </is>
      </c>
      <c r="E979" s="129" t="inlineStr">
        <is>
          <t>EXTRUDER</t>
        </is>
      </c>
      <c r="F979" s="130" t="n">
        <v>44707</v>
      </c>
      <c r="G979" s="131">
        <f>NOW()-F979</f>
        <v/>
      </c>
      <c r="H979" s="104" t="inlineStr">
        <is>
          <t>O</t>
        </is>
      </c>
      <c r="I979" s="104" t="inlineStr">
        <is>
          <t>L</t>
        </is>
      </c>
      <c r="J979" s="104" t="n">
        <v>9</v>
      </c>
      <c r="K979" s="104" t="n">
        <v>8</v>
      </c>
      <c r="L979" s="104" t="n">
        <v>9</v>
      </c>
      <c r="M979" s="104" t="n">
        <v>9</v>
      </c>
      <c r="N979" s="104" t="n"/>
      <c r="O979" s="104">
        <f>SUM(J979:N979)</f>
        <v/>
      </c>
      <c r="P979" s="12">
        <f>O979/IF(H979="L",20,IF(H979="U",30,IF(H979="O",40,IF(H979="I",20,""))))</f>
        <v/>
      </c>
      <c r="Q979" s="132">
        <f>IF(AND(H979="L", P979&gt;=50%), "Pass",
IF(AND(H979="U", P979&gt;=60%), "Pass",
IF(AND(H979="O", P979&gt;=75%), "Pass", "Fail")))</f>
        <v/>
      </c>
      <c r="R979" s="104" t="n"/>
      <c r="S979" s="104" t="n">
        <v>13</v>
      </c>
      <c r="T979" s="104" t="n">
        <v>9</v>
      </c>
      <c r="U979" s="104">
        <f>SUM(S979:T979)</f>
        <v/>
      </c>
      <c r="V979" s="12">
        <f>U979/IF(H979="L",35,IF(H979="U",35,IF(H979="O",35,IF(H979="I",35,""))))</f>
        <v/>
      </c>
      <c r="W979" s="132">
        <f>IF(AND(H979="L", V979&gt;=50%), "Pass",
IF(AND(H979="U", V979&gt;=60%), "Pass",
IF(AND(H979="O", V979&gt;=75%), "Pass", "Fail")))</f>
        <v/>
      </c>
      <c r="X979" s="132">
        <f>IF(AND(Q979="Pass", W979="Pass"), "Pass", "Fail")</f>
        <v/>
      </c>
      <c r="Y979" s="15">
        <f>IF($X979="Pass",$H979,
IF(H979="L","I",
IF(H979="U","L",
IF(H979="O","U",
"I"))))</f>
        <v/>
      </c>
    </row>
    <row r="980">
      <c r="A980" s="147">
        <f>ROW()-2</f>
        <v/>
      </c>
      <c r="B980" s="127" t="inlineStr">
        <is>
          <t>SR1292</t>
        </is>
      </c>
      <c r="C980" s="128" t="inlineStr">
        <is>
          <t>VENKATESH</t>
        </is>
      </c>
      <c r="D980" s="127" t="inlineStr">
        <is>
          <t>PRODUCTION</t>
        </is>
      </c>
      <c r="E980" s="129" t="inlineStr">
        <is>
          <t>BIAS MARANGONI&amp;BESTRY</t>
        </is>
      </c>
      <c r="F980" s="130" t="n">
        <v>44721</v>
      </c>
      <c r="G980" s="131">
        <f>NOW()-F980</f>
        <v/>
      </c>
      <c r="H980" s="104" t="inlineStr">
        <is>
          <t>U</t>
        </is>
      </c>
      <c r="I980" s="104" t="inlineStr">
        <is>
          <t>U</t>
        </is>
      </c>
      <c r="J980" s="104" t="n">
        <v>4</v>
      </c>
      <c r="K980" s="104" t="n">
        <v>7</v>
      </c>
      <c r="L980" s="104" t="n">
        <v>4</v>
      </c>
      <c r="M980" s="104" t="n">
        <v>5</v>
      </c>
      <c r="N980" s="104" t="n"/>
      <c r="O980" s="104">
        <f>SUM(J980:N980)</f>
        <v/>
      </c>
      <c r="P980" s="12">
        <f>O980/IF(H980="L",20,IF(H980="U",30,IF(H980="O",40,IF(H980="I",20,""))))</f>
        <v/>
      </c>
      <c r="Q980" s="132">
        <f>IF(AND(H980="L", P980&gt;=50%), "Pass",
IF(AND(H980="U", P980&gt;=60%), "Pass",
IF(AND(H980="O", P980&gt;=75%), "Pass", "Fail")))</f>
        <v/>
      </c>
      <c r="R980" s="104" t="n"/>
      <c r="S980" s="104" t="n">
        <v>16</v>
      </c>
      <c r="T980" s="104" t="n">
        <v>12</v>
      </c>
      <c r="U980" s="104">
        <f>SUM(S980:T980)</f>
        <v/>
      </c>
      <c r="V980" s="12">
        <f>U980/IF(H980="L",35,IF(H980="U",35,IF(H980="O",35,IF(H980="I",35,""))))</f>
        <v/>
      </c>
      <c r="W980" s="132">
        <f>IF(AND(H980="L", V980&gt;=50%), "Pass",
IF(AND(H980="U", V980&gt;=60%), "Pass",
IF(AND(H980="O", V980&gt;=75%), "Pass", "Fail")))</f>
        <v/>
      </c>
      <c r="X980" s="132">
        <f>IF(AND(Q980="Pass", W980="Pass"), "Pass", "Fail")</f>
        <v/>
      </c>
      <c r="Y980" s="15">
        <f>IF($X980="Pass",$H980,
IF(H980="L","I",
IF(H980="U","L",
IF(H980="O","U",
"I"))))</f>
        <v/>
      </c>
    </row>
    <row r="981">
      <c r="A981" s="147">
        <f>ROW()-2</f>
        <v/>
      </c>
      <c r="B981" s="127" t="inlineStr">
        <is>
          <t>KK1401</t>
        </is>
      </c>
      <c r="C981" s="128" t="inlineStr">
        <is>
          <t>RAJESH T</t>
        </is>
      </c>
      <c r="D981" s="127" t="inlineStr">
        <is>
          <t>PRODUCTION</t>
        </is>
      </c>
      <c r="E981" s="129" t="inlineStr">
        <is>
          <t>EXTRUDER</t>
        </is>
      </c>
      <c r="F981" s="130" t="n">
        <v>44726</v>
      </c>
      <c r="G981" s="131">
        <f>NOW()-F981</f>
        <v/>
      </c>
      <c r="H981" s="104" t="inlineStr">
        <is>
          <t>U</t>
        </is>
      </c>
      <c r="I981" s="104" t="inlineStr">
        <is>
          <t>U</t>
        </is>
      </c>
      <c r="J981" s="104" t="n">
        <v>6</v>
      </c>
      <c r="K981" s="104" t="n">
        <v>7</v>
      </c>
      <c r="L981" s="104" t="n">
        <v>8</v>
      </c>
      <c r="M981" s="104" t="n">
        <v>6</v>
      </c>
      <c r="N981" s="104" t="n"/>
      <c r="O981" s="104">
        <f>SUM(J981:N981)</f>
        <v/>
      </c>
      <c r="P981" s="12">
        <f>O981/IF(H981="L",20,IF(H981="U",30,IF(H981="O",40,IF(H981="I",20,""))))</f>
        <v/>
      </c>
      <c r="Q981" s="132">
        <f>IF(AND(H981="L", P981&gt;=50%), "Pass",
IF(AND(H981="U", P981&gt;=60%), "Pass",
IF(AND(H981="O", P981&gt;=75%), "Pass", "Fail")))</f>
        <v/>
      </c>
      <c r="R981" s="104" t="n"/>
      <c r="S981" s="104" t="n">
        <v>18</v>
      </c>
      <c r="T981" s="104" t="n">
        <v>12</v>
      </c>
      <c r="U981" s="104">
        <f>SUM(S981:T981)</f>
        <v/>
      </c>
      <c r="V981" s="12">
        <f>U981/IF(H981="L",35,IF(H981="U",35,IF(H981="O",35,IF(H981="I",35,""))))</f>
        <v/>
      </c>
      <c r="W981" s="132">
        <f>IF(AND(H981="L", V981&gt;=50%), "Pass",
IF(AND(H981="U", V981&gt;=60%), "Pass",
IF(AND(H981="O", V981&gt;=75%), "Pass", "Fail")))</f>
        <v/>
      </c>
      <c r="X981" s="132">
        <f>IF(AND(Q981="Pass", W981="Pass"), "Pass", "Fail")</f>
        <v/>
      </c>
      <c r="Y981" s="15">
        <f>IF($X981="Pass",$H981,
IF(H981="L","I",
IF(H981="U","L",
IF(H981="O","U",
"I"))))</f>
        <v/>
      </c>
    </row>
    <row r="982">
      <c r="A982" s="147">
        <f>ROW()-2</f>
        <v/>
      </c>
      <c r="B982" s="127" t="inlineStr">
        <is>
          <t>SK3408</t>
        </is>
      </c>
      <c r="C982" s="128" t="inlineStr">
        <is>
          <t>JAI PRAKHASH YADAV</t>
        </is>
      </c>
      <c r="D982" s="127" t="inlineStr">
        <is>
          <t>PRODUCTION</t>
        </is>
      </c>
      <c r="E982" s="129" t="inlineStr">
        <is>
          <t>TYRE BUILDING-P3</t>
        </is>
      </c>
      <c r="F982" s="130" t="n">
        <v>44726</v>
      </c>
      <c r="G982" s="131">
        <f>NOW()-F982</f>
        <v/>
      </c>
      <c r="H982" s="104" t="inlineStr">
        <is>
          <t>U</t>
        </is>
      </c>
      <c r="I982" s="104" t="inlineStr">
        <is>
          <t>U</t>
        </is>
      </c>
      <c r="J982" s="104" t="n">
        <v>1</v>
      </c>
      <c r="K982" s="104" t="n">
        <v>3</v>
      </c>
      <c r="L982" s="104" t="n">
        <v>3</v>
      </c>
      <c r="M982" s="104" t="n">
        <v>1</v>
      </c>
      <c r="N982" s="104" t="n"/>
      <c r="O982" s="104">
        <f>SUM(J982:N982)</f>
        <v/>
      </c>
      <c r="P982" s="12">
        <f>O982/IF(H982="L",20,IF(H982="U",30,IF(H982="O",40,IF(H982="I",20,""))))</f>
        <v/>
      </c>
      <c r="Q982" s="132">
        <f>IF(AND(H982="L", P982&gt;=50%), "Pass",
IF(AND(H982="U", P982&gt;=60%), "Pass",
IF(AND(H982="O", P982&gt;=75%), "Pass", "Fail")))</f>
        <v/>
      </c>
      <c r="R982" s="104" t="n"/>
      <c r="S982" s="104" t="n">
        <v>17</v>
      </c>
      <c r="T982" s="104" t="n">
        <v>14</v>
      </c>
      <c r="U982" s="104">
        <f>SUM(S982:T982)</f>
        <v/>
      </c>
      <c r="V982" s="12">
        <f>U982/IF(H982="L",35,IF(H982="U",35,IF(H982="O",35,IF(H982="I",35,""))))</f>
        <v/>
      </c>
      <c r="W982" s="132">
        <f>IF(AND(H982="L", V982&gt;=50%), "Pass",
IF(AND(H982="U", V982&gt;=60%), "Pass",
IF(AND(H982="O", V982&gt;=75%), "Pass", "Fail")))</f>
        <v/>
      </c>
      <c r="X982" s="132">
        <f>IF(AND(Q982="Pass", W982="Pass"), "Pass", "Fail")</f>
        <v/>
      </c>
      <c r="Y982" s="15">
        <f>IF($X982="Pass",$H982,
IF(H982="L","I",
IF(H982="U","L",
IF(H982="O","U",
"I"))))</f>
        <v/>
      </c>
    </row>
    <row r="983">
      <c r="A983" s="147">
        <f>ROW()-2</f>
        <v/>
      </c>
      <c r="B983" s="127" t="inlineStr">
        <is>
          <t>SK3411</t>
        </is>
      </c>
      <c r="C983" s="128" t="inlineStr">
        <is>
          <t>SUKRA ORAON</t>
        </is>
      </c>
      <c r="D983" s="127" t="inlineStr">
        <is>
          <t>PRODUCTION</t>
        </is>
      </c>
      <c r="E983" s="129" t="inlineStr">
        <is>
          <t>TYRE BUILDING-P1</t>
        </is>
      </c>
      <c r="F983" s="130" t="n">
        <v>44730</v>
      </c>
      <c r="G983" s="131">
        <f>NOW()-F983</f>
        <v/>
      </c>
      <c r="H983" s="104" t="inlineStr">
        <is>
          <t>U</t>
        </is>
      </c>
      <c r="I983" s="104" t="inlineStr">
        <is>
          <t>L</t>
        </is>
      </c>
      <c r="J983" s="104" t="n">
        <v>6</v>
      </c>
      <c r="K983" s="104" t="n">
        <v>7</v>
      </c>
      <c r="L983" s="104" t="n">
        <v>8</v>
      </c>
      <c r="M983" s="104" t="n">
        <v>7</v>
      </c>
      <c r="N983" s="104" t="n"/>
      <c r="O983" s="104">
        <f>SUM(J983:N983)</f>
        <v/>
      </c>
      <c r="P983" s="12">
        <f>O983/IF(H983="L",20,IF(H983="U",30,IF(H983="O",40,IF(H983="I",20,""))))</f>
        <v/>
      </c>
      <c r="Q983" s="132">
        <f>IF(AND(H983="L", P983&gt;=50%), "Pass",
IF(AND(H983="U", P983&gt;=60%), "Pass",
IF(AND(H983="O", P983&gt;=75%), "Pass", "Fail")))</f>
        <v/>
      </c>
      <c r="R983" s="104" t="n"/>
      <c r="S983" s="104" t="n">
        <v>9</v>
      </c>
      <c r="T983" s="104" t="n">
        <v>6</v>
      </c>
      <c r="U983" s="104">
        <f>SUM(S983:T983)</f>
        <v/>
      </c>
      <c r="V983" s="12">
        <f>U983/IF(H983="L",35,IF(H983="U",35,IF(H983="O",35,IF(H983="I",35,""))))</f>
        <v/>
      </c>
      <c r="W983" s="132">
        <f>IF(AND(H983="L", V983&gt;=50%), "Pass",
IF(AND(H983="U", V983&gt;=60%), "Pass",
IF(AND(H983="O", V983&gt;=75%), "Pass", "Fail")))</f>
        <v/>
      </c>
      <c r="X983" s="132">
        <f>IF(AND(Q983="Pass", W983="Pass"), "Pass", "Fail")</f>
        <v/>
      </c>
      <c r="Y983" s="15">
        <f>IF($X983="Pass",$H983,
IF(H983="L","I",
IF(H983="U","L",
IF(H983="O","U",
"I"))))</f>
        <v/>
      </c>
      <c r="Z983" s="82" t="n"/>
    </row>
    <row r="984">
      <c r="A984" s="147">
        <f>ROW()-2</f>
        <v/>
      </c>
      <c r="B984" s="127" t="inlineStr">
        <is>
          <t>SK3415</t>
        </is>
      </c>
      <c r="C984" s="128" t="inlineStr">
        <is>
          <t>SONARAM ORAON</t>
        </is>
      </c>
      <c r="D984" s="127" t="inlineStr">
        <is>
          <t>PRODUCTION</t>
        </is>
      </c>
      <c r="E984" s="129" t="inlineStr">
        <is>
          <t>TYRE CURING</t>
        </is>
      </c>
      <c r="F984" s="130" t="n">
        <v>44730</v>
      </c>
      <c r="G984" s="131">
        <f>NOW()-F984</f>
        <v/>
      </c>
      <c r="H984" s="104" t="inlineStr">
        <is>
          <t>U</t>
        </is>
      </c>
      <c r="I984" s="104" t="inlineStr">
        <is>
          <t>U</t>
        </is>
      </c>
      <c r="J984" s="104" t="n">
        <v>6</v>
      </c>
      <c r="K984" s="104" t="n">
        <v>1</v>
      </c>
      <c r="L984" s="104" t="n">
        <v>5</v>
      </c>
      <c r="M984" s="104" t="n">
        <v>1</v>
      </c>
      <c r="N984" s="104" t="n">
        <v>1</v>
      </c>
      <c r="O984" s="104">
        <f>SUM(J984:N984)</f>
        <v/>
      </c>
      <c r="P984" s="12">
        <f>O984/IF(H984="L",20,IF(H984="U",30,IF(H984="O",40,IF(H984="I",20,""))))</f>
        <v/>
      </c>
      <c r="Q984" s="132">
        <f>IF(AND(H984="L", P984&gt;=50%), "Pass",
IF(AND(H984="U", P984&gt;=60%), "Pass",
IF(AND(H984="O", P984&gt;=75%), "Pass", "Fail")))</f>
        <v/>
      </c>
      <c r="R984" s="104" t="n"/>
      <c r="S984" s="104" t="n">
        <v>11</v>
      </c>
      <c r="T984" s="104" t="n">
        <v>10</v>
      </c>
      <c r="U984" s="104">
        <f>SUM(S984:T984)</f>
        <v/>
      </c>
      <c r="V984" s="12">
        <f>U984/IF(H984="L",35,IF(H984="U",35,IF(H984="O",35,IF(H984="I",35,""))))</f>
        <v/>
      </c>
      <c r="W984" s="132">
        <f>IF(AND(H984="L", V984&gt;=50%), "Pass",
IF(AND(H984="U", V984&gt;=60%), "Pass",
IF(AND(H984="O", V984&gt;=75%), "Pass", "Fail")))</f>
        <v/>
      </c>
      <c r="X984" s="132">
        <f>IF(AND(Q984="Pass", W984="Pass"), "Pass", "Fail")</f>
        <v/>
      </c>
      <c r="Y984" s="15">
        <f>IF($X984="Pass",$H984,
IF(H984="L","I",
IF(H984="U","L",
IF(H984="O","U",
"I"))))</f>
        <v/>
      </c>
    </row>
    <row r="985">
      <c r="A985" s="147">
        <f>ROW()-2</f>
        <v/>
      </c>
      <c r="B985" s="127" t="inlineStr">
        <is>
          <t>SK3416</t>
        </is>
      </c>
      <c r="C985" s="128" t="inlineStr">
        <is>
          <t>ARUN K</t>
        </is>
      </c>
      <c r="D985" s="127" t="inlineStr">
        <is>
          <t>PRODUCTION</t>
        </is>
      </c>
      <c r="E985" s="129" t="inlineStr">
        <is>
          <t>TYRE CURING</t>
        </is>
      </c>
      <c r="F985" s="130" t="n">
        <v>44730</v>
      </c>
      <c r="G985" s="131">
        <f>NOW()-F985</f>
        <v/>
      </c>
      <c r="H985" s="104" t="inlineStr">
        <is>
          <t>U</t>
        </is>
      </c>
      <c r="I985" s="104" t="inlineStr">
        <is>
          <t>U</t>
        </is>
      </c>
      <c r="J985" s="104" t="n">
        <v>6</v>
      </c>
      <c r="K985" s="104" t="n">
        <v>4</v>
      </c>
      <c r="L985" s="104" t="n">
        <v>3</v>
      </c>
      <c r="M985" s="104" t="n">
        <v>5</v>
      </c>
      <c r="N985" s="104" t="n">
        <v>4</v>
      </c>
      <c r="O985" s="104">
        <f>SUM(J985:N985)</f>
        <v/>
      </c>
      <c r="P985" s="12">
        <f>O985/IF(H985="L",20,IF(H985="U",30,IF(H985="O",40,IF(H985="I",20,""))))</f>
        <v/>
      </c>
      <c r="Q985" s="132">
        <f>IF(AND(H985="L", P985&gt;=50%), "Pass",
IF(AND(H985="U", P985&gt;=60%), "Pass",
IF(AND(H985="O", P985&gt;=75%), "Pass", "Fail")))</f>
        <v/>
      </c>
      <c r="R985" s="104" t="n"/>
      <c r="S985" s="104" t="n">
        <v>13</v>
      </c>
      <c r="T985" s="104" t="n">
        <v>12</v>
      </c>
      <c r="U985" s="104">
        <f>SUM(S985:T985)</f>
        <v/>
      </c>
      <c r="V985" s="12">
        <f>U985/IF(H985="L",35,IF(H985="U",35,IF(H985="O",35,IF(H985="I",35,""))))</f>
        <v/>
      </c>
      <c r="W985" s="132">
        <f>IF(AND(H985="L", V985&gt;=50%), "Pass",
IF(AND(H985="U", V985&gt;=60%), "Pass",
IF(AND(H985="O", V985&gt;=75%), "Pass", "Fail")))</f>
        <v/>
      </c>
      <c r="X985" s="132">
        <f>IF(AND(Q985="Pass", W985="Pass"), "Pass", "Fail")</f>
        <v/>
      </c>
      <c r="Y985" s="15">
        <f>IF($X985="Pass",$H985,
IF(H985="L","I",
IF(H985="U","L",
IF(H985="O","U",
"I"))))</f>
        <v/>
      </c>
    </row>
    <row r="986">
      <c r="A986" s="147">
        <f>ROW()-2</f>
        <v/>
      </c>
      <c r="B986" s="127" t="inlineStr">
        <is>
          <t>SK3419</t>
        </is>
      </c>
      <c r="C986" s="128" t="inlineStr">
        <is>
          <t>MURUGESAN S</t>
        </is>
      </c>
      <c r="D986" s="127" t="inlineStr">
        <is>
          <t>PRODUCTION</t>
        </is>
      </c>
      <c r="E986" s="129" t="inlineStr">
        <is>
          <t>EXTRUDER</t>
        </is>
      </c>
      <c r="F986" s="130" t="n">
        <v>44743</v>
      </c>
      <c r="G986" s="131">
        <f>NOW()-F986</f>
        <v/>
      </c>
      <c r="H986" s="104" t="inlineStr">
        <is>
          <t>U</t>
        </is>
      </c>
      <c r="I986" s="104" t="inlineStr">
        <is>
          <t>L</t>
        </is>
      </c>
      <c r="J986" s="104" t="n">
        <v>6</v>
      </c>
      <c r="K986" s="104" t="n">
        <v>8</v>
      </c>
      <c r="L986" s="104" t="n">
        <v>7</v>
      </c>
      <c r="M986" s="104" t="n">
        <v>6</v>
      </c>
      <c r="N986" s="104" t="n"/>
      <c r="O986" s="104">
        <f>SUM(J986:N986)</f>
        <v/>
      </c>
      <c r="P986" s="12">
        <f>O986/IF(H986="L",20,IF(H986="U",30,IF(H986="O",40,IF(H986="I",20,""))))</f>
        <v/>
      </c>
      <c r="Q986" s="132">
        <f>IF(AND(H986="L", P986&gt;=50%), "Pass",
IF(AND(H986="U", P986&gt;=60%), "Pass",
IF(AND(H986="O", P986&gt;=75%), "Pass", "Fail")))</f>
        <v/>
      </c>
      <c r="R986" s="104" t="n"/>
      <c r="S986" s="104" t="n">
        <v>13</v>
      </c>
      <c r="T986" s="104" t="n">
        <v>9</v>
      </c>
      <c r="U986" s="104">
        <f>SUM(S986:T986)</f>
        <v/>
      </c>
      <c r="V986" s="12">
        <f>U986/IF(H986="L",35,IF(H986="U",35,IF(H986="O",35,IF(H986="I",35,""))))</f>
        <v/>
      </c>
      <c r="W986" s="132">
        <f>IF(AND(H986="L", V986&gt;=50%), "Pass",
IF(AND(H986="U", V986&gt;=60%), "Pass",
IF(AND(H986="O", V986&gt;=75%), "Pass", "Fail")))</f>
        <v/>
      </c>
      <c r="X986" s="132">
        <f>IF(AND(Q986="Pass", W986="Pass"), "Pass", "Fail")</f>
        <v/>
      </c>
      <c r="Y986" s="15">
        <f>IF($X986="Pass",$H986,
IF(H986="L","I",
IF(H986="U","L",
IF(H986="O","U",
"I"))))</f>
        <v/>
      </c>
    </row>
    <row r="987">
      <c r="A987" s="147">
        <f>ROW()-2</f>
        <v/>
      </c>
      <c r="B987" s="127" t="inlineStr">
        <is>
          <t>SK3422</t>
        </is>
      </c>
      <c r="C987" s="128" t="inlineStr">
        <is>
          <t>ANAND KUMAR MAURYA</t>
        </is>
      </c>
      <c r="D987" s="127" t="inlineStr">
        <is>
          <t>PRODUCTION</t>
        </is>
      </c>
      <c r="E987" s="129" t="inlineStr">
        <is>
          <t>TYRE BUILDING-P3</t>
        </is>
      </c>
      <c r="F987" s="130" t="n">
        <v>44750</v>
      </c>
      <c r="G987" s="131">
        <f>NOW()-F987</f>
        <v/>
      </c>
      <c r="H987" s="104" t="inlineStr">
        <is>
          <t>U</t>
        </is>
      </c>
      <c r="I987" s="104" t="inlineStr">
        <is>
          <t>U</t>
        </is>
      </c>
      <c r="J987" s="104" t="n">
        <v>6</v>
      </c>
      <c r="K987" s="104" t="n">
        <v>5</v>
      </c>
      <c r="L987" s="104" t="n">
        <v>6</v>
      </c>
      <c r="M987" s="104" t="n">
        <v>2</v>
      </c>
      <c r="N987" s="104" t="n"/>
      <c r="O987" s="104">
        <f>SUM(J987:N987)</f>
        <v/>
      </c>
      <c r="P987" s="12">
        <f>O987/IF(H987="L",20,IF(H987="U",30,IF(H987="O",40,IF(H987="I",20,""))))</f>
        <v/>
      </c>
      <c r="Q987" s="132">
        <f>IF(AND(H987="L", P987&gt;=50%), "Pass",
IF(AND(H987="U", P987&gt;=60%), "Pass",
IF(AND(H987="O", P987&gt;=75%), "Pass", "Fail")))</f>
        <v/>
      </c>
      <c r="R987" s="104" t="n"/>
      <c r="S987" s="104" t="n">
        <v>17</v>
      </c>
      <c r="T987" s="104" t="n">
        <v>14</v>
      </c>
      <c r="U987" s="104">
        <f>SUM(S987:T987)</f>
        <v/>
      </c>
      <c r="V987" s="12">
        <f>U987/IF(H987="L",35,IF(H987="U",35,IF(H987="O",35,IF(H987="I",35,""))))</f>
        <v/>
      </c>
      <c r="W987" s="132">
        <f>IF(AND(H987="L", V987&gt;=50%), "Pass",
IF(AND(H987="U", V987&gt;=60%), "Pass",
IF(AND(H987="O", V987&gt;=75%), "Pass", "Fail")))</f>
        <v/>
      </c>
      <c r="X987" s="132">
        <f>IF(AND(Q987="Pass", W987="Pass"), "Pass", "Fail")</f>
        <v/>
      </c>
      <c r="Y987" s="15">
        <f>IF($X987="Pass",$H987,
IF(H987="L","I",
IF(H987="U","L",
IF(H987="O","U",
"I"))))</f>
        <v/>
      </c>
    </row>
    <row r="988">
      <c r="A988" s="147">
        <f>ROW()-2</f>
        <v/>
      </c>
      <c r="B988" s="127" t="inlineStr">
        <is>
          <t>SK3426</t>
        </is>
      </c>
      <c r="C988" s="128" t="inlineStr">
        <is>
          <t>RUDAL YADAV</t>
        </is>
      </c>
      <c r="D988" s="127" t="inlineStr">
        <is>
          <t>PRODUCTION</t>
        </is>
      </c>
      <c r="E988" s="129" t="inlineStr">
        <is>
          <t>TYRE BUILDING-P3</t>
        </is>
      </c>
      <c r="F988" s="130" t="n">
        <v>44758</v>
      </c>
      <c r="G988" s="131">
        <f>NOW()-F988</f>
        <v/>
      </c>
      <c r="H988" s="104" t="inlineStr">
        <is>
          <t>U</t>
        </is>
      </c>
      <c r="I988" s="104" t="inlineStr">
        <is>
          <t>U</t>
        </is>
      </c>
      <c r="J988" s="104" t="n">
        <v>7</v>
      </c>
      <c r="K988" s="104" t="n">
        <v>4</v>
      </c>
      <c r="L988" s="104" t="n">
        <v>5</v>
      </c>
      <c r="M988" s="104" t="n">
        <v>6</v>
      </c>
      <c r="N988" s="104" t="n"/>
      <c r="O988" s="104">
        <f>SUM(J988:N988)</f>
        <v/>
      </c>
      <c r="P988" s="12">
        <f>O988/IF(H988="L",20,IF(H988="U",30,IF(H988="O",40,IF(H988="I",20,""))))</f>
        <v/>
      </c>
      <c r="Q988" s="132">
        <f>IF(AND(H988="L", P988&gt;=50%), "Pass",
IF(AND(H988="U", P988&gt;=60%), "Pass",
IF(AND(H988="O", P988&gt;=75%), "Pass", "Fail")))</f>
        <v/>
      </c>
      <c r="R988" s="104" t="n"/>
      <c r="S988" s="104" t="n">
        <v>18</v>
      </c>
      <c r="T988" s="104" t="n">
        <v>12</v>
      </c>
      <c r="U988" s="104">
        <f>SUM(S988:T988)</f>
        <v/>
      </c>
      <c r="V988" s="12">
        <f>U988/IF(H988="L",35,IF(H988="U",35,IF(H988="O",35,IF(H988="I",35,""))))</f>
        <v/>
      </c>
      <c r="W988" s="132">
        <f>IF(AND(H988="L", V988&gt;=50%), "Pass",
IF(AND(H988="U", V988&gt;=60%), "Pass",
IF(AND(H988="O", V988&gt;=75%), "Pass", "Fail")))</f>
        <v/>
      </c>
      <c r="X988" s="132">
        <f>IF(AND(Q988="Pass", W988="Pass"), "Pass", "Fail")</f>
        <v/>
      </c>
      <c r="Y988" s="15">
        <f>IF($X988="Pass",$H988,
IF(H988="L","I",
IF(H988="U","L",
IF(H988="O","U",
"I"))))</f>
        <v/>
      </c>
    </row>
    <row r="989">
      <c r="A989" s="147">
        <f>ROW()-2</f>
        <v/>
      </c>
      <c r="B989" s="127" t="inlineStr">
        <is>
          <t>SR1300</t>
        </is>
      </c>
      <c r="C989" s="128" t="inlineStr">
        <is>
          <t>PONVIJAY ARAVINDAN P</t>
        </is>
      </c>
      <c r="D989" s="127" t="inlineStr">
        <is>
          <t>PRODUCTION</t>
        </is>
      </c>
      <c r="E989" s="129" t="inlineStr">
        <is>
          <t>TYRE CURING</t>
        </is>
      </c>
      <c r="F989" s="130" t="n">
        <v>44759</v>
      </c>
      <c r="G989" s="131">
        <f>NOW()-F989</f>
        <v/>
      </c>
      <c r="H989" s="104" t="inlineStr">
        <is>
          <t>U</t>
        </is>
      </c>
      <c r="I989" s="104" t="inlineStr">
        <is>
          <t>U</t>
        </is>
      </c>
      <c r="J989" s="104" t="n">
        <v>6</v>
      </c>
      <c r="K989" s="104" t="n">
        <v>3</v>
      </c>
      <c r="L989" s="104" t="n">
        <v>6</v>
      </c>
      <c r="M989" s="104" t="n">
        <v>5</v>
      </c>
      <c r="N989" s="104" t="n">
        <v>4</v>
      </c>
      <c r="O989" s="104">
        <f>SUM(J989:N989)</f>
        <v/>
      </c>
      <c r="P989" s="12">
        <f>O989/IF(H989="L",20,IF(H989="U",30,IF(H989="O",40,IF(H989="I",20,""))))</f>
        <v/>
      </c>
      <c r="Q989" s="132">
        <f>IF(AND(H989="L", P989&gt;=50%), "Pass",
IF(AND(H989="U", P989&gt;=60%), "Pass",
IF(AND(H989="O", P989&gt;=75%), "Pass", "Fail")))</f>
        <v/>
      </c>
      <c r="R989" s="104" t="n"/>
      <c r="S989" s="104" t="n">
        <v>15</v>
      </c>
      <c r="T989" s="104" t="n">
        <v>13</v>
      </c>
      <c r="U989" s="104">
        <f>SUM(S989:T989)</f>
        <v/>
      </c>
      <c r="V989" s="12">
        <f>U989/IF(H989="L",35,IF(H989="U",35,IF(H989="O",35,IF(H989="I",35,""))))</f>
        <v/>
      </c>
      <c r="W989" s="132">
        <f>IF(AND(H989="L", V989&gt;=50%), "Pass",
IF(AND(H989="U", V989&gt;=60%), "Pass",
IF(AND(H989="O", V989&gt;=75%), "Pass", "Fail")))</f>
        <v/>
      </c>
      <c r="X989" s="132">
        <f>IF(AND(Q989="Pass", W989="Pass"), "Pass", "Fail")</f>
        <v/>
      </c>
      <c r="Y989" s="15">
        <f>IF($X989="Pass",$H989,
IF(H989="L","I",
IF(H989="U","L",
IF(H989="O","U",
"I"))))</f>
        <v/>
      </c>
    </row>
    <row r="990">
      <c r="A990" s="147">
        <f>ROW()-2</f>
        <v/>
      </c>
      <c r="B990" s="127" t="inlineStr">
        <is>
          <t>SK3436</t>
        </is>
      </c>
      <c r="C990" s="128" t="inlineStr">
        <is>
          <t>PRADEEP ORAON</t>
        </is>
      </c>
      <c r="D990" s="127" t="inlineStr">
        <is>
          <t>PRODUCTION</t>
        </is>
      </c>
      <c r="E990" s="129" t="inlineStr">
        <is>
          <t>TYRE CURING</t>
        </is>
      </c>
      <c r="F990" s="130" t="n">
        <v>44769</v>
      </c>
      <c r="G990" s="131">
        <f>NOW()-F990</f>
        <v/>
      </c>
      <c r="H990" s="104" t="inlineStr">
        <is>
          <t>U</t>
        </is>
      </c>
      <c r="I990" s="104" t="inlineStr">
        <is>
          <t>L</t>
        </is>
      </c>
      <c r="J990" s="104" t="n">
        <v>4</v>
      </c>
      <c r="K990" s="104" t="n">
        <v>4</v>
      </c>
      <c r="L990" s="104" t="n">
        <v>0</v>
      </c>
      <c r="M990" s="104" t="n">
        <v>2</v>
      </c>
      <c r="N990" s="104" t="n">
        <v>2</v>
      </c>
      <c r="O990" s="104">
        <f>SUM(J990:N990)</f>
        <v/>
      </c>
      <c r="P990" s="12">
        <f>O990/IF(H990="L",20,IF(H990="U",30,IF(H990="O",40,IF(H990="I",20,""))))</f>
        <v/>
      </c>
      <c r="Q990" s="132">
        <f>IF(AND(H990="L", P990&gt;=50%), "Pass",
IF(AND(H990="U", P990&gt;=60%), "Pass",
IF(AND(H990="O", P990&gt;=75%), "Pass", "Fail")))</f>
        <v/>
      </c>
      <c r="R990" s="104" t="n"/>
      <c r="S990" s="104" t="n">
        <v>11</v>
      </c>
      <c r="T990" s="104" t="n">
        <v>10</v>
      </c>
      <c r="U990" s="104">
        <f>SUM(S990:T990)</f>
        <v/>
      </c>
      <c r="V990" s="12">
        <f>U990/IF(H990="L",35,IF(H990="U",35,IF(H990="O",35,IF(H990="I",35,""))))</f>
        <v/>
      </c>
      <c r="W990" s="132">
        <f>IF(AND(H990="L", V990&gt;=50%), "Pass",
IF(AND(H990="U", V990&gt;=60%), "Pass",
IF(AND(H990="O", V990&gt;=75%), "Pass", "Fail")))</f>
        <v/>
      </c>
      <c r="X990" s="132">
        <f>IF(AND(Q990="Pass", W990="Pass"), "Pass", "Fail")</f>
        <v/>
      </c>
      <c r="Y990" s="15">
        <f>IF($X990="Pass",$H990,
IF(H990="L","I",
IF(H990="U","L",
IF(H990="O","U",
"I"))))</f>
        <v/>
      </c>
    </row>
    <row r="991">
      <c r="A991" s="147">
        <f>ROW()-2</f>
        <v/>
      </c>
      <c r="B991" s="127" t="inlineStr">
        <is>
          <t>PK1418</t>
        </is>
      </c>
      <c r="C991" s="138" t="inlineStr">
        <is>
          <t>JAYRAM ORAON</t>
        </is>
      </c>
      <c r="D991" s="127" t="inlineStr">
        <is>
          <t>PRODUCTION</t>
        </is>
      </c>
      <c r="E991" s="129" t="inlineStr">
        <is>
          <t>TYRE BUILDING-P1</t>
        </is>
      </c>
      <c r="F991" s="130" t="n">
        <v>44783</v>
      </c>
      <c r="G991" s="131">
        <f>NOW()-F991</f>
        <v/>
      </c>
      <c r="H991" s="104" t="inlineStr">
        <is>
          <t>U</t>
        </is>
      </c>
      <c r="I991" s="104" t="inlineStr">
        <is>
          <t>L</t>
        </is>
      </c>
      <c r="J991" s="104" t="n">
        <v>6</v>
      </c>
      <c r="K991" s="104" t="n">
        <v>7</v>
      </c>
      <c r="L991" s="104" t="n">
        <v>6</v>
      </c>
      <c r="M991" s="104" t="n">
        <v>6</v>
      </c>
      <c r="N991" s="104" t="n"/>
      <c r="O991" s="104">
        <f>SUM(J991:N991)</f>
        <v/>
      </c>
      <c r="P991" s="12">
        <f>O991/IF(H991="L",20,IF(H991="U",30,IF(H991="O",40,IF(H991="I",20,""))))</f>
        <v/>
      </c>
      <c r="Q991" s="132">
        <f>IF(AND(H991="L", P991&gt;=50%), "Pass",
IF(AND(H991="U", P991&gt;=60%), "Pass",
IF(AND(H991="O", P991&gt;=75%), "Pass", "Fail")))</f>
        <v/>
      </c>
      <c r="R991" s="104" t="n"/>
      <c r="S991" s="104" t="n">
        <v>7</v>
      </c>
      <c r="T991" s="104" t="n">
        <v>7</v>
      </c>
      <c r="U991" s="104">
        <f>SUM(S991:T991)</f>
        <v/>
      </c>
      <c r="V991" s="12">
        <f>U991/IF(H991="L",35,IF(H991="U",35,IF(H991="O",35,IF(H991="I",35,""))))</f>
        <v/>
      </c>
      <c r="W991" s="132">
        <f>IF(AND(H991="L", V991&gt;=50%), "Pass",
IF(AND(H991="U", V991&gt;=60%), "Pass",
IF(AND(H991="O", V991&gt;=75%), "Pass", "Fail")))</f>
        <v/>
      </c>
      <c r="X991" s="132">
        <f>IF(AND(Q991="Pass", W991="Pass"), "Pass", "Fail")</f>
        <v/>
      </c>
      <c r="Y991" s="15">
        <f>IF($X991="Pass",$H991,
IF(H991="L","I",
IF(H991="U","L",
IF(H991="O","U",
"I"))))</f>
        <v/>
      </c>
    </row>
    <row r="992">
      <c r="A992" s="147">
        <f>ROW()-2</f>
        <v/>
      </c>
      <c r="B992" s="127" t="n">
        <v>905499</v>
      </c>
      <c r="C992" s="128" t="inlineStr">
        <is>
          <t>RAJA S</t>
        </is>
      </c>
      <c r="D992" s="127" t="inlineStr">
        <is>
          <t>PRODUCTION</t>
        </is>
      </c>
      <c r="E992" s="129" t="inlineStr">
        <is>
          <t>TYRE BUILDING-P2</t>
        </is>
      </c>
      <c r="F992" s="130" t="n">
        <v>44813</v>
      </c>
      <c r="G992" s="131">
        <f>NOW()-F992</f>
        <v/>
      </c>
      <c r="H992" s="104" t="inlineStr">
        <is>
          <t>O</t>
        </is>
      </c>
      <c r="I992" s="104" t="inlineStr">
        <is>
          <t>O</t>
        </is>
      </c>
      <c r="J992" s="104" t="n">
        <v>10</v>
      </c>
      <c r="K992" s="104" t="n">
        <v>10</v>
      </c>
      <c r="L992" s="104" t="n">
        <v>8</v>
      </c>
      <c r="M992" s="104" t="n">
        <v>9</v>
      </c>
      <c r="N992" s="104" t="n"/>
      <c r="O992" s="104">
        <f>SUM(J992:N992)</f>
        <v/>
      </c>
      <c r="P992" s="12">
        <f>O992/IF(H992="L",20,IF(H992="U",30,IF(H992="O",40,IF(H992="I",20,""))))</f>
        <v/>
      </c>
      <c r="Q992" s="132">
        <f>IF(AND(H992="L", P992&gt;=50%), "Pass",
IF(AND(H992="U", P992&gt;=60%), "Pass",
IF(AND(H992="O", P992&gt;=75%), "Pass", "Fail")))</f>
        <v/>
      </c>
      <c r="R992" s="104" t="n"/>
      <c r="S992" s="104" t="n">
        <v>14</v>
      </c>
      <c r="T992" s="104" t="n">
        <v>11</v>
      </c>
      <c r="U992" s="104">
        <f>SUM(S992:T992)</f>
        <v/>
      </c>
      <c r="V992" s="12">
        <f>U992/IF(H992="L",35,IF(H992="U",35,IF(H992="O",35,IF(H992="I",35,""))))</f>
        <v/>
      </c>
      <c r="W992" s="132">
        <f>IF(AND(H992="L", V992&gt;=50%), "Pass",
IF(AND(H992="U", V992&gt;=60%), "Pass",
IF(AND(H992="O", V992&gt;=75%), "Pass", "Fail")))</f>
        <v/>
      </c>
      <c r="X992" s="132">
        <f>IF(AND(Q992="Pass", W992="Pass"), "Pass", "Fail")</f>
        <v/>
      </c>
      <c r="Y992" s="15">
        <f>IF($X992="Pass",$H992,
IF(H992="L","I",
IF(H992="U","L",
IF(H992="O","U",
"I"))))</f>
        <v/>
      </c>
    </row>
    <row r="993">
      <c r="A993" s="147">
        <f>ROW()-2</f>
        <v/>
      </c>
      <c r="B993" s="127" t="n">
        <v>905500</v>
      </c>
      <c r="C993" s="128" t="inlineStr">
        <is>
          <t>M GANESH KUMAR</t>
        </is>
      </c>
      <c r="D993" s="127" t="inlineStr">
        <is>
          <t>PRODUCTION</t>
        </is>
      </c>
      <c r="E993" s="129" t="inlineStr">
        <is>
          <t>BIAS MARANGONI&amp;BESTRY</t>
        </is>
      </c>
      <c r="F993" s="130" t="n">
        <v>44813</v>
      </c>
      <c r="G993" s="131">
        <f>NOW()-F993</f>
        <v/>
      </c>
      <c r="H993" s="104" t="inlineStr">
        <is>
          <t>O</t>
        </is>
      </c>
      <c r="I993" s="104" t="inlineStr">
        <is>
          <t>U</t>
        </is>
      </c>
      <c r="J993" s="104" t="n">
        <v>8</v>
      </c>
      <c r="K993" s="104" t="n">
        <v>7</v>
      </c>
      <c r="L993" s="104" t="n">
        <v>7</v>
      </c>
      <c r="M993" s="104" t="n">
        <v>7</v>
      </c>
      <c r="N993" s="104" t="n"/>
      <c r="O993" s="104">
        <f>SUM(J993:N993)</f>
        <v/>
      </c>
      <c r="P993" s="12">
        <f>O993/IF(H993="L",20,IF(H993="U",30,IF(H993="O",40,IF(H993="I",20,""))))</f>
        <v/>
      </c>
      <c r="Q993" s="132">
        <f>IF(AND(H993="L", P993&gt;=50%), "Pass",
IF(AND(H993="U", P993&gt;=60%), "Pass",
IF(AND(H993="O", P993&gt;=75%), "Pass", "Fail")))</f>
        <v/>
      </c>
      <c r="R993" s="104" t="n"/>
      <c r="S993" s="104" t="n">
        <v>16</v>
      </c>
      <c r="T993" s="104" t="n">
        <v>12</v>
      </c>
      <c r="U993" s="104">
        <f>SUM(S993:T993)</f>
        <v/>
      </c>
      <c r="V993" s="12">
        <f>U993/IF(H993="L",35,IF(H993="U",35,IF(H993="O",35,IF(H993="I",35,""))))</f>
        <v/>
      </c>
      <c r="W993" s="132">
        <f>IF(AND(H993="L", V993&gt;=50%), "Pass",
IF(AND(H993="U", V993&gt;=60%), "Pass",
IF(AND(H993="O", V993&gt;=75%), "Pass", "Fail")))</f>
        <v/>
      </c>
      <c r="X993" s="132">
        <f>IF(AND(Q993="Pass", W993="Pass"), "Pass", "Fail")</f>
        <v/>
      </c>
      <c r="Y993" s="15">
        <f>IF($X993="Pass",$H993,
IF(H993="L","I",
IF(H993="U","L",
IF(H993="O","U",
"I"))))</f>
        <v/>
      </c>
    </row>
    <row r="994">
      <c r="A994" s="147">
        <f>ROW()-2</f>
        <v/>
      </c>
      <c r="B994" s="127" t="n">
        <v>905506</v>
      </c>
      <c r="C994" s="128" t="inlineStr">
        <is>
          <t>BALAMURUGAN A</t>
        </is>
      </c>
      <c r="D994" s="127" t="inlineStr">
        <is>
          <t>PRODUCTION</t>
        </is>
      </c>
      <c r="E994" s="129" t="inlineStr">
        <is>
          <t>STEELASTIC</t>
        </is>
      </c>
      <c r="F994" s="130" t="n">
        <v>44813</v>
      </c>
      <c r="G994" s="131">
        <f>NOW()-F994</f>
        <v/>
      </c>
      <c r="H994" s="104" t="inlineStr">
        <is>
          <t>O</t>
        </is>
      </c>
      <c r="I994" s="104" t="inlineStr">
        <is>
          <t>O</t>
        </is>
      </c>
      <c r="J994" s="104" t="n">
        <v>10</v>
      </c>
      <c r="K994" s="104" t="n">
        <v>7</v>
      </c>
      <c r="L994" s="104" t="n">
        <v>7</v>
      </c>
      <c r="M994" s="104" t="n">
        <v>9</v>
      </c>
      <c r="N994" s="104" t="n"/>
      <c r="O994" s="104">
        <f>SUM(J994:N994)</f>
        <v/>
      </c>
      <c r="P994" s="12">
        <f>O994/IF(H994="L",20,IF(H994="U",30,IF(H994="O",40,IF(H994="I",20,""))))</f>
        <v/>
      </c>
      <c r="Q994" s="132">
        <f>IF(AND(H994="L", P994&gt;=50%), "Pass",
IF(AND(H994="U", P994&gt;=60%), "Pass",
IF(AND(H994="O", P994&gt;=75%), "Pass", "Fail")))</f>
        <v/>
      </c>
      <c r="R994" s="104" t="n"/>
      <c r="S994" s="104" t="n">
        <v>20</v>
      </c>
      <c r="T994" s="104" t="n">
        <v>14</v>
      </c>
      <c r="U994" s="104">
        <f>SUM(S994:T994)</f>
        <v/>
      </c>
      <c r="V994" s="12">
        <f>U994/IF(H994="L",35,IF(H994="U",35,IF(H994="O",35,IF(H994="I",35,""))))</f>
        <v/>
      </c>
      <c r="W994" s="132">
        <f>IF(AND(H994="L", V994&gt;=50%), "Pass",
IF(AND(H994="U", V994&gt;=60%), "Pass",
IF(AND(H994="O", V994&gt;=75%), "Pass", "Fail")))</f>
        <v/>
      </c>
      <c r="X994" s="132">
        <f>IF(AND(Q994="Pass", W994="Pass"), "Pass", "Fail")</f>
        <v/>
      </c>
      <c r="Y994" s="15">
        <f>IF($X994="Pass",$H994,
IF(H994="L","I",
IF(H994="U","L",
IF(H994="O","U",
"I"))))</f>
        <v/>
      </c>
    </row>
    <row r="995">
      <c r="A995" s="147">
        <f>ROW()-2</f>
        <v/>
      </c>
      <c r="B995" s="127" t="n">
        <v>905509</v>
      </c>
      <c r="C995" s="128" t="inlineStr">
        <is>
          <t>ARUMUGAM M</t>
        </is>
      </c>
      <c r="D995" s="127" t="inlineStr">
        <is>
          <t>PRODUCTION</t>
        </is>
      </c>
      <c r="E995" s="129" t="inlineStr">
        <is>
          <t>YANTHAI</t>
        </is>
      </c>
      <c r="F995" s="130" t="n">
        <v>44813</v>
      </c>
      <c r="G995" s="131">
        <f>NOW()-F995</f>
        <v/>
      </c>
      <c r="H995" s="104" t="inlineStr">
        <is>
          <t>O</t>
        </is>
      </c>
      <c r="I995" s="104" t="inlineStr">
        <is>
          <t>O</t>
        </is>
      </c>
      <c r="J995" s="104" t="n">
        <v>9</v>
      </c>
      <c r="K995" s="104" t="n">
        <v>7</v>
      </c>
      <c r="L995" s="104" t="n">
        <v>9</v>
      </c>
      <c r="M995" s="104" t="n">
        <v>9</v>
      </c>
      <c r="N995" s="104" t="n"/>
      <c r="O995" s="104">
        <f>SUM(J995:N995)</f>
        <v/>
      </c>
      <c r="P995" s="12">
        <f>O995/IF(H995="L",20,IF(H995="U",30,IF(H995="O",40,IF(H995="I",20,""))))</f>
        <v/>
      </c>
      <c r="Q995" s="132">
        <f>IF(AND(H995="L", P995&gt;=50%), "Pass",
IF(AND(H995="U", P995&gt;=60%), "Pass",
IF(AND(H995="O", P995&gt;=75%), "Pass", "Fail")))</f>
        <v/>
      </c>
      <c r="R995" s="104" t="n"/>
      <c r="S995" s="43" t="n">
        <v>17</v>
      </c>
      <c r="T995" s="43" t="n">
        <v>15</v>
      </c>
      <c r="U995" s="104">
        <f>SUM(S995:T995)</f>
        <v/>
      </c>
      <c r="V995" s="12">
        <f>U995/IF(H995="L",35,IF(H995="U",35,IF(H995="O",35,IF(H995="I",35,""))))</f>
        <v/>
      </c>
      <c r="W995" s="132">
        <f>IF(AND(H995="L", V995&gt;=50%), "Pass",
IF(AND(H995="U", V995&gt;=60%), "Pass",
IF(AND(H995="O", V995&gt;=75%), "Pass", "Fail")))</f>
        <v/>
      </c>
      <c r="X995" s="132">
        <f>IF(AND(Q995="Pass", W995="Pass"), "Pass", "Fail")</f>
        <v/>
      </c>
      <c r="Y995" s="15">
        <f>IF($X995="Pass",$H995,
IF(H995="L","I",
IF(H995="U","L",
IF(H995="O","U",
"I"))))</f>
        <v/>
      </c>
    </row>
    <row r="996">
      <c r="A996" s="147">
        <f>ROW()-2</f>
        <v/>
      </c>
      <c r="B996" s="127" t="n">
        <v>905514</v>
      </c>
      <c r="C996" s="128" t="inlineStr">
        <is>
          <t>M DEEPAN</t>
        </is>
      </c>
      <c r="D996" s="127" t="inlineStr">
        <is>
          <t>PRODUCTION</t>
        </is>
      </c>
      <c r="E996" s="129" t="inlineStr">
        <is>
          <t>TYRE CURING</t>
        </is>
      </c>
      <c r="F996" s="130" t="n">
        <v>44813</v>
      </c>
      <c r="G996" s="131">
        <f>NOW()-F996</f>
        <v/>
      </c>
      <c r="H996" s="104" t="inlineStr">
        <is>
          <t>O</t>
        </is>
      </c>
      <c r="I996" s="104" t="inlineStr">
        <is>
          <t>U</t>
        </is>
      </c>
      <c r="J996" s="104" t="n">
        <v>9</v>
      </c>
      <c r="K996" s="104" t="n">
        <v>9</v>
      </c>
      <c r="L996" s="104" t="n">
        <v>7</v>
      </c>
      <c r="M996" s="104" t="n">
        <v>8</v>
      </c>
      <c r="N996" s="104" t="n"/>
      <c r="O996" s="104">
        <f>SUM(J996:N996)</f>
        <v/>
      </c>
      <c r="P996" s="12">
        <f>O996/IF(H996="L",20,IF(H996="U",30,IF(H996="O",40,IF(H996="I",20,""))))</f>
        <v/>
      </c>
      <c r="Q996" s="132">
        <f>IF(AND(H996="L", P996&gt;=50%), "Pass",
IF(AND(H996="U", P996&gt;=60%), "Pass",
IF(AND(H996="O", P996&gt;=75%), "Pass", "Fail")))</f>
        <v/>
      </c>
      <c r="R996" s="104" t="n"/>
      <c r="S996" s="104" t="n">
        <v>16</v>
      </c>
      <c r="T996" s="104" t="n">
        <v>11</v>
      </c>
      <c r="U996" s="104">
        <f>SUM(S996:T996)</f>
        <v/>
      </c>
      <c r="V996" s="12">
        <f>U996/IF(H996="L",35,IF(H996="U",35,IF(H996="O",35,IF(H996="I",35,""))))</f>
        <v/>
      </c>
      <c r="W996" s="132">
        <f>IF(AND(H996="L", V996&gt;=50%), "Pass",
IF(AND(H996="U", V996&gt;=60%), "Pass",
IF(AND(H996="O", V996&gt;=75%), "Pass", "Fail")))</f>
        <v/>
      </c>
      <c r="X996" s="132">
        <f>IF(AND(Q996="Pass", W996="Pass"), "Pass", "Fail")</f>
        <v/>
      </c>
      <c r="Y996" s="15">
        <f>IF($X996="Pass",$H996,
IF(H996="L","I",
IF(H996="U","L",
IF(H996="O","U",
"I"))))</f>
        <v/>
      </c>
    </row>
    <row r="997">
      <c r="A997" s="147">
        <f>ROW()-2</f>
        <v/>
      </c>
      <c r="B997" s="127" t="n">
        <v>905516</v>
      </c>
      <c r="C997" s="128" t="inlineStr">
        <is>
          <t>M MURUGAN</t>
        </is>
      </c>
      <c r="D997" s="127" t="inlineStr">
        <is>
          <t>PRODUCTION</t>
        </is>
      </c>
      <c r="E997" s="129" t="inlineStr">
        <is>
          <t>RADIAL MARANGONI</t>
        </is>
      </c>
      <c r="F997" s="130" t="n">
        <v>44813</v>
      </c>
      <c r="G997" s="131">
        <f>NOW()-F997</f>
        <v/>
      </c>
      <c r="H997" s="104" t="inlineStr">
        <is>
          <t>O</t>
        </is>
      </c>
      <c r="I997" s="104" t="inlineStr">
        <is>
          <t>O</t>
        </is>
      </c>
      <c r="J997" s="104" t="n">
        <v>9</v>
      </c>
      <c r="K997" s="104" t="n">
        <v>9</v>
      </c>
      <c r="L997" s="104" t="n">
        <v>8</v>
      </c>
      <c r="M997" s="104" t="n">
        <v>8</v>
      </c>
      <c r="N997" s="104" t="n"/>
      <c r="O997" s="104">
        <f>SUM(J997:N997)</f>
        <v/>
      </c>
      <c r="P997" s="12">
        <f>O997/IF(H997="L",20,IF(H997="U",30,IF(H997="O",40,IF(H997="I",20,""))))</f>
        <v/>
      </c>
      <c r="Q997" s="132">
        <f>IF(AND(H997="L", P997&gt;=50%), "Pass",
IF(AND(H997="U", P997&gt;=60%), "Pass",
IF(AND(H997="O", P997&gt;=75%), "Pass", "Fail")))</f>
        <v/>
      </c>
      <c r="R997" s="104" t="n"/>
      <c r="S997" s="104" t="n">
        <v>16</v>
      </c>
      <c r="T997" s="104" t="n">
        <v>12</v>
      </c>
      <c r="U997" s="104">
        <f>SUM(S997:T997)</f>
        <v/>
      </c>
      <c r="V997" s="12">
        <f>U997/IF(H997="L",35,IF(H997="U",35,IF(H997="O",35,IF(H997="I",35,""))))</f>
        <v/>
      </c>
      <c r="W997" s="132">
        <f>IF(AND(H997="L", V997&gt;=50%), "Pass",
IF(AND(H997="U", V997&gt;=60%), "Pass",
IF(AND(H997="O", V997&gt;=75%), "Pass", "Fail")))</f>
        <v/>
      </c>
      <c r="X997" s="132">
        <f>IF(AND(Q997="Pass", W997="Pass"), "Pass", "Fail")</f>
        <v/>
      </c>
      <c r="Y997" s="15">
        <f>IF($X997="Pass",$H997,
IF(H997="L","I",
IF(H997="U","L",
IF(H997="O","U",
"I"))))</f>
        <v/>
      </c>
    </row>
    <row r="998">
      <c r="A998" s="147">
        <f>ROW()-2</f>
        <v/>
      </c>
      <c r="B998" s="127" t="n">
        <v>905519</v>
      </c>
      <c r="C998" s="128" t="inlineStr">
        <is>
          <t>C SUBASH VISWAKARMA</t>
        </is>
      </c>
      <c r="D998" s="127" t="inlineStr">
        <is>
          <t>PRODUCTION</t>
        </is>
      </c>
      <c r="E998" s="129" t="inlineStr">
        <is>
          <t>TYRE BUILDING-P3</t>
        </is>
      </c>
      <c r="F998" s="130" t="n">
        <v>44813</v>
      </c>
      <c r="G998" s="131">
        <f>NOW()-F998</f>
        <v/>
      </c>
      <c r="H998" s="104" t="inlineStr">
        <is>
          <t>O</t>
        </is>
      </c>
      <c r="I998" s="104" t="inlineStr">
        <is>
          <t>U</t>
        </is>
      </c>
      <c r="J998" s="104" t="n">
        <v>6</v>
      </c>
      <c r="K998" s="104" t="n">
        <v>8</v>
      </c>
      <c r="L998" s="104" t="n">
        <v>4</v>
      </c>
      <c r="M998" s="104" t="n">
        <v>7</v>
      </c>
      <c r="N998" s="104" t="n"/>
      <c r="O998" s="104">
        <f>SUM(J998:N998)</f>
        <v/>
      </c>
      <c r="P998" s="12">
        <f>O998/IF(H998="L",20,IF(H998="U",30,IF(H998="O",40,IF(H998="I",20,""))))</f>
        <v/>
      </c>
      <c r="Q998" s="132">
        <f>IF(AND(H998="L", P998&gt;=50%), "Pass",
IF(AND(H998="U", P998&gt;=60%), "Pass",
IF(AND(H998="O", P998&gt;=75%), "Pass", "Fail")))</f>
        <v/>
      </c>
      <c r="R998" s="104" t="n"/>
      <c r="S998" s="104" t="n">
        <v>18</v>
      </c>
      <c r="T998" s="104" t="n">
        <v>14</v>
      </c>
      <c r="U998" s="104">
        <f>SUM(S998:T998)</f>
        <v/>
      </c>
      <c r="V998" s="12">
        <f>U998/IF(H998="L",35,IF(H998="U",35,IF(H998="O",35,IF(H998="I",35,""))))</f>
        <v/>
      </c>
      <c r="W998" s="132">
        <f>IF(AND(H998="L", V998&gt;=50%), "Pass",
IF(AND(H998="U", V998&gt;=60%), "Pass",
IF(AND(H998="O", V998&gt;=75%), "Pass", "Fail")))</f>
        <v/>
      </c>
      <c r="X998" s="132">
        <f>IF(AND(Q998="Pass", W998="Pass"), "Pass", "Fail")</f>
        <v/>
      </c>
      <c r="Y998" s="15">
        <f>IF($X998="Pass",$H998,
IF(H998="L","I",
IF(H998="U","L",
IF(H998="O","U",
"I"))))</f>
        <v/>
      </c>
    </row>
    <row r="999">
      <c r="A999" s="147">
        <f>ROW()-2</f>
        <v/>
      </c>
      <c r="B999" s="127" t="n">
        <v>905520</v>
      </c>
      <c r="C999" s="128" t="inlineStr">
        <is>
          <t>C JAGADISH VISWAKARMA</t>
        </is>
      </c>
      <c r="D999" s="127" t="inlineStr">
        <is>
          <t>PRODUCTION</t>
        </is>
      </c>
      <c r="E999" s="129" t="inlineStr">
        <is>
          <t>TYRE BUILDING-P3</t>
        </is>
      </c>
      <c r="F999" s="130" t="n">
        <v>44813</v>
      </c>
      <c r="G999" s="131">
        <f>NOW()-F999</f>
        <v/>
      </c>
      <c r="H999" s="104" t="inlineStr">
        <is>
          <t>O</t>
        </is>
      </c>
      <c r="I999" s="104" t="inlineStr">
        <is>
          <t>U</t>
        </is>
      </c>
      <c r="J999" s="104" t="n">
        <v>8</v>
      </c>
      <c r="K999" s="104" t="n">
        <v>10</v>
      </c>
      <c r="L999" s="104" t="n">
        <v>6</v>
      </c>
      <c r="M999" s="104" t="n">
        <v>10</v>
      </c>
      <c r="N999" s="104" t="n"/>
      <c r="O999" s="104">
        <f>SUM(J999:N999)</f>
        <v/>
      </c>
      <c r="P999" s="12">
        <f>O999/IF(H999="L",20,IF(H999="U",30,IF(H999="O",40,IF(H999="I",20,""))))</f>
        <v/>
      </c>
      <c r="Q999" s="132">
        <f>IF(AND(H999="L", P999&gt;=50%), "Pass",
IF(AND(H999="U", P999&gt;=60%), "Pass",
IF(AND(H999="O", P999&gt;=75%), "Pass", "Fail")))</f>
        <v/>
      </c>
      <c r="R999" s="104" t="n"/>
      <c r="S999" s="104" t="n">
        <v>16</v>
      </c>
      <c r="T999" s="104" t="n">
        <v>14</v>
      </c>
      <c r="U999" s="104">
        <f>SUM(S999:T999)</f>
        <v/>
      </c>
      <c r="V999" s="12">
        <f>U999/IF(H999="L",35,IF(H999="U",35,IF(H999="O",35,IF(H999="I",35,""))))</f>
        <v/>
      </c>
      <c r="W999" s="132">
        <f>IF(AND(H999="L", V999&gt;=50%), "Pass",
IF(AND(H999="U", V999&gt;=60%), "Pass",
IF(AND(H999="O", V999&gt;=75%), "Pass", "Fail")))</f>
        <v/>
      </c>
      <c r="X999" s="132">
        <f>IF(AND(Q999="Pass", W999="Pass"), "Pass", "Fail")</f>
        <v/>
      </c>
      <c r="Y999" s="15">
        <f>IF($X999="Pass",$H999,
IF(H999="L","I",
IF(H999="U","L",
IF(H999="O","U",
"I"))))</f>
        <v/>
      </c>
      <c r="Z999" s="81">
        <f>V999-75%</f>
        <v/>
      </c>
    </row>
    <row r="1000">
      <c r="A1000" s="147">
        <f>ROW()-2</f>
        <v/>
      </c>
      <c r="B1000" s="127" t="n">
        <v>905521</v>
      </c>
      <c r="C1000" s="128" t="inlineStr">
        <is>
          <t>K SABARINATHAN</t>
        </is>
      </c>
      <c r="D1000" s="127" t="inlineStr">
        <is>
          <t>PRODUCTION</t>
        </is>
      </c>
      <c r="E1000" s="129" t="inlineStr">
        <is>
          <t>STEELASTIC</t>
        </is>
      </c>
      <c r="F1000" s="130" t="n">
        <v>44813</v>
      </c>
      <c r="G1000" s="131">
        <f>NOW()-F1000</f>
        <v/>
      </c>
      <c r="H1000" s="104" t="inlineStr">
        <is>
          <t>O</t>
        </is>
      </c>
      <c r="I1000" s="104" t="inlineStr">
        <is>
          <t>O</t>
        </is>
      </c>
      <c r="J1000" s="104" t="n">
        <v>10</v>
      </c>
      <c r="K1000" s="104" t="n">
        <v>8</v>
      </c>
      <c r="L1000" s="104" t="n">
        <v>6</v>
      </c>
      <c r="M1000" s="104" t="n">
        <v>10</v>
      </c>
      <c r="N1000" s="104" t="n"/>
      <c r="O1000" s="104">
        <f>SUM(J1000:N1000)</f>
        <v/>
      </c>
      <c r="P1000" s="12">
        <f>O1000/IF(H1000="L",20,IF(H1000="U",30,IF(H1000="O",40,IF(H1000="I",20,""))))</f>
        <v/>
      </c>
      <c r="Q1000" s="132">
        <f>IF(AND(H1000="L", P1000&gt;=50%), "Pass",
IF(AND(H1000="U", P1000&gt;=60%), "Pass",
IF(AND(H1000="O", P1000&gt;=75%), "Pass", "Fail")))</f>
        <v/>
      </c>
      <c r="R1000" s="104" t="n"/>
      <c r="S1000" s="104" t="n">
        <v>20</v>
      </c>
      <c r="T1000" s="104" t="n">
        <v>14</v>
      </c>
      <c r="U1000" s="104">
        <f>SUM(S1000:T1000)</f>
        <v/>
      </c>
      <c r="V1000" s="12">
        <f>U1000/IF(H1000="L",35,IF(H1000="U",35,IF(H1000="O",35,IF(H1000="I",35,""))))</f>
        <v/>
      </c>
      <c r="W1000" s="132">
        <f>IF(AND(H1000="L", V1000&gt;=50%), "Pass",
IF(AND(H1000="U", V1000&gt;=60%), "Pass",
IF(AND(H1000="O", V1000&gt;=75%), "Pass", "Fail")))</f>
        <v/>
      </c>
      <c r="X1000" s="132">
        <f>IF(AND(Q1000="Pass", W1000="Pass"), "Pass", "Fail")</f>
        <v/>
      </c>
      <c r="Y1000" s="15">
        <f>IF($X1000="Pass",$H1000,
IF(H1000="L","I",
IF(H1000="U","L",
IF(H1000="O","U",
"I"))))</f>
        <v/>
      </c>
    </row>
    <row r="1001">
      <c r="A1001" s="147">
        <f>ROW()-2</f>
        <v/>
      </c>
      <c r="B1001" s="127" t="n">
        <v>905524</v>
      </c>
      <c r="C1001" s="128" t="inlineStr">
        <is>
          <t>J RAJAMANSINGH</t>
        </is>
      </c>
      <c r="D1001" s="127" t="inlineStr">
        <is>
          <t>PRODUCTION</t>
        </is>
      </c>
      <c r="E1001" s="129" t="inlineStr">
        <is>
          <t>TYRE BUILDING-P2</t>
        </is>
      </c>
      <c r="F1001" s="130" t="n">
        <v>44813</v>
      </c>
      <c r="G1001" s="131">
        <f>NOW()-F1001</f>
        <v/>
      </c>
      <c r="H1001" s="104" t="inlineStr">
        <is>
          <t>O</t>
        </is>
      </c>
      <c r="I1001" s="104" t="inlineStr">
        <is>
          <t>U</t>
        </is>
      </c>
      <c r="J1001" s="104" t="n">
        <v>9</v>
      </c>
      <c r="K1001" s="104" t="n">
        <v>9</v>
      </c>
      <c r="L1001" s="104" t="n">
        <v>10</v>
      </c>
      <c r="M1001" s="104" t="n">
        <v>7</v>
      </c>
      <c r="N1001" s="104" t="n"/>
      <c r="O1001" s="104">
        <f>SUM(J1001:N1001)</f>
        <v/>
      </c>
      <c r="P1001" s="12">
        <f>O1001/IF(H1001="L",20,IF(H1001="U",30,IF(H1001="O",40,IF(H1001="I",20,""))))</f>
        <v/>
      </c>
      <c r="Q1001" s="132">
        <f>IF(AND(H1001="L", P1001&gt;=50%), "Pass",
IF(AND(H1001="U", P1001&gt;=60%), "Pass",
IF(AND(H1001="O", P1001&gt;=75%), "Pass", "Fail")))</f>
        <v/>
      </c>
      <c r="R1001" s="104" t="n"/>
      <c r="S1001" s="104" t="n">
        <v>14</v>
      </c>
      <c r="T1001" s="104" t="n">
        <v>11</v>
      </c>
      <c r="U1001" s="104">
        <f>SUM(S1001:T1001)</f>
        <v/>
      </c>
      <c r="V1001" s="12">
        <f>U1001/IF(H1001="L",35,IF(H1001="U",35,IF(H1001="O",35,IF(H1001="I",35,""))))</f>
        <v/>
      </c>
      <c r="W1001" s="132">
        <f>IF(AND(H1001="L", V1001&gt;=50%), "Pass",
IF(AND(H1001="U", V1001&gt;=60%), "Pass",
IF(AND(H1001="O", V1001&gt;=75%), "Pass", "Fail")))</f>
        <v/>
      </c>
      <c r="X1001" s="132">
        <f>IF(AND(Q1001="Pass", W1001="Pass"), "Pass", "Fail")</f>
        <v/>
      </c>
      <c r="Y1001" s="15">
        <f>IF($X1001="Pass",$H1001,
IF(H1001="L","I",
IF(H1001="U","L",
IF(H1001="O","U",
"I"))))</f>
        <v/>
      </c>
    </row>
    <row r="1002">
      <c r="A1002" s="147">
        <f>ROW()-2</f>
        <v/>
      </c>
      <c r="B1002" s="127" t="n">
        <v>905525</v>
      </c>
      <c r="C1002" s="128" t="inlineStr">
        <is>
          <t>C SURESH</t>
        </is>
      </c>
      <c r="D1002" s="127" t="inlineStr">
        <is>
          <t>PRODUCTION</t>
        </is>
      </c>
      <c r="E1002" s="129" t="inlineStr">
        <is>
          <t>BAND BUILDING-P2</t>
        </is>
      </c>
      <c r="F1002" s="130" t="n">
        <v>44813</v>
      </c>
      <c r="G1002" s="131">
        <f>NOW()-F1002</f>
        <v/>
      </c>
      <c r="H1002" s="104" t="inlineStr">
        <is>
          <t>O</t>
        </is>
      </c>
      <c r="I1002" s="104" t="inlineStr">
        <is>
          <t>O</t>
        </is>
      </c>
      <c r="J1002" s="104" t="n">
        <v>9</v>
      </c>
      <c r="K1002" s="104" t="n">
        <v>7</v>
      </c>
      <c r="L1002" s="104" t="n">
        <v>7</v>
      </c>
      <c r="M1002" s="104" t="n">
        <v>8</v>
      </c>
      <c r="N1002" s="104" t="n"/>
      <c r="O1002" s="104">
        <f>SUM(J1002:N1002)</f>
        <v/>
      </c>
      <c r="P1002" s="12">
        <f>O1002/IF(H1002="L",20,IF(H1002="U",30,IF(H1002="O",40,IF(H1002="I",20,""))))</f>
        <v/>
      </c>
      <c r="Q1002" s="132">
        <f>IF(AND(H1002="L", P1002&gt;=50%), "Pass",
IF(AND(H1002="U", P1002&gt;=60%), "Pass",
IF(AND(H1002="O", P1002&gt;=75%), "Pass", "Fail")))</f>
        <v/>
      </c>
      <c r="R1002" s="104" t="n"/>
      <c r="S1002" s="104" t="n">
        <v>16</v>
      </c>
      <c r="T1002" s="104" t="n">
        <v>12</v>
      </c>
      <c r="U1002" s="104">
        <f>SUM(S1002:T1002)</f>
        <v/>
      </c>
      <c r="V1002" s="12">
        <f>U1002/IF(H1002="L",35,IF(H1002="U",35,IF(H1002="O",35,IF(H1002="I",35,""))))</f>
        <v/>
      </c>
      <c r="W1002" s="132">
        <f>IF(AND(H1002="L", V1002&gt;=50%), "Pass",
IF(AND(H1002="U", V1002&gt;=60%), "Pass",
IF(AND(H1002="O", V1002&gt;=75%), "Pass", "Fail")))</f>
        <v/>
      </c>
      <c r="X1002" s="132">
        <f>IF(AND(Q1002="Pass", W1002="Pass"), "Pass", "Fail")</f>
        <v/>
      </c>
      <c r="Y1002" s="15">
        <f>IF($X1002="Pass",$H1002,
IF(H1002="L","I",
IF(H1002="U","L",
IF(H1002="O","U",
"I"))))</f>
        <v/>
      </c>
    </row>
    <row r="1003">
      <c r="A1003" s="147">
        <f>ROW()-2</f>
        <v/>
      </c>
      <c r="B1003" s="127" t="n">
        <v>905527</v>
      </c>
      <c r="C1003" s="128" t="inlineStr">
        <is>
          <t>M AKHILESH KUMAR VERMA</t>
        </is>
      </c>
      <c r="D1003" s="127" t="inlineStr">
        <is>
          <t>PRODUCTION</t>
        </is>
      </c>
      <c r="E1003" s="129" t="inlineStr">
        <is>
          <t>TYRE BUILDING-P3</t>
        </is>
      </c>
      <c r="F1003" s="130" t="n">
        <v>44813</v>
      </c>
      <c r="G1003" s="131">
        <f>NOW()-F1003</f>
        <v/>
      </c>
      <c r="H1003" s="104" t="inlineStr">
        <is>
          <t>O</t>
        </is>
      </c>
      <c r="I1003" s="104" t="inlineStr">
        <is>
          <t>U</t>
        </is>
      </c>
      <c r="J1003" s="104" t="n">
        <v>10</v>
      </c>
      <c r="K1003" s="104" t="n">
        <v>4</v>
      </c>
      <c r="L1003" s="104" t="n">
        <v>8</v>
      </c>
      <c r="M1003" s="104" t="n">
        <v>7</v>
      </c>
      <c r="N1003" s="104" t="n"/>
      <c r="O1003" s="104">
        <f>SUM(J1003:N1003)</f>
        <v/>
      </c>
      <c r="P1003" s="12">
        <f>O1003/IF(H1003="L",20,IF(H1003="U",30,IF(H1003="O",40,IF(H1003="I",20,""))))</f>
        <v/>
      </c>
      <c r="Q1003" s="132">
        <f>IF(AND(H1003="L", P1003&gt;=50%), "Pass",
IF(AND(H1003="U", P1003&gt;=60%), "Pass",
IF(AND(H1003="O", P1003&gt;=75%), "Pass", "Fail")))</f>
        <v/>
      </c>
      <c r="R1003" s="104" t="n"/>
      <c r="S1003" s="104" t="n">
        <v>20</v>
      </c>
      <c r="T1003" s="104" t="n">
        <v>15</v>
      </c>
      <c r="U1003" s="104">
        <f>SUM(S1003:T1003)</f>
        <v/>
      </c>
      <c r="V1003" s="12">
        <f>U1003/IF(H1003="L",35,IF(H1003="U",35,IF(H1003="O",35,IF(H1003="I",35,""))))</f>
        <v/>
      </c>
      <c r="W1003" s="132">
        <f>IF(AND(H1003="L", V1003&gt;=50%), "Pass",
IF(AND(H1003="U", V1003&gt;=60%), "Pass",
IF(AND(H1003="O", V1003&gt;=75%), "Pass", "Fail")))</f>
        <v/>
      </c>
      <c r="X1003" s="132">
        <f>IF(AND(Q1003="Pass", W1003="Pass"), "Pass", "Fail")</f>
        <v/>
      </c>
      <c r="Y1003" s="15">
        <f>IF($X1003="Pass",$H1003,
IF(H1003="L","I",
IF(H1003="U","L",
IF(H1003="O","U",
"I"))))</f>
        <v/>
      </c>
    </row>
    <row r="1004">
      <c r="A1004" s="147">
        <f>ROW()-2</f>
        <v/>
      </c>
      <c r="B1004" s="127" t="n">
        <v>905528</v>
      </c>
      <c r="C1004" s="128" t="inlineStr">
        <is>
          <t>P DHARMARAJAN</t>
        </is>
      </c>
      <c r="D1004" s="127" t="inlineStr">
        <is>
          <t>PRODUCTION</t>
        </is>
      </c>
      <c r="E1004" s="129" t="inlineStr">
        <is>
          <t>TYRE BUILDING-P2</t>
        </is>
      </c>
      <c r="F1004" s="130" t="n">
        <v>44813</v>
      </c>
      <c r="G1004" s="131">
        <f>NOW()-F1004</f>
        <v/>
      </c>
      <c r="H1004" s="104" t="inlineStr">
        <is>
          <t>O</t>
        </is>
      </c>
      <c r="I1004" s="104" t="inlineStr">
        <is>
          <t>O</t>
        </is>
      </c>
      <c r="J1004" s="104" t="n">
        <v>9</v>
      </c>
      <c r="K1004" s="104" t="n">
        <v>9</v>
      </c>
      <c r="L1004" s="104" t="n">
        <v>7</v>
      </c>
      <c r="M1004" s="104" t="n">
        <v>10</v>
      </c>
      <c r="N1004" s="104" t="n"/>
      <c r="O1004" s="104">
        <f>SUM(J1004:N1004)</f>
        <v/>
      </c>
      <c r="P1004" s="12">
        <f>O1004/IF(H1004="L",20,IF(H1004="U",30,IF(H1004="O",40,IF(H1004="I",20,""))))</f>
        <v/>
      </c>
      <c r="Q1004" s="132">
        <f>IF(AND(H1004="L", P1004&gt;=50%), "Pass",
IF(AND(H1004="U", P1004&gt;=60%), "Pass",
IF(AND(H1004="O", P1004&gt;=75%), "Pass", "Fail")))</f>
        <v/>
      </c>
      <c r="R1004" s="104" t="n"/>
      <c r="S1004" s="104" t="n">
        <v>14</v>
      </c>
      <c r="T1004" s="104" t="n">
        <v>10</v>
      </c>
      <c r="U1004" s="104">
        <f>SUM(S1004:T1004)</f>
        <v/>
      </c>
      <c r="V1004" s="12">
        <f>U1004/IF(H1004="L",35,IF(H1004="U",35,IF(H1004="O",35,IF(H1004="I",35,""))))</f>
        <v/>
      </c>
      <c r="W1004" s="132">
        <f>IF(AND(H1004="L", V1004&gt;=50%), "Pass",
IF(AND(H1004="U", V1004&gt;=60%), "Pass",
IF(AND(H1004="O", V1004&gt;=75%), "Pass", "Fail")))</f>
        <v/>
      </c>
      <c r="X1004" s="132">
        <f>IF(AND(Q1004="Pass", W1004="Pass"), "Pass", "Fail")</f>
        <v/>
      </c>
      <c r="Y1004" s="15">
        <f>IF($X1004="Pass",$H1004,
IF(H1004="L","I",
IF(H1004="U","L",
IF(H1004="O","U",
"I"))))</f>
        <v/>
      </c>
    </row>
    <row r="1005">
      <c r="A1005" s="147">
        <f>ROW()-2</f>
        <v/>
      </c>
      <c r="B1005" s="127" t="n">
        <v>905530</v>
      </c>
      <c r="C1005" s="128" t="inlineStr">
        <is>
          <t>R RAMAKRISHNAN</t>
        </is>
      </c>
      <c r="D1005" s="127" t="inlineStr">
        <is>
          <t>PRODUCTION</t>
        </is>
      </c>
      <c r="E1005" s="129" t="inlineStr">
        <is>
          <t>TYRE BUILDING-P2</t>
        </is>
      </c>
      <c r="F1005" s="130" t="n">
        <v>44813</v>
      </c>
      <c r="G1005" s="131">
        <f>NOW()-F1005</f>
        <v/>
      </c>
      <c r="H1005" s="104" t="inlineStr">
        <is>
          <t>O</t>
        </is>
      </c>
      <c r="I1005" s="104" t="inlineStr">
        <is>
          <t>U</t>
        </is>
      </c>
      <c r="J1005" s="104" t="n">
        <v>10</v>
      </c>
      <c r="K1005" s="104" t="n">
        <v>9</v>
      </c>
      <c r="L1005" s="104" t="n">
        <v>8</v>
      </c>
      <c r="M1005" s="104" t="n">
        <v>8</v>
      </c>
      <c r="N1005" s="104" t="n"/>
      <c r="O1005" s="104">
        <f>SUM(J1005:N1005)</f>
        <v/>
      </c>
      <c r="P1005" s="12">
        <f>O1005/IF(H1005="L",20,IF(H1005="U",30,IF(H1005="O",40,IF(H1005="I",20,""))))</f>
        <v/>
      </c>
      <c r="Q1005" s="132">
        <f>IF(AND(H1005="L", P1005&gt;=50%), "Pass",
IF(AND(H1005="U", P1005&gt;=60%), "Pass",
IF(AND(H1005="O", P1005&gt;=75%), "Pass", "Fail")))</f>
        <v/>
      </c>
      <c r="R1005" s="104" t="n"/>
      <c r="S1005" s="104" t="n">
        <v>13</v>
      </c>
      <c r="T1005" s="104" t="n">
        <v>10</v>
      </c>
      <c r="U1005" s="104">
        <f>SUM(S1005:T1005)</f>
        <v/>
      </c>
      <c r="V1005" s="12">
        <f>U1005/IF(H1005="L",35,IF(H1005="U",35,IF(H1005="O",35,IF(H1005="I",35,""))))</f>
        <v/>
      </c>
      <c r="W1005" s="132">
        <f>IF(AND(H1005="L", V1005&gt;=50%), "Pass",
IF(AND(H1005="U", V1005&gt;=60%), "Pass",
IF(AND(H1005="O", V1005&gt;=75%), "Pass", "Fail")))</f>
        <v/>
      </c>
      <c r="X1005" s="132">
        <f>IF(AND(Q1005="Pass", W1005="Pass"), "Pass", "Fail")</f>
        <v/>
      </c>
      <c r="Y1005" s="15">
        <f>IF($X1005="Pass",$H1005,
IF(H1005="L","I",
IF(H1005="U","L",
IF(H1005="O","U",
"I"))))</f>
        <v/>
      </c>
    </row>
    <row r="1006">
      <c r="A1006" s="147">
        <f>ROW()-2</f>
        <v/>
      </c>
      <c r="B1006" s="127" t="n">
        <v>905531</v>
      </c>
      <c r="C1006" s="128" t="inlineStr">
        <is>
          <t>A RAMA NAMBI</t>
        </is>
      </c>
      <c r="D1006" s="127" t="inlineStr">
        <is>
          <t>PRODUCTION</t>
        </is>
      </c>
      <c r="E1006" s="129" t="inlineStr">
        <is>
          <t>TYRE BUILDING-P3</t>
        </is>
      </c>
      <c r="F1006" s="130" t="n">
        <v>44813</v>
      </c>
      <c r="G1006" s="131">
        <f>NOW()-F1006</f>
        <v/>
      </c>
      <c r="H1006" s="104" t="inlineStr">
        <is>
          <t>O</t>
        </is>
      </c>
      <c r="I1006" s="104" t="inlineStr">
        <is>
          <t>U</t>
        </is>
      </c>
      <c r="J1006" s="104" t="n">
        <v>10</v>
      </c>
      <c r="K1006" s="104" t="n">
        <v>8</v>
      </c>
      <c r="L1006" s="104" t="n">
        <v>5</v>
      </c>
      <c r="M1006" s="104" t="n">
        <v>10</v>
      </c>
      <c r="N1006" s="104" t="n"/>
      <c r="O1006" s="104">
        <f>SUM(J1006:N1006)</f>
        <v/>
      </c>
      <c r="P1006" s="12">
        <f>O1006/IF(H1006="L",20,IF(H1006="U",30,IF(H1006="O",40,IF(H1006="I",20,""))))</f>
        <v/>
      </c>
      <c r="Q1006" s="132">
        <f>IF(AND(H1006="L", P1006&gt;=50%), "Pass",
IF(AND(H1006="U", P1006&gt;=60%), "Pass",
IF(AND(H1006="O", P1006&gt;=75%), "Pass", "Fail")))</f>
        <v/>
      </c>
      <c r="R1006" s="104" t="n"/>
      <c r="S1006" s="104" t="n">
        <v>17</v>
      </c>
      <c r="T1006" s="104" t="n">
        <v>15</v>
      </c>
      <c r="U1006" s="104">
        <f>SUM(S1006:T1006)</f>
        <v/>
      </c>
      <c r="V1006" s="12">
        <f>U1006/IF(H1006="L",35,IF(H1006="U",35,IF(H1006="O",35,IF(H1006="I",35,""))))</f>
        <v/>
      </c>
      <c r="W1006" s="132">
        <f>IF(AND(H1006="L", V1006&gt;=50%), "Pass",
IF(AND(H1006="U", V1006&gt;=60%), "Pass",
IF(AND(H1006="O", V1006&gt;=75%), "Pass", "Fail")))</f>
        <v/>
      </c>
      <c r="X1006" s="132">
        <f>IF(AND(Q1006="Pass", W1006="Pass"), "Pass", "Fail")</f>
        <v/>
      </c>
      <c r="Y1006" s="15">
        <f>IF($X1006="Pass",$H1006,
IF(H1006="L","I",
IF(H1006="U","L",
IF(H1006="O","U",
"I"))))</f>
        <v/>
      </c>
    </row>
    <row r="1007">
      <c r="A1007" s="147">
        <f>ROW()-2</f>
        <v/>
      </c>
      <c r="B1007" s="127" t="n">
        <v>905533</v>
      </c>
      <c r="C1007" s="128" t="inlineStr">
        <is>
          <t>P ARUNACHALAM</t>
        </is>
      </c>
      <c r="D1007" s="127" t="inlineStr">
        <is>
          <t>PRODUCTION</t>
        </is>
      </c>
      <c r="E1007" s="129" t="inlineStr">
        <is>
          <t>BEAD WINDING</t>
        </is>
      </c>
      <c r="F1007" s="130" t="n">
        <v>44813</v>
      </c>
      <c r="G1007" s="131">
        <f>NOW()-F1007</f>
        <v/>
      </c>
      <c r="H1007" s="104" t="inlineStr">
        <is>
          <t>O</t>
        </is>
      </c>
      <c r="I1007" s="104" t="inlineStr">
        <is>
          <t>U</t>
        </is>
      </c>
      <c r="J1007" s="104" t="n">
        <v>6</v>
      </c>
      <c r="K1007" s="104" t="n">
        <v>8</v>
      </c>
      <c r="L1007" s="104" t="n">
        <v>6</v>
      </c>
      <c r="M1007" s="104" t="n">
        <v>6</v>
      </c>
      <c r="N1007" s="104" t="n"/>
      <c r="O1007" s="104">
        <f>SUM(J1007:N1007)</f>
        <v/>
      </c>
      <c r="P1007" s="12">
        <f>O1007/IF(H1007="L",20,IF(H1007="U",30,IF(H1007="O",40,IF(H1007="I",20,""))))</f>
        <v/>
      </c>
      <c r="Q1007" s="132">
        <f>IF(AND(H1007="L", P1007&gt;=50%), "Pass",
IF(AND(H1007="U", P1007&gt;=60%), "Pass",
IF(AND(H1007="O", P1007&gt;=75%), "Pass", "Fail")))</f>
        <v/>
      </c>
      <c r="R1007" s="104" t="n"/>
      <c r="S1007" s="104" t="n">
        <v>16</v>
      </c>
      <c r="T1007" s="104" t="n">
        <v>11</v>
      </c>
      <c r="U1007" s="104">
        <f>SUM(S1007:T1007)</f>
        <v/>
      </c>
      <c r="V1007" s="12">
        <f>U1007/IF(H1007="L",35,IF(H1007="U",35,IF(H1007="O",35,IF(H1007="I",35,""))))</f>
        <v/>
      </c>
      <c r="W1007" s="132">
        <f>IF(AND(H1007="L", V1007&gt;=50%), "Pass",
IF(AND(H1007="U", V1007&gt;=60%), "Pass",
IF(AND(H1007="O", V1007&gt;=75%), "Pass", "Fail")))</f>
        <v/>
      </c>
      <c r="X1007" s="132">
        <f>IF(AND(Q1007="Pass", W1007="Pass"), "Pass", "Fail")</f>
        <v/>
      </c>
      <c r="Y1007" s="15">
        <f>IF($X1007="Pass",$H1007,
IF(H1007="L","I",
IF(H1007="U","L",
IF(H1007="O","U",
"I"))))</f>
        <v/>
      </c>
    </row>
    <row r="1008">
      <c r="A1008" s="147">
        <f>ROW()-2</f>
        <v/>
      </c>
      <c r="B1008" s="127" t="n">
        <v>905534</v>
      </c>
      <c r="C1008" s="128" t="inlineStr">
        <is>
          <t>B KARTHIKEYAN</t>
        </is>
      </c>
      <c r="D1008" s="127" t="inlineStr">
        <is>
          <t>PRODUCTION</t>
        </is>
      </c>
      <c r="E1008" s="129" t="inlineStr">
        <is>
          <t>BAND BUILDING-P2</t>
        </is>
      </c>
      <c r="F1008" s="130" t="n">
        <v>44813</v>
      </c>
      <c r="G1008" s="131">
        <f>NOW()-F1008</f>
        <v/>
      </c>
      <c r="H1008" s="104" t="inlineStr">
        <is>
          <t>O</t>
        </is>
      </c>
      <c r="I1008" s="104" t="inlineStr">
        <is>
          <t>O</t>
        </is>
      </c>
      <c r="J1008" s="104" t="n">
        <v>7</v>
      </c>
      <c r="K1008" s="104" t="n">
        <v>8</v>
      </c>
      <c r="L1008" s="104" t="n">
        <v>9</v>
      </c>
      <c r="M1008" s="104" t="n">
        <v>9</v>
      </c>
      <c r="N1008" s="104" t="n"/>
      <c r="O1008" s="104">
        <f>SUM(J1008:N1008)</f>
        <v/>
      </c>
      <c r="P1008" s="12">
        <f>O1008/IF(H1008="L",20,IF(H1008="U",30,IF(H1008="O",40,IF(H1008="I",20,""))))</f>
        <v/>
      </c>
      <c r="Q1008" s="132">
        <f>IF(AND(H1008="L", P1008&gt;=50%), "Pass",
IF(AND(H1008="U", P1008&gt;=60%), "Pass",
IF(AND(H1008="O", P1008&gt;=75%), "Pass", "Fail")))</f>
        <v/>
      </c>
      <c r="R1008" s="104" t="n"/>
      <c r="S1008" s="104" t="n">
        <v>14</v>
      </c>
      <c r="T1008" s="104" t="n">
        <v>9</v>
      </c>
      <c r="U1008" s="104">
        <f>SUM(S1008:T1008)</f>
        <v/>
      </c>
      <c r="V1008" s="12">
        <f>U1008/IF(H1008="L",35,IF(H1008="U",35,IF(H1008="O",35,IF(H1008="I",35,""))))</f>
        <v/>
      </c>
      <c r="W1008" s="132">
        <f>IF(AND(H1008="L", V1008&gt;=50%), "Pass",
IF(AND(H1008="U", V1008&gt;=60%), "Pass",
IF(AND(H1008="O", V1008&gt;=75%), "Pass", "Fail")))</f>
        <v/>
      </c>
      <c r="X1008" s="132">
        <f>IF(AND(Q1008="Pass", W1008="Pass"), "Pass", "Fail")</f>
        <v/>
      </c>
      <c r="Y1008" s="15">
        <f>IF($X1008="Pass",$H1008,
IF(H1008="L","I",
IF(H1008="U","L",
IF(H1008="O","U",
"I"))))</f>
        <v/>
      </c>
    </row>
    <row r="1009">
      <c r="A1009" s="147">
        <f>ROW()-2</f>
        <v/>
      </c>
      <c r="B1009" s="127" t="n">
        <v>905539</v>
      </c>
      <c r="C1009" s="128" t="inlineStr">
        <is>
          <t>P ALAGUMURUGAN</t>
        </is>
      </c>
      <c r="D1009" s="127" t="inlineStr">
        <is>
          <t>PRODUCTION</t>
        </is>
      </c>
      <c r="E1009" s="129" t="inlineStr">
        <is>
          <t>TYRE BUILDING-P3</t>
        </is>
      </c>
      <c r="F1009" s="130" t="n">
        <v>44813</v>
      </c>
      <c r="G1009" s="131">
        <f>NOW()-F1009</f>
        <v/>
      </c>
      <c r="H1009" s="104" t="inlineStr">
        <is>
          <t>O</t>
        </is>
      </c>
      <c r="I1009" s="104" t="inlineStr">
        <is>
          <t>U</t>
        </is>
      </c>
      <c r="J1009" s="104" t="n">
        <v>9</v>
      </c>
      <c r="K1009" s="104" t="n">
        <v>10</v>
      </c>
      <c r="L1009" s="104" t="n">
        <v>8</v>
      </c>
      <c r="M1009" s="104" t="n">
        <v>6</v>
      </c>
      <c r="N1009" s="104" t="n"/>
      <c r="O1009" s="104">
        <f>SUM(J1009:N1009)</f>
        <v/>
      </c>
      <c r="P1009" s="12">
        <f>O1009/IF(H1009="L",20,IF(H1009="U",30,IF(H1009="O",40,IF(H1009="I",20,""))))</f>
        <v/>
      </c>
      <c r="Q1009" s="132">
        <f>IF(AND(H1009="L", P1009&gt;=50%), "Pass",
IF(AND(H1009="U", P1009&gt;=60%), "Pass",
IF(AND(H1009="O", P1009&gt;=75%), "Pass", "Fail")))</f>
        <v/>
      </c>
      <c r="R1009" s="104" t="n"/>
      <c r="S1009" s="104" t="n">
        <v>18</v>
      </c>
      <c r="T1009" s="104" t="n">
        <v>14</v>
      </c>
      <c r="U1009" s="104">
        <f>SUM(S1009:T1009)</f>
        <v/>
      </c>
      <c r="V1009" s="12">
        <f>U1009/IF(H1009="L",35,IF(H1009="U",35,IF(H1009="O",35,IF(H1009="I",35,""))))</f>
        <v/>
      </c>
      <c r="W1009" s="132">
        <f>IF(AND(H1009="L", V1009&gt;=50%), "Pass",
IF(AND(H1009="U", V1009&gt;=60%), "Pass",
IF(AND(H1009="O", V1009&gt;=75%), "Pass", "Fail")))</f>
        <v/>
      </c>
      <c r="X1009" s="132">
        <f>IF(AND(Q1009="Pass", W1009="Pass"), "Pass", "Fail")</f>
        <v/>
      </c>
      <c r="Y1009" s="15">
        <f>IF($X1009="Pass",$H1009,
IF(H1009="L","I",
IF(H1009="U","L",
IF(H1009="O","U",
"I"))))</f>
        <v/>
      </c>
    </row>
    <row r="1010">
      <c r="A1010" s="147">
        <f>ROW()-2</f>
        <v/>
      </c>
      <c r="B1010" s="127" t="n">
        <v>905541</v>
      </c>
      <c r="C1010" s="128" t="inlineStr">
        <is>
          <t>K MARIMUTHU</t>
        </is>
      </c>
      <c r="D1010" s="127" t="inlineStr">
        <is>
          <t>PRODUCTION</t>
        </is>
      </c>
      <c r="E1010" s="129" t="inlineStr">
        <is>
          <t>TYRE BUILDING-P1</t>
        </is>
      </c>
      <c r="F1010" s="130" t="n">
        <v>44813</v>
      </c>
      <c r="G1010" s="131">
        <f>NOW()-F1010</f>
        <v/>
      </c>
      <c r="H1010" s="104" t="inlineStr">
        <is>
          <t>O</t>
        </is>
      </c>
      <c r="I1010" s="104" t="inlineStr">
        <is>
          <t>U</t>
        </is>
      </c>
      <c r="J1010" s="104" t="n">
        <v>8</v>
      </c>
      <c r="K1010" s="104" t="n">
        <v>10</v>
      </c>
      <c r="L1010" s="104" t="n">
        <v>9</v>
      </c>
      <c r="M1010" s="104" t="n">
        <v>8</v>
      </c>
      <c r="N1010" s="104" t="n"/>
      <c r="O1010" s="104">
        <f>SUM(J1010:N1010)</f>
        <v/>
      </c>
      <c r="P1010" s="12">
        <f>O1010/IF(H1010="L",20,IF(H1010="U",30,IF(H1010="O",40,IF(H1010="I",20,""))))</f>
        <v/>
      </c>
      <c r="Q1010" s="132">
        <f>IF(AND(H1010="L", P1010&gt;=50%), "Pass",
IF(AND(H1010="U", P1010&gt;=60%), "Pass",
IF(AND(H1010="O", P1010&gt;=75%), "Pass", "Fail")))</f>
        <v/>
      </c>
      <c r="R1010" s="104" t="n"/>
      <c r="S1010" s="104" t="n">
        <v>11</v>
      </c>
      <c r="T1010" s="104" t="n">
        <v>12</v>
      </c>
      <c r="U1010" s="104">
        <f>SUM(S1010:T1010)</f>
        <v/>
      </c>
      <c r="V1010" s="12">
        <f>U1010/IF(H1010="L",35,IF(H1010="U",35,IF(H1010="O",35,IF(H1010="I",35,""))))</f>
        <v/>
      </c>
      <c r="W1010" s="132">
        <f>IF(AND(H1010="L", V1010&gt;=50%), "Pass",
IF(AND(H1010="U", V1010&gt;=60%), "Pass",
IF(AND(H1010="O", V1010&gt;=75%), "Pass", "Fail")))</f>
        <v/>
      </c>
      <c r="X1010" s="132">
        <f>IF(AND(Q1010="Pass", W1010="Pass"), "Pass", "Fail")</f>
        <v/>
      </c>
      <c r="Y1010" s="15">
        <f>IF($X1010="Pass",$H1010,
IF(H1010="L","I",
IF(H1010="U","L",
IF(H1010="O","U",
"I"))))</f>
        <v/>
      </c>
    </row>
    <row r="1011">
      <c r="A1011" s="147">
        <f>ROW()-2</f>
        <v/>
      </c>
      <c r="B1011" s="127" t="n">
        <v>905543</v>
      </c>
      <c r="C1011" s="128" t="inlineStr">
        <is>
          <t>D KAILASAMARI</t>
        </is>
      </c>
      <c r="D1011" s="127" t="inlineStr">
        <is>
          <t>PRODUCTION</t>
        </is>
      </c>
      <c r="E1011" s="129" t="inlineStr">
        <is>
          <t>TYRE BUILDING-P3</t>
        </is>
      </c>
      <c r="F1011" s="130" t="n">
        <v>44813</v>
      </c>
      <c r="G1011" s="131">
        <f>NOW()-F1011</f>
        <v/>
      </c>
      <c r="H1011" s="104" t="inlineStr">
        <is>
          <t>O</t>
        </is>
      </c>
      <c r="I1011" s="104" t="inlineStr">
        <is>
          <t>U</t>
        </is>
      </c>
      <c r="J1011" s="104" t="n">
        <v>10</v>
      </c>
      <c r="K1011" s="104" t="n">
        <v>10</v>
      </c>
      <c r="L1011" s="104" t="n">
        <v>8</v>
      </c>
      <c r="M1011" s="104" t="n">
        <v>10</v>
      </c>
      <c r="N1011" s="104" t="n"/>
      <c r="O1011" s="104">
        <f>SUM(J1011:N1011)</f>
        <v/>
      </c>
      <c r="P1011" s="12">
        <f>O1011/IF(H1011="L",20,IF(H1011="U",30,IF(H1011="O",40,IF(H1011="I",20,""))))</f>
        <v/>
      </c>
      <c r="Q1011" s="132">
        <f>IF(AND(H1011="L", P1011&gt;=50%), "Pass",
IF(AND(H1011="U", P1011&gt;=60%), "Pass",
IF(AND(H1011="O", P1011&gt;=75%), "Pass", "Fail")))</f>
        <v/>
      </c>
      <c r="R1011" s="104" t="n"/>
      <c r="S1011" s="104" t="n">
        <v>19</v>
      </c>
      <c r="T1011" s="104" t="n">
        <v>14</v>
      </c>
      <c r="U1011" s="104">
        <f>SUM(S1011:T1011)</f>
        <v/>
      </c>
      <c r="V1011" s="12">
        <f>U1011/IF(H1011="L",35,IF(H1011="U",35,IF(H1011="O",35,IF(H1011="I",35,""))))</f>
        <v/>
      </c>
      <c r="W1011" s="132">
        <f>IF(AND(H1011="L", V1011&gt;=50%), "Pass",
IF(AND(H1011="U", V1011&gt;=60%), "Pass",
IF(AND(H1011="O", V1011&gt;=75%), "Pass", "Fail")))</f>
        <v/>
      </c>
      <c r="X1011" s="132">
        <f>IF(AND(Q1011="Pass", W1011="Pass"), "Pass", "Fail")</f>
        <v/>
      </c>
      <c r="Y1011" s="15">
        <f>IF($X1011="Pass",$H1011,
IF(H1011="L","I",
IF(H1011="U","L",
IF(H1011="O","U",
"I"))))</f>
        <v/>
      </c>
      <c r="Z1011" s="82" t="n"/>
    </row>
    <row r="1012">
      <c r="A1012" s="147">
        <f>ROW()-2</f>
        <v/>
      </c>
      <c r="B1012" s="127" t="n">
        <v>905545</v>
      </c>
      <c r="C1012" s="128" t="inlineStr">
        <is>
          <t>S SENTHILVELMURUGAN</t>
        </is>
      </c>
      <c r="D1012" s="127" t="inlineStr">
        <is>
          <t>PRODUCTION</t>
        </is>
      </c>
      <c r="E1012" s="129" t="inlineStr">
        <is>
          <t>TYRE CURING</t>
        </is>
      </c>
      <c r="F1012" s="130" t="n">
        <v>44813</v>
      </c>
      <c r="G1012" s="131">
        <f>NOW()-F1012</f>
        <v/>
      </c>
      <c r="H1012" s="104" t="inlineStr">
        <is>
          <t>O</t>
        </is>
      </c>
      <c r="I1012" s="104" t="inlineStr">
        <is>
          <t>U</t>
        </is>
      </c>
      <c r="J1012" s="104" t="n">
        <v>7</v>
      </c>
      <c r="K1012" s="104" t="n">
        <v>9</v>
      </c>
      <c r="L1012" s="104" t="n">
        <v>7</v>
      </c>
      <c r="M1012" s="104" t="n">
        <v>5</v>
      </c>
      <c r="N1012" s="104" t="n"/>
      <c r="O1012" s="104">
        <f>SUM(J1012:N1012)</f>
        <v/>
      </c>
      <c r="P1012" s="12">
        <f>O1012/IF(H1012="L",20,IF(H1012="U",30,IF(H1012="O",40,IF(H1012="I",20,""))))</f>
        <v/>
      </c>
      <c r="Q1012" s="132">
        <f>IF(AND(H1012="L", P1012&gt;=50%), "Pass",
IF(AND(H1012="U", P1012&gt;=60%), "Pass",
IF(AND(H1012="O", P1012&gt;=75%), "Pass", "Fail")))</f>
        <v/>
      </c>
      <c r="R1012" s="104" t="n"/>
      <c r="S1012" s="104" t="n">
        <v>12</v>
      </c>
      <c r="T1012" s="104" t="n">
        <v>11</v>
      </c>
      <c r="U1012" s="104">
        <f>SUM(S1012:T1012)</f>
        <v/>
      </c>
      <c r="V1012" s="12">
        <f>U1012/IF(H1012="L",35,IF(H1012="U",35,IF(H1012="O",35,IF(H1012="I",35,""))))</f>
        <v/>
      </c>
      <c r="W1012" s="132">
        <f>IF(AND(H1012="L", V1012&gt;=50%), "Pass",
IF(AND(H1012="U", V1012&gt;=60%), "Pass",
IF(AND(H1012="O", V1012&gt;=75%), "Pass", "Fail")))</f>
        <v/>
      </c>
      <c r="X1012" s="132">
        <f>IF(AND(Q1012="Pass", W1012="Pass"), "Pass", "Fail")</f>
        <v/>
      </c>
      <c r="Y1012" s="15">
        <f>IF($X1012="Pass",$H1012,
IF(H1012="L","I",
IF(H1012="U","L",
IF(H1012="O","U",
"I"))))</f>
        <v/>
      </c>
    </row>
    <row r="1013">
      <c r="A1013" s="147">
        <f>ROW()-2</f>
        <v/>
      </c>
      <c r="B1013" s="127" t="n">
        <v>905547</v>
      </c>
      <c r="C1013" s="128" t="inlineStr">
        <is>
          <t>A MALAYANDI</t>
        </is>
      </c>
      <c r="D1013" s="127" t="inlineStr">
        <is>
          <t>PRODUCTION</t>
        </is>
      </c>
      <c r="E1013" s="129" t="inlineStr">
        <is>
          <t>BAND BUILDING-P2</t>
        </is>
      </c>
      <c r="F1013" s="130" t="n">
        <v>44813</v>
      </c>
      <c r="G1013" s="131">
        <f>NOW()-F1013</f>
        <v/>
      </c>
      <c r="H1013" s="104" t="inlineStr">
        <is>
          <t>O</t>
        </is>
      </c>
      <c r="I1013" s="104" t="inlineStr">
        <is>
          <t>U</t>
        </is>
      </c>
      <c r="J1013" s="104" t="n">
        <v>10</v>
      </c>
      <c r="K1013" s="104" t="n">
        <v>9</v>
      </c>
      <c r="L1013" s="104" t="n">
        <v>7</v>
      </c>
      <c r="M1013" s="104" t="n">
        <v>9</v>
      </c>
      <c r="N1013" s="104" t="n"/>
      <c r="O1013" s="104">
        <f>SUM(J1013:N1013)</f>
        <v/>
      </c>
      <c r="P1013" s="12">
        <f>O1013/IF(H1013="L",20,IF(H1013="U",30,IF(H1013="O",40,IF(H1013="I",20,""))))</f>
        <v/>
      </c>
      <c r="Q1013" s="132">
        <f>IF(AND(H1013="L", P1013&gt;=50%), "Pass",
IF(AND(H1013="U", P1013&gt;=60%), "Pass",
IF(AND(H1013="O", P1013&gt;=75%), "Pass", "Fail")))</f>
        <v/>
      </c>
      <c r="R1013" s="104" t="n"/>
      <c r="S1013" s="104" t="n">
        <v>16</v>
      </c>
      <c r="T1013" s="104" t="n">
        <v>12</v>
      </c>
      <c r="U1013" s="104">
        <f>SUM(S1013:T1013)</f>
        <v/>
      </c>
      <c r="V1013" s="12">
        <f>U1013/IF(H1013="L",35,IF(H1013="U",35,IF(H1013="O",35,IF(H1013="I",35,""))))</f>
        <v/>
      </c>
      <c r="W1013" s="132">
        <f>IF(AND(H1013="L", V1013&gt;=50%), "Pass",
IF(AND(H1013="U", V1013&gt;=60%), "Pass",
IF(AND(H1013="O", V1013&gt;=75%), "Pass", "Fail")))</f>
        <v/>
      </c>
      <c r="X1013" s="132">
        <f>IF(AND(Q1013="Pass", W1013="Pass"), "Pass", "Fail")</f>
        <v/>
      </c>
      <c r="Y1013" s="15">
        <f>IF($X1013="Pass",$H1013,
IF(H1013="L","I",
IF(H1013="U","L",
IF(H1013="O","U",
"I"))))</f>
        <v/>
      </c>
      <c r="Z1013" s="82" t="n"/>
    </row>
    <row r="1014">
      <c r="A1014" s="147">
        <f>ROW()-2</f>
        <v/>
      </c>
      <c r="B1014" s="127" t="n">
        <v>905548</v>
      </c>
      <c r="C1014" s="128" t="inlineStr">
        <is>
          <t>P PAUL DURAI</t>
        </is>
      </c>
      <c r="D1014" s="127" t="inlineStr">
        <is>
          <t>PRODUCTION</t>
        </is>
      </c>
      <c r="E1014" s="129" t="inlineStr">
        <is>
          <t>SLITTING</t>
        </is>
      </c>
      <c r="F1014" s="130" t="n">
        <v>44813</v>
      </c>
      <c r="G1014" s="131">
        <f>NOW()-F1014</f>
        <v/>
      </c>
      <c r="H1014" s="104" t="inlineStr">
        <is>
          <t>O</t>
        </is>
      </c>
      <c r="I1014" s="104" t="inlineStr">
        <is>
          <t>U</t>
        </is>
      </c>
      <c r="J1014" s="104" t="n">
        <v>9</v>
      </c>
      <c r="K1014" s="104" t="n">
        <v>6</v>
      </c>
      <c r="L1014" s="104" t="n">
        <v>8</v>
      </c>
      <c r="M1014" s="104" t="n">
        <v>7</v>
      </c>
      <c r="N1014" s="104" t="n"/>
      <c r="O1014" s="104">
        <f>SUM(J1014:N1014)</f>
        <v/>
      </c>
      <c r="P1014" s="12">
        <f>O1014/IF(H1014="L",20,IF(H1014="U",30,IF(H1014="O",40,IF(H1014="I",20,""))))</f>
        <v/>
      </c>
      <c r="Q1014" s="132">
        <f>IF(AND(H1014="L", P1014&gt;=50%), "Pass",
IF(AND(H1014="U", P1014&gt;=60%), "Pass",
IF(AND(H1014="O", P1014&gt;=75%), "Pass", "Fail")))</f>
        <v/>
      </c>
      <c r="R1014" s="104" t="n"/>
      <c r="S1014" s="104" t="n">
        <v>17</v>
      </c>
      <c r="T1014" s="104" t="n">
        <v>14</v>
      </c>
      <c r="U1014" s="104">
        <f>SUM(S1014:T1014)</f>
        <v/>
      </c>
      <c r="V1014" s="12">
        <f>U1014/IF(H1014="L",35,IF(H1014="U",35,IF(H1014="O",35,IF(H1014="I",35,""))))</f>
        <v/>
      </c>
      <c r="W1014" s="132">
        <f>IF(AND(H1014="L", V1014&gt;=50%), "Pass",
IF(AND(H1014="U", V1014&gt;=60%), "Pass",
IF(AND(H1014="O", V1014&gt;=75%), "Pass", "Fail")))</f>
        <v/>
      </c>
      <c r="X1014" s="132">
        <f>IF(AND(Q1014="Pass", W1014="Pass"), "Pass", "Fail")</f>
        <v/>
      </c>
      <c r="Y1014" s="15">
        <f>IF($X1014="Pass",$H1014,
IF(H1014="L","I",
IF(H1014="U","L",
IF(H1014="O","U",
"I"))))</f>
        <v/>
      </c>
    </row>
    <row r="1015">
      <c r="A1015" s="147">
        <f>ROW()-2</f>
        <v/>
      </c>
      <c r="B1015" s="127" t="n">
        <v>905550</v>
      </c>
      <c r="C1015" s="128" t="inlineStr">
        <is>
          <t>L VINNARASU</t>
        </is>
      </c>
      <c r="D1015" s="127" t="inlineStr">
        <is>
          <t>PRODUCTION</t>
        </is>
      </c>
      <c r="E1015" s="129" t="inlineStr">
        <is>
          <t>BAND BUILDING-P1</t>
        </is>
      </c>
      <c r="F1015" s="130" t="n">
        <v>44813</v>
      </c>
      <c r="G1015" s="131">
        <f>NOW()-F1015</f>
        <v/>
      </c>
      <c r="H1015" s="104" t="inlineStr">
        <is>
          <t>O</t>
        </is>
      </c>
      <c r="I1015" s="104" t="inlineStr">
        <is>
          <t>O</t>
        </is>
      </c>
      <c r="J1015" s="104" t="n">
        <v>10</v>
      </c>
      <c r="K1015" s="104" t="n">
        <v>8</v>
      </c>
      <c r="L1015" s="104" t="n">
        <v>9</v>
      </c>
      <c r="M1015" s="104" t="n">
        <v>7</v>
      </c>
      <c r="N1015" s="104" t="n"/>
      <c r="O1015" s="104">
        <f>SUM(J1015:N1015)</f>
        <v/>
      </c>
      <c r="P1015" s="12">
        <f>O1015/IF(H1015="L",20,IF(H1015="U",30,IF(H1015="O",40,IF(H1015="I",20,""))))</f>
        <v/>
      </c>
      <c r="Q1015" s="132">
        <f>IF(AND(H1015="L", P1015&gt;=50%), "Pass",
IF(AND(H1015="U", P1015&gt;=60%), "Pass",
IF(AND(H1015="O", P1015&gt;=75%), "Pass", "Fail")))</f>
        <v/>
      </c>
      <c r="R1015" s="104" t="n"/>
      <c r="S1015" s="104" t="n">
        <v>17</v>
      </c>
      <c r="T1015" s="104" t="n">
        <v>14</v>
      </c>
      <c r="U1015" s="104">
        <f>SUM(S1015:T1015)</f>
        <v/>
      </c>
      <c r="V1015" s="12">
        <f>U1015/IF(H1015="L",35,IF(H1015="U",35,IF(H1015="O",35,IF(H1015="I",35,""))))</f>
        <v/>
      </c>
      <c r="W1015" s="132">
        <f>IF(AND(H1015="L", V1015&gt;=50%), "Pass",
IF(AND(H1015="U", V1015&gt;=60%), "Pass",
IF(AND(H1015="O", V1015&gt;=75%), "Pass", "Fail")))</f>
        <v/>
      </c>
      <c r="X1015" s="132">
        <f>IF(AND(Q1015="Pass", W1015="Pass"), "Pass", "Fail")</f>
        <v/>
      </c>
      <c r="Y1015" s="15">
        <f>IF($X1015="Pass",$H1015,
IF(H1015="L","I",
IF(H1015="U","L",
IF(H1015="O","U",
"I"))))</f>
        <v/>
      </c>
    </row>
    <row r="1016">
      <c r="A1016" s="147">
        <f>ROW()-2</f>
        <v/>
      </c>
      <c r="B1016" s="127" t="n">
        <v>905553</v>
      </c>
      <c r="C1016" s="128" t="inlineStr">
        <is>
          <t>K ELAIYAPANDI</t>
        </is>
      </c>
      <c r="D1016" s="127" t="inlineStr">
        <is>
          <t>PRODUCTION</t>
        </is>
      </c>
      <c r="E1016" s="129" t="inlineStr">
        <is>
          <t>TYRE CURING</t>
        </is>
      </c>
      <c r="F1016" s="130" t="n">
        <v>44813</v>
      </c>
      <c r="G1016" s="131">
        <f>NOW()-F1016</f>
        <v/>
      </c>
      <c r="H1016" s="104" t="inlineStr">
        <is>
          <t>O</t>
        </is>
      </c>
      <c r="I1016" s="104" t="inlineStr">
        <is>
          <t>U</t>
        </is>
      </c>
      <c r="J1016" s="104" t="n">
        <v>9</v>
      </c>
      <c r="K1016" s="104" t="n">
        <v>9</v>
      </c>
      <c r="L1016" s="104" t="n">
        <v>8</v>
      </c>
      <c r="M1016" s="104" t="n">
        <v>8</v>
      </c>
      <c r="N1016" s="104" t="n"/>
      <c r="O1016" s="104">
        <f>SUM(J1016:N1016)</f>
        <v/>
      </c>
      <c r="P1016" s="12">
        <f>O1016/IF(H1016="L",20,IF(H1016="U",30,IF(H1016="O",40,IF(H1016="I",20,""))))</f>
        <v/>
      </c>
      <c r="Q1016" s="132">
        <f>IF(AND(H1016="L", P1016&gt;=50%), "Pass",
IF(AND(H1016="U", P1016&gt;=60%), "Pass",
IF(AND(H1016="O", P1016&gt;=75%), "Pass", "Fail")))</f>
        <v/>
      </c>
      <c r="R1016" s="104" t="n"/>
      <c r="S1016" s="104" t="n">
        <v>11</v>
      </c>
      <c r="T1016" s="104" t="n">
        <v>10</v>
      </c>
      <c r="U1016" s="104">
        <f>SUM(S1016:T1016)</f>
        <v/>
      </c>
      <c r="V1016" s="12">
        <f>U1016/IF(H1016="L",35,IF(H1016="U",35,IF(H1016="O",35,IF(H1016="I",35,""))))</f>
        <v/>
      </c>
      <c r="W1016" s="132">
        <f>IF(AND(H1016="L", V1016&gt;=50%), "Pass",
IF(AND(H1016="U", V1016&gt;=60%), "Pass",
IF(AND(H1016="O", V1016&gt;=75%), "Pass", "Fail")))</f>
        <v/>
      </c>
      <c r="X1016" s="132">
        <f>IF(AND(Q1016="Pass", W1016="Pass"), "Pass", "Fail")</f>
        <v/>
      </c>
      <c r="Y1016" s="15">
        <f>IF($X1016="Pass",$H1016,
IF(H1016="L","I",
IF(H1016="U","L",
IF(H1016="O","U",
"I"))))</f>
        <v/>
      </c>
    </row>
    <row r="1017">
      <c r="A1017" s="147">
        <f>ROW()-2</f>
        <v/>
      </c>
      <c r="B1017" s="127" t="n">
        <v>905555</v>
      </c>
      <c r="C1017" s="128" t="inlineStr">
        <is>
          <t>S THALAVAI</t>
        </is>
      </c>
      <c r="D1017" s="127" t="inlineStr">
        <is>
          <t>PRODUCTION</t>
        </is>
      </c>
      <c r="E1017" s="129" t="inlineStr">
        <is>
          <t>BAND BUILDING-P2</t>
        </is>
      </c>
      <c r="F1017" s="130" t="n">
        <v>44813</v>
      </c>
      <c r="G1017" s="131">
        <f>NOW()-F1017</f>
        <v/>
      </c>
      <c r="H1017" s="104" t="inlineStr">
        <is>
          <t>O</t>
        </is>
      </c>
      <c r="I1017" s="104" t="inlineStr">
        <is>
          <t>O</t>
        </is>
      </c>
      <c r="J1017" s="104" t="n">
        <v>9</v>
      </c>
      <c r="K1017" s="104" t="n">
        <v>7</v>
      </c>
      <c r="L1017" s="104" t="n">
        <v>7</v>
      </c>
      <c r="M1017" s="104" t="n">
        <v>8</v>
      </c>
      <c r="N1017" s="104" t="n"/>
      <c r="O1017" s="104">
        <f>SUM(J1017:N1017)</f>
        <v/>
      </c>
      <c r="P1017" s="12">
        <f>O1017/IF(H1017="L",20,IF(H1017="U",30,IF(H1017="O",40,IF(H1017="I",20,""))))</f>
        <v/>
      </c>
      <c r="Q1017" s="132">
        <f>IF(AND(H1017="L", P1017&gt;=50%), "Pass",
IF(AND(H1017="U", P1017&gt;=60%), "Pass",
IF(AND(H1017="O", P1017&gt;=75%), "Pass", "Fail")))</f>
        <v/>
      </c>
      <c r="R1017" s="104" t="n"/>
      <c r="S1017" s="104" t="n">
        <v>16</v>
      </c>
      <c r="T1017" s="104" t="n">
        <v>12</v>
      </c>
      <c r="U1017" s="104">
        <f>SUM(S1017:T1017)</f>
        <v/>
      </c>
      <c r="V1017" s="12">
        <f>U1017/IF(H1017="L",35,IF(H1017="U",35,IF(H1017="O",35,IF(H1017="I",35,""))))</f>
        <v/>
      </c>
      <c r="W1017" s="132">
        <f>IF(AND(H1017="L", V1017&gt;=50%), "Pass",
IF(AND(H1017="U", V1017&gt;=60%), "Pass",
IF(AND(H1017="O", V1017&gt;=75%), "Pass", "Fail")))</f>
        <v/>
      </c>
      <c r="X1017" s="132">
        <f>IF(AND(Q1017="Pass", W1017="Pass"), "Pass", "Fail")</f>
        <v/>
      </c>
      <c r="Y1017" s="15">
        <f>IF($X1017="Pass",$H1017,
IF(H1017="L","I",
IF(H1017="U","L",
IF(H1017="O","U",
"I"))))</f>
        <v/>
      </c>
    </row>
    <row r="1018">
      <c r="A1018" s="147">
        <f>ROW()-2</f>
        <v/>
      </c>
      <c r="B1018" s="127" t="n">
        <v>905556</v>
      </c>
      <c r="C1018" s="128" t="inlineStr">
        <is>
          <t>M PAULRAJ</t>
        </is>
      </c>
      <c r="D1018" s="127" t="inlineStr">
        <is>
          <t>PRODUCTION</t>
        </is>
      </c>
      <c r="E1018" s="129" t="inlineStr">
        <is>
          <t>BAND BUILDING-P2</t>
        </is>
      </c>
      <c r="F1018" s="130" t="n">
        <v>44813</v>
      </c>
      <c r="G1018" s="131">
        <f>NOW()-F1018</f>
        <v/>
      </c>
      <c r="H1018" s="104" t="inlineStr">
        <is>
          <t>O</t>
        </is>
      </c>
      <c r="I1018" s="104" t="inlineStr">
        <is>
          <t>O</t>
        </is>
      </c>
      <c r="J1018" s="104" t="n">
        <v>9</v>
      </c>
      <c r="K1018" s="104" t="n">
        <v>7</v>
      </c>
      <c r="L1018" s="104" t="n">
        <v>8</v>
      </c>
      <c r="M1018" s="104" t="n">
        <v>7</v>
      </c>
      <c r="N1018" s="104" t="n"/>
      <c r="O1018" s="104">
        <f>SUM(J1018:N1018)</f>
        <v/>
      </c>
      <c r="P1018" s="12">
        <f>O1018/IF(H1018="L",20,IF(H1018="U",30,IF(H1018="O",40,IF(H1018="I",20,""))))</f>
        <v/>
      </c>
      <c r="Q1018" s="132">
        <f>IF(AND(H1018="L", P1018&gt;=50%), "Pass",
IF(AND(H1018="U", P1018&gt;=60%), "Pass",
IF(AND(H1018="O", P1018&gt;=75%), "Pass", "Fail")))</f>
        <v/>
      </c>
      <c r="R1018" s="104" t="n"/>
      <c r="S1018" s="104" t="n">
        <v>15</v>
      </c>
      <c r="T1018" s="104" t="n">
        <v>12</v>
      </c>
      <c r="U1018" s="104">
        <f>SUM(S1018:T1018)</f>
        <v/>
      </c>
      <c r="V1018" s="12">
        <f>U1018/IF(H1018="L",35,IF(H1018="U",35,IF(H1018="O",35,IF(H1018="I",35,""))))</f>
        <v/>
      </c>
      <c r="W1018" s="132">
        <f>IF(AND(H1018="L", V1018&gt;=50%), "Pass",
IF(AND(H1018="U", V1018&gt;=60%), "Pass",
IF(AND(H1018="O", V1018&gt;=75%), "Pass", "Fail")))</f>
        <v/>
      </c>
      <c r="X1018" s="132">
        <f>IF(AND(Q1018="Pass", W1018="Pass"), "Pass", "Fail")</f>
        <v/>
      </c>
      <c r="Y1018" s="15">
        <f>IF($X1018="Pass",$H1018,
IF(H1018="L","I",
IF(H1018="U","L",
IF(H1018="O","U",
"I"))))</f>
        <v/>
      </c>
    </row>
    <row r="1019">
      <c r="A1019" s="147">
        <f>ROW()-2</f>
        <v/>
      </c>
      <c r="B1019" s="127" t="n">
        <v>905558</v>
      </c>
      <c r="C1019" s="128" t="inlineStr">
        <is>
          <t>S VIJAYAKUMAR</t>
        </is>
      </c>
      <c r="D1019" s="127" t="inlineStr">
        <is>
          <t>PRODUCTION</t>
        </is>
      </c>
      <c r="E1019" s="129" t="inlineStr">
        <is>
          <t>TYRE BUILDING-P3</t>
        </is>
      </c>
      <c r="F1019" s="130" t="n">
        <v>44813</v>
      </c>
      <c r="G1019" s="131">
        <f>NOW()-F1019</f>
        <v/>
      </c>
      <c r="H1019" s="104" t="inlineStr">
        <is>
          <t>O</t>
        </is>
      </c>
      <c r="I1019" s="104" t="inlineStr">
        <is>
          <t>U</t>
        </is>
      </c>
      <c r="J1019" s="104" t="n">
        <v>10</v>
      </c>
      <c r="K1019" s="104" t="n">
        <v>10</v>
      </c>
      <c r="L1019" s="104" t="n">
        <v>8</v>
      </c>
      <c r="M1019" s="104" t="n">
        <v>10</v>
      </c>
      <c r="N1019" s="104" t="n"/>
      <c r="O1019" s="104">
        <f>SUM(J1019:N1019)</f>
        <v/>
      </c>
      <c r="P1019" s="12">
        <f>O1019/IF(H1019="L",20,IF(H1019="U",30,IF(H1019="O",40,IF(H1019="I",20,""))))</f>
        <v/>
      </c>
      <c r="Q1019" s="132">
        <f>IF(AND(H1019="L", P1019&gt;=50%), "Pass",
IF(AND(H1019="U", P1019&gt;=60%), "Pass",
IF(AND(H1019="O", P1019&gt;=75%), "Pass", "Fail")))</f>
        <v/>
      </c>
      <c r="R1019" s="104" t="n"/>
      <c r="S1019" s="104" t="n">
        <v>20</v>
      </c>
      <c r="T1019" s="104" t="n">
        <v>15</v>
      </c>
      <c r="U1019" s="104">
        <f>SUM(S1019:T1019)</f>
        <v/>
      </c>
      <c r="V1019" s="12">
        <f>U1019/IF(H1019="L",35,IF(H1019="U",35,IF(H1019="O",35,IF(H1019="I",35,""))))</f>
        <v/>
      </c>
      <c r="W1019" s="132">
        <f>IF(AND(H1019="L", V1019&gt;=50%), "Pass",
IF(AND(H1019="U", V1019&gt;=60%), "Pass",
IF(AND(H1019="O", V1019&gt;=75%), "Pass", "Fail")))</f>
        <v/>
      </c>
      <c r="X1019" s="132">
        <f>IF(AND(Q1019="Pass", W1019="Pass"), "Pass", "Fail")</f>
        <v/>
      </c>
      <c r="Y1019" s="15">
        <f>IF($X1019="Pass",$H1019,
IF(H1019="L","I",
IF(H1019="U","L",
IF(H1019="O","U",
"I"))))</f>
        <v/>
      </c>
    </row>
    <row r="1020">
      <c r="A1020" s="147">
        <f>ROW()-2</f>
        <v/>
      </c>
      <c r="B1020" s="127" t="n">
        <v>905559</v>
      </c>
      <c r="C1020" s="128" t="inlineStr">
        <is>
          <t>T THIYAGARAJAN</t>
        </is>
      </c>
      <c r="D1020" s="127" t="inlineStr">
        <is>
          <t>PRODUCTION</t>
        </is>
      </c>
      <c r="E1020" s="129" t="inlineStr">
        <is>
          <t>TYRE BUILDING-P3</t>
        </is>
      </c>
      <c r="F1020" s="130" t="n">
        <v>44813</v>
      </c>
      <c r="G1020" s="131">
        <f>NOW()-F1020</f>
        <v/>
      </c>
      <c r="H1020" s="104" t="inlineStr">
        <is>
          <t>O</t>
        </is>
      </c>
      <c r="I1020" s="104" t="inlineStr">
        <is>
          <t>U</t>
        </is>
      </c>
      <c r="J1020" s="104" t="n">
        <v>10</v>
      </c>
      <c r="K1020" s="104" t="n">
        <v>9</v>
      </c>
      <c r="L1020" s="104" t="n">
        <v>7</v>
      </c>
      <c r="M1020" s="104" t="n">
        <v>9</v>
      </c>
      <c r="N1020" s="104" t="n"/>
      <c r="O1020" s="104">
        <f>SUM(J1020:N1020)</f>
        <v/>
      </c>
      <c r="P1020" s="12">
        <f>O1020/IF(H1020="L",20,IF(H1020="U",30,IF(H1020="O",40,IF(H1020="I",20,""))))</f>
        <v/>
      </c>
      <c r="Q1020" s="132">
        <f>IF(AND(H1020="L", P1020&gt;=50%), "Pass",
IF(AND(H1020="U", P1020&gt;=60%), "Pass",
IF(AND(H1020="O", P1020&gt;=75%), "Pass", "Fail")))</f>
        <v/>
      </c>
      <c r="R1020" s="104" t="n"/>
      <c r="S1020" s="104" t="n">
        <v>18</v>
      </c>
      <c r="T1020" s="104" t="n">
        <v>15</v>
      </c>
      <c r="U1020" s="104">
        <f>SUM(S1020:T1020)</f>
        <v/>
      </c>
      <c r="V1020" s="12">
        <f>U1020/IF(H1020="L",35,IF(H1020="U",35,IF(H1020="O",35,IF(H1020="I",35,""))))</f>
        <v/>
      </c>
      <c r="W1020" s="132">
        <f>IF(AND(H1020="L", V1020&gt;=50%), "Pass",
IF(AND(H1020="U", V1020&gt;=60%), "Pass",
IF(AND(H1020="O", V1020&gt;=75%), "Pass", "Fail")))</f>
        <v/>
      </c>
      <c r="X1020" s="132">
        <f>IF(AND(Q1020="Pass", W1020="Pass"), "Pass", "Fail")</f>
        <v/>
      </c>
      <c r="Y1020" s="15">
        <f>IF($X1020="Pass",$H1020,
IF(H1020="L","I",
IF(H1020="U","L",
IF(H1020="O","U",
"I"))))</f>
        <v/>
      </c>
    </row>
    <row r="1021">
      <c r="A1021" s="147">
        <f>ROW()-2</f>
        <v/>
      </c>
      <c r="B1021" s="127" t="n">
        <v>905560</v>
      </c>
      <c r="C1021" s="128" t="inlineStr">
        <is>
          <t>R CHINNADURAI</t>
        </is>
      </c>
      <c r="D1021" s="127" t="inlineStr">
        <is>
          <t>PRODUCTION</t>
        </is>
      </c>
      <c r="E1021" s="129" t="inlineStr">
        <is>
          <t>TYRE BUILDING-P3</t>
        </is>
      </c>
      <c r="F1021" s="130" t="n">
        <v>44813</v>
      </c>
      <c r="G1021" s="131">
        <f>NOW()-F1021</f>
        <v/>
      </c>
      <c r="H1021" s="104" t="inlineStr">
        <is>
          <t>O</t>
        </is>
      </c>
      <c r="I1021" s="104" t="inlineStr">
        <is>
          <t>U</t>
        </is>
      </c>
      <c r="J1021" s="104" t="n">
        <v>10</v>
      </c>
      <c r="K1021" s="104" t="n">
        <v>9</v>
      </c>
      <c r="L1021" s="104" t="n">
        <v>5</v>
      </c>
      <c r="M1021" s="104" t="n">
        <v>10</v>
      </c>
      <c r="N1021" s="104" t="n"/>
      <c r="O1021" s="104">
        <f>SUM(J1021:N1021)</f>
        <v/>
      </c>
      <c r="P1021" s="12">
        <f>O1021/IF(H1021="L",20,IF(H1021="U",30,IF(H1021="O",40,IF(H1021="I",20,""))))</f>
        <v/>
      </c>
      <c r="Q1021" s="132">
        <f>IF(AND(H1021="L", P1021&gt;=50%), "Pass",
IF(AND(H1021="U", P1021&gt;=60%), "Pass",
IF(AND(H1021="O", P1021&gt;=75%), "Pass", "Fail")))</f>
        <v/>
      </c>
      <c r="R1021" s="104" t="n"/>
      <c r="S1021" s="104" t="n">
        <v>18</v>
      </c>
      <c r="T1021" s="104" t="n">
        <v>15</v>
      </c>
      <c r="U1021" s="104">
        <f>SUM(S1021:T1021)</f>
        <v/>
      </c>
      <c r="V1021" s="12">
        <f>U1021/IF(H1021="L",35,IF(H1021="U",35,IF(H1021="O",35,IF(H1021="I",35,""))))</f>
        <v/>
      </c>
      <c r="W1021" s="132">
        <f>IF(AND(H1021="L", V1021&gt;=50%), "Pass",
IF(AND(H1021="U", V1021&gt;=60%), "Pass",
IF(AND(H1021="O", V1021&gt;=75%), "Pass", "Fail")))</f>
        <v/>
      </c>
      <c r="X1021" s="132">
        <f>IF(AND(Q1021="Pass", W1021="Pass"), "Pass", "Fail")</f>
        <v/>
      </c>
      <c r="Y1021" s="15">
        <f>IF($X1021="Pass",$H1021,
IF(H1021="L","I",
IF(H1021="U","L",
IF(H1021="O","U",
"I"))))</f>
        <v/>
      </c>
    </row>
    <row r="1022">
      <c r="A1022" s="147">
        <f>ROW()-2</f>
        <v/>
      </c>
      <c r="B1022" s="127" t="n">
        <v>905561</v>
      </c>
      <c r="C1022" s="128" t="inlineStr">
        <is>
          <t>M BALAJI</t>
        </is>
      </c>
      <c r="D1022" s="127" t="inlineStr">
        <is>
          <t>PRODUCTION</t>
        </is>
      </c>
      <c r="E1022" s="129" t="inlineStr">
        <is>
          <t>TYRE BUILDING-P2</t>
        </is>
      </c>
      <c r="F1022" s="130" t="n">
        <v>44813</v>
      </c>
      <c r="G1022" s="131">
        <f>NOW()-F1022</f>
        <v/>
      </c>
      <c r="H1022" s="104" t="inlineStr">
        <is>
          <t>O</t>
        </is>
      </c>
      <c r="I1022" s="104" t="inlineStr">
        <is>
          <t>U</t>
        </is>
      </c>
      <c r="J1022" s="104" t="n">
        <v>10</v>
      </c>
      <c r="K1022" s="104" t="n">
        <v>10</v>
      </c>
      <c r="L1022" s="104" t="n">
        <v>8</v>
      </c>
      <c r="M1022" s="104" t="n">
        <v>9</v>
      </c>
      <c r="N1022" s="104" t="n"/>
      <c r="O1022" s="104">
        <f>SUM(J1022:N1022)</f>
        <v/>
      </c>
      <c r="P1022" s="12">
        <f>O1022/IF(H1022="L",20,IF(H1022="U",30,IF(H1022="O",40,IF(H1022="I",20,""))))</f>
        <v/>
      </c>
      <c r="Q1022" s="132">
        <f>IF(AND(H1022="L", P1022&gt;=50%), "Pass",
IF(AND(H1022="U", P1022&gt;=60%), "Pass",
IF(AND(H1022="O", P1022&gt;=75%), "Pass", "Fail")))</f>
        <v/>
      </c>
      <c r="R1022" s="104" t="n"/>
      <c r="S1022" s="104" t="n">
        <v>14</v>
      </c>
      <c r="T1022" s="104" t="n">
        <v>10</v>
      </c>
      <c r="U1022" s="104">
        <f>SUM(S1022:T1022)</f>
        <v/>
      </c>
      <c r="V1022" s="12">
        <f>U1022/IF(H1022="L",35,IF(H1022="U",35,IF(H1022="O",35,IF(H1022="I",35,""))))</f>
        <v/>
      </c>
      <c r="W1022" s="132">
        <f>IF(AND(H1022="L", V1022&gt;=50%), "Pass",
IF(AND(H1022="U", V1022&gt;=60%), "Pass",
IF(AND(H1022="O", V1022&gt;=75%), "Pass", "Fail")))</f>
        <v/>
      </c>
      <c r="X1022" s="132">
        <f>IF(AND(Q1022="Pass", W1022="Pass"), "Pass", "Fail")</f>
        <v/>
      </c>
      <c r="Y1022" s="15">
        <f>IF($X1022="Pass",$H1022,
IF(H1022="L","I",
IF(H1022="U","L",
IF(H1022="O","U",
"I"))))</f>
        <v/>
      </c>
    </row>
    <row r="1023">
      <c r="A1023" s="147">
        <f>ROW()-2</f>
        <v/>
      </c>
      <c r="B1023" s="127" t="n">
        <v>905562</v>
      </c>
      <c r="C1023" s="128" t="inlineStr">
        <is>
          <t>K MARIKKANNU</t>
        </is>
      </c>
      <c r="D1023" s="127" t="inlineStr">
        <is>
          <t>PRODUCTION</t>
        </is>
      </c>
      <c r="E1023" s="129" t="inlineStr">
        <is>
          <t>YANTHAI</t>
        </is>
      </c>
      <c r="F1023" s="130" t="n">
        <v>44813</v>
      </c>
      <c r="G1023" s="131">
        <f>NOW()-F1023</f>
        <v/>
      </c>
      <c r="H1023" s="104" t="inlineStr">
        <is>
          <t>O</t>
        </is>
      </c>
      <c r="I1023" s="104" t="inlineStr">
        <is>
          <t>U</t>
        </is>
      </c>
      <c r="J1023" s="104" t="n">
        <v>10</v>
      </c>
      <c r="K1023" s="104" t="n">
        <v>10</v>
      </c>
      <c r="L1023" s="104" t="n">
        <v>9</v>
      </c>
      <c r="M1023" s="104" t="n">
        <v>6</v>
      </c>
      <c r="N1023" s="104" t="n"/>
      <c r="O1023" s="104">
        <f>SUM(J1023:N1023)</f>
        <v/>
      </c>
      <c r="P1023" s="12">
        <f>O1023/IF(H1023="L",20,IF(H1023="U",30,IF(H1023="O",40,IF(H1023="I",20,""))))</f>
        <v/>
      </c>
      <c r="Q1023" s="132">
        <f>IF(AND(H1023="L", P1023&gt;=50%), "Pass",
IF(AND(H1023="U", P1023&gt;=60%), "Pass",
IF(AND(H1023="O", P1023&gt;=75%), "Pass", "Fail")))</f>
        <v/>
      </c>
      <c r="R1023" s="104" t="n"/>
      <c r="S1023" s="104" t="n">
        <v>18</v>
      </c>
      <c r="T1023" s="104" t="n">
        <v>15</v>
      </c>
      <c r="U1023" s="104">
        <f>SUM(S1023:T1023)</f>
        <v/>
      </c>
      <c r="V1023" s="12">
        <f>U1023/IF(H1023="L",35,IF(H1023="U",35,IF(H1023="O",35,IF(H1023="I",35,""))))</f>
        <v/>
      </c>
      <c r="W1023" s="132">
        <f>IF(AND(H1023="L", V1023&gt;=50%), "Pass",
IF(AND(H1023="U", V1023&gt;=60%), "Pass",
IF(AND(H1023="O", V1023&gt;=75%), "Pass", "Fail")))</f>
        <v/>
      </c>
      <c r="X1023" s="132">
        <f>IF(AND(Q1023="Pass", W1023="Pass"), "Pass", "Fail")</f>
        <v/>
      </c>
      <c r="Y1023" s="15">
        <f>IF($X1023="Pass",$H1023,
IF(H1023="L","I",
IF(H1023="U","L",
IF(H1023="O","U",
"I"))))</f>
        <v/>
      </c>
    </row>
    <row r="1024">
      <c r="A1024" s="147">
        <f>ROW()-2</f>
        <v/>
      </c>
      <c r="B1024" s="127" t="n">
        <v>905563</v>
      </c>
      <c r="C1024" s="128" t="inlineStr">
        <is>
          <t>P SUBBIAH</t>
        </is>
      </c>
      <c r="D1024" s="127" t="inlineStr">
        <is>
          <t>PRODUCTION</t>
        </is>
      </c>
      <c r="E1024" s="129" t="inlineStr">
        <is>
          <t>TYRE BUILDING-P2</t>
        </is>
      </c>
      <c r="F1024" s="130" t="n">
        <v>44813</v>
      </c>
      <c r="G1024" s="131">
        <f>NOW()-F1024</f>
        <v/>
      </c>
      <c r="H1024" s="104" t="inlineStr">
        <is>
          <t>O</t>
        </is>
      </c>
      <c r="I1024" s="104" t="inlineStr">
        <is>
          <t>O</t>
        </is>
      </c>
      <c r="J1024" s="104" t="n">
        <v>9</v>
      </c>
      <c r="K1024" s="104" t="n">
        <v>8</v>
      </c>
      <c r="L1024" s="104" t="n">
        <v>7</v>
      </c>
      <c r="M1024" s="104" t="n">
        <v>8</v>
      </c>
      <c r="N1024" s="104" t="n"/>
      <c r="O1024" s="104">
        <f>SUM(J1024:N1024)</f>
        <v/>
      </c>
      <c r="P1024" s="12">
        <f>O1024/IF(H1024="L",20,IF(H1024="U",30,IF(H1024="O",40,IF(H1024="I",20,""))))</f>
        <v/>
      </c>
      <c r="Q1024" s="132">
        <f>IF(AND(H1024="L", P1024&gt;=50%), "Pass",
IF(AND(H1024="U", P1024&gt;=60%), "Pass",
IF(AND(H1024="O", P1024&gt;=75%), "Pass", "Fail")))</f>
        <v/>
      </c>
      <c r="R1024" s="104" t="n"/>
      <c r="S1024" s="104" t="n">
        <v>14</v>
      </c>
      <c r="T1024" s="104" t="n">
        <v>10</v>
      </c>
      <c r="U1024" s="104">
        <f>SUM(S1024:T1024)</f>
        <v/>
      </c>
      <c r="V1024" s="12">
        <f>U1024/IF(H1024="L",35,IF(H1024="U",35,IF(H1024="O",35,IF(H1024="I",35,""))))</f>
        <v/>
      </c>
      <c r="W1024" s="132">
        <f>IF(AND(H1024="L", V1024&gt;=50%), "Pass",
IF(AND(H1024="U", V1024&gt;=60%), "Pass",
IF(AND(H1024="O", V1024&gt;=75%), "Pass", "Fail")))</f>
        <v/>
      </c>
      <c r="X1024" s="132">
        <f>IF(AND(Q1024="Pass", W1024="Pass"), "Pass", "Fail")</f>
        <v/>
      </c>
      <c r="Y1024" s="15">
        <f>IF($X1024="Pass",$H1024,
IF(H1024="L","I",
IF(H1024="U","L",
IF(H1024="O","U",
"I"))))</f>
        <v/>
      </c>
    </row>
    <row r="1025">
      <c r="A1025" s="147">
        <f>ROW()-2</f>
        <v/>
      </c>
      <c r="B1025" s="127" t="inlineStr">
        <is>
          <t>AK1147</t>
        </is>
      </c>
      <c r="C1025" s="128" t="inlineStr">
        <is>
          <t xml:space="preserve"> SARAN V</t>
        </is>
      </c>
      <c r="D1025" s="127" t="inlineStr">
        <is>
          <t>PRODUCTION</t>
        </is>
      </c>
      <c r="E1025" s="129" t="inlineStr">
        <is>
          <t>TYRE CURING</t>
        </is>
      </c>
      <c r="F1025" s="130" t="n">
        <v>44871</v>
      </c>
      <c r="G1025" s="131">
        <f>NOW()-F1025</f>
        <v/>
      </c>
      <c r="H1025" s="104" t="inlineStr">
        <is>
          <t>U</t>
        </is>
      </c>
      <c r="I1025" s="104" t="inlineStr">
        <is>
          <t>U</t>
        </is>
      </c>
      <c r="J1025" s="104" t="n">
        <v>5</v>
      </c>
      <c r="K1025" s="104" t="n">
        <v>4</v>
      </c>
      <c r="L1025" s="104" t="n">
        <v>5</v>
      </c>
      <c r="M1025" s="104" t="n">
        <v>6</v>
      </c>
      <c r="N1025" s="104" t="n">
        <v>2</v>
      </c>
      <c r="O1025" s="104">
        <f>SUM(J1025:N1025)</f>
        <v/>
      </c>
      <c r="P1025" s="12">
        <f>O1025/IF(H1025="L",20,IF(H1025="U",30,IF(H1025="O",40,IF(H1025="I",20,""))))</f>
        <v/>
      </c>
      <c r="Q1025" s="132">
        <f>IF(AND(H1025="L", P1025&gt;=50%), "Pass",
IF(AND(H1025="U", P1025&gt;=60%), "Pass",
IF(AND(H1025="O", P1025&gt;=75%), "Pass", "Fail")))</f>
        <v/>
      </c>
      <c r="R1025" s="104" t="n"/>
      <c r="S1025" s="104" t="n">
        <v>16</v>
      </c>
      <c r="T1025" s="104" t="n">
        <v>11</v>
      </c>
      <c r="U1025" s="104">
        <f>SUM(S1025:T1025)</f>
        <v/>
      </c>
      <c r="V1025" s="12">
        <f>U1025/IF(H1025="L",35,IF(H1025="U",35,IF(H1025="O",35,IF(H1025="I",35,""))))</f>
        <v/>
      </c>
      <c r="W1025" s="132">
        <f>IF(AND(H1025="L", V1025&gt;=50%), "Pass",
IF(AND(H1025="U", V1025&gt;=60%), "Pass",
IF(AND(H1025="O", V1025&gt;=75%), "Pass", "Fail")))</f>
        <v/>
      </c>
      <c r="X1025" s="132">
        <f>IF(AND(Q1025="Pass", W1025="Pass"), "Pass", "Fail")</f>
        <v/>
      </c>
      <c r="Y1025" s="15">
        <f>IF($X1025="Pass",$H1025,
IF(H1025="L","I",
IF(H1025="U","L",
IF(H1025="O","U",
"I"))))</f>
        <v/>
      </c>
    </row>
    <row r="1026">
      <c r="A1026" s="147">
        <f>ROW()-2</f>
        <v/>
      </c>
      <c r="B1026" s="127" t="inlineStr">
        <is>
          <t>PK1436</t>
        </is>
      </c>
      <c r="C1026" s="128" t="inlineStr">
        <is>
          <t>SUKUMAR</t>
        </is>
      </c>
      <c r="D1026" s="127" t="inlineStr">
        <is>
          <t>PRODUCTION</t>
        </is>
      </c>
      <c r="E1026" s="129" t="inlineStr">
        <is>
          <t>BIAS CUTTING-4</t>
        </is>
      </c>
      <c r="F1026" s="130" t="n">
        <v>44873</v>
      </c>
      <c r="G1026" s="131">
        <f>NOW()-F1026</f>
        <v/>
      </c>
      <c r="H1026" s="104" t="inlineStr">
        <is>
          <t>U</t>
        </is>
      </c>
      <c r="I1026" s="104" t="inlineStr">
        <is>
          <t>U</t>
        </is>
      </c>
      <c r="J1026" s="104" t="n">
        <v>7</v>
      </c>
      <c r="K1026" s="104" t="n">
        <v>6</v>
      </c>
      <c r="L1026" s="104" t="n">
        <v>6</v>
      </c>
      <c r="M1026" s="104" t="n">
        <v>6</v>
      </c>
      <c r="N1026" s="104" t="n"/>
      <c r="O1026" s="104">
        <f>SUM(J1026:N1026)</f>
        <v/>
      </c>
      <c r="P1026" s="12">
        <f>O1026/IF(H1026="L",20,IF(H1026="U",30,IF(H1026="O",40,IF(H1026="I",20,""))))</f>
        <v/>
      </c>
      <c r="Q1026" s="132">
        <f>IF(AND(H1026="L", P1026&gt;=50%), "Pass",
IF(AND(H1026="U", P1026&gt;=60%), "Pass",
IF(AND(H1026="O", P1026&gt;=75%), "Pass", "Fail")))</f>
        <v/>
      </c>
      <c r="R1026" s="104" t="n"/>
      <c r="S1026" s="104" t="n">
        <v>15</v>
      </c>
      <c r="T1026" s="104" t="n">
        <v>6</v>
      </c>
      <c r="U1026" s="104">
        <f>SUM(S1026:T1026)</f>
        <v/>
      </c>
      <c r="V1026" s="12">
        <f>U1026/IF(H1026="L",35,IF(H1026="U",35,IF(H1026="O",35,IF(H1026="I",35,""))))</f>
        <v/>
      </c>
      <c r="W1026" s="132">
        <f>IF(AND(H1026="L", V1026&gt;=50%), "Pass",
IF(AND(H1026="U", V1026&gt;=60%), "Pass",
IF(AND(H1026="O", V1026&gt;=75%), "Pass", "Fail")))</f>
        <v/>
      </c>
      <c r="X1026" s="132">
        <f>IF(AND(Q1026="Pass", W1026="Pass"), "Pass", "Fail")</f>
        <v/>
      </c>
      <c r="Y1026" s="15">
        <f>IF($X1026="Pass",$H1026,
IF(H1026="L","I",
IF(H1026="U","L",
IF(H1026="O","U",
"I"))))</f>
        <v/>
      </c>
    </row>
    <row r="1027">
      <c r="A1027" s="147">
        <f>ROW()-2</f>
        <v/>
      </c>
      <c r="B1027" s="127" t="inlineStr">
        <is>
          <t>MG1528</t>
        </is>
      </c>
      <c r="C1027" s="128" t="inlineStr">
        <is>
          <t>MAHARAJAN G</t>
        </is>
      </c>
      <c r="D1027" s="127" t="inlineStr">
        <is>
          <t>PRODUCTION</t>
        </is>
      </c>
      <c r="E1027" s="129" t="inlineStr">
        <is>
          <t>YANTHAI</t>
        </is>
      </c>
      <c r="F1027" s="130" t="n">
        <v>44890</v>
      </c>
      <c r="G1027" s="131">
        <f>NOW()-F1027</f>
        <v/>
      </c>
      <c r="H1027" s="104" t="inlineStr">
        <is>
          <t>U</t>
        </is>
      </c>
      <c r="I1027" s="104" t="inlineStr">
        <is>
          <t>U</t>
        </is>
      </c>
      <c r="J1027" s="104" t="n">
        <v>7</v>
      </c>
      <c r="K1027" s="104" t="n">
        <v>7</v>
      </c>
      <c r="L1027" s="104" t="n">
        <v>7</v>
      </c>
      <c r="M1027" s="104" t="n">
        <v>6</v>
      </c>
      <c r="N1027" s="104" t="n"/>
      <c r="O1027" s="104">
        <f>SUM(J1027:N1027)</f>
        <v/>
      </c>
      <c r="P1027" s="12">
        <f>O1027/IF(H1027="L",20,IF(H1027="U",30,IF(H1027="O",40,IF(H1027="I",20,""))))</f>
        <v/>
      </c>
      <c r="Q1027" s="132">
        <f>IF(AND(H1027="L", P1027&gt;=50%), "Pass",
 IF(AND(H1027="U", P1027&gt;=60%), "Pass",
 IF(AND(H1027="O", P1027&gt;=75%), "Pass", "Fail")))</f>
        <v/>
      </c>
      <c r="R1027" s="104" t="n"/>
      <c r="S1027" s="43" t="n">
        <v>18</v>
      </c>
      <c r="T1027" s="43" t="n">
        <v>15</v>
      </c>
      <c r="U1027" s="104">
        <f>SUM(S1027:T1027)</f>
        <v/>
      </c>
      <c r="V1027" s="12">
        <f>U1027/IF(H1027="L",35,IF(H1027="U",35,IF(H1027="O",35,IF(H1027="I",35,""))))</f>
        <v/>
      </c>
      <c r="W1027" s="132">
        <f>IF(AND(H1027="L", V1027&gt;=50%), "Pass",
 IF(AND(H1027="U", V1027&gt;=60%), "Pass",
 IF(AND(H1027="O", V1027&gt;=75%), "Pass", "Fail")))</f>
        <v/>
      </c>
      <c r="X1027" s="132">
        <f>IF(AND(Q1027="Pass", W1027="Pass"), "Pass", "Fail")</f>
        <v/>
      </c>
      <c r="Y1027" s="15">
        <f>IF($X1027="Pass",$H1027,
IF(H1027="L","I",
IF(H1027="U","L",
IF(H1027="O","U",
"I"))))</f>
        <v/>
      </c>
    </row>
    <row r="1028">
      <c r="A1028" s="147">
        <f>ROW()-2</f>
        <v/>
      </c>
      <c r="B1028" s="133" t="inlineStr">
        <is>
          <t>SK3462</t>
        </is>
      </c>
      <c r="C1028" s="148" t="inlineStr">
        <is>
          <t>MUNTUN KUMAR</t>
        </is>
      </c>
      <c r="D1028" s="127" t="inlineStr">
        <is>
          <t>PRODUCTION</t>
        </is>
      </c>
      <c r="E1028" s="135" t="inlineStr">
        <is>
          <t>SOLID TYRE</t>
        </is>
      </c>
      <c r="F1028" s="136" t="n">
        <v>44891</v>
      </c>
      <c r="G1028" s="131">
        <f>NOW()-F1028</f>
        <v/>
      </c>
      <c r="H1028" s="104" t="inlineStr">
        <is>
          <t>U</t>
        </is>
      </c>
      <c r="I1028" s="104" t="inlineStr">
        <is>
          <t>L</t>
        </is>
      </c>
      <c r="J1028" s="104" t="n">
        <v>5</v>
      </c>
      <c r="K1028" s="104" t="n">
        <v>7</v>
      </c>
      <c r="L1028" s="104" t="n">
        <v>8</v>
      </c>
      <c r="M1028" s="104" t="n">
        <v>5</v>
      </c>
      <c r="N1028" s="104" t="n"/>
      <c r="O1028" s="104">
        <f>SUM(J1028:N1028)</f>
        <v/>
      </c>
      <c r="P1028" s="12">
        <f>O1028/IF(H1028="L",20,IF(H1028="U",30,IF(H1028="O",40,IF(H1028="I",20,""))))</f>
        <v/>
      </c>
      <c r="Q1028" s="132">
        <f>IF(AND(H1028="L", P1028&gt;=50%), "Pass",
IF(AND(H1028="U", P1028&gt;=60%), "Pass",
IF(AND(H1028="O", P1028&gt;=75%), "Pass", "Fail")))</f>
        <v/>
      </c>
      <c r="R1028" s="104" t="n"/>
      <c r="S1028" s="104" t="n">
        <v>15</v>
      </c>
      <c r="T1028" s="104" t="n">
        <v>12</v>
      </c>
      <c r="U1028" s="104">
        <f>SUM(S1028:T1028)</f>
        <v/>
      </c>
      <c r="V1028" s="12">
        <f>U1028/IF(H1028="L",35,IF(H1028="U",35,IF(H1028="O",35,IF(H1028="I",35,""))))</f>
        <v/>
      </c>
      <c r="W1028" s="132">
        <f>IF(AND(H1028="L", V1028&gt;=50%), "Pass",
IF(AND(H1028="U", V1028&gt;=60%), "Pass",
IF(AND(H1028="O", V1028&gt;=75%), "Pass", "Fail")))</f>
        <v/>
      </c>
      <c r="X1028" s="132">
        <f>IF(AND(Q1028="Pass", W1028="Pass"), "Pass", "Fail")</f>
        <v/>
      </c>
      <c r="Y1028" s="15">
        <f>IF($X1028="Pass",$H1028,
IF(H1028="L","I",
IF(H1028="U","L",
IF(H1028="O","U",
"I"))))</f>
        <v/>
      </c>
    </row>
    <row r="1029">
      <c r="A1029" s="147">
        <f>ROW()-2</f>
        <v/>
      </c>
      <c r="B1029" s="127" t="inlineStr">
        <is>
          <t>AK1151</t>
        </is>
      </c>
      <c r="C1029" s="128" t="inlineStr">
        <is>
          <t>UOIKATTURAJA M</t>
        </is>
      </c>
      <c r="D1029" s="127" t="inlineStr">
        <is>
          <t>PRODUCTION</t>
        </is>
      </c>
      <c r="E1029" s="129" t="inlineStr">
        <is>
          <t>TYRE CURING</t>
        </is>
      </c>
      <c r="F1029" s="130" t="n">
        <v>44892</v>
      </c>
      <c r="G1029" s="131">
        <f>NOW()-F1029</f>
        <v/>
      </c>
      <c r="H1029" s="104" t="inlineStr">
        <is>
          <t>U</t>
        </is>
      </c>
      <c r="I1029" s="104" t="inlineStr">
        <is>
          <t>U</t>
        </is>
      </c>
      <c r="J1029" s="147" t="n">
        <v>6</v>
      </c>
      <c r="K1029" s="147" t="n">
        <v>4</v>
      </c>
      <c r="L1029" s="147" t="n">
        <v>4</v>
      </c>
      <c r="M1029" s="147" t="n">
        <v>6</v>
      </c>
      <c r="N1029" s="147" t="n">
        <v>3</v>
      </c>
      <c r="O1029" s="104">
        <f>SUM(J1029:N1029)</f>
        <v/>
      </c>
      <c r="P1029" s="12">
        <f>O1029/IF(H1029="L",20,IF(H1029="U",30,IF(H1029="O",40,IF(H1029="I",20,""))))</f>
        <v/>
      </c>
      <c r="Q1029" s="132">
        <f>IF(AND(H1029="L", P1029&gt;=50%), "Pass",
IF(AND(H1029="U", P1029&gt;=60%), "Pass",
IF(AND(H1029="O", P1029&gt;=75%), "Pass", "Fail")))</f>
        <v/>
      </c>
      <c r="R1029" s="104" t="n"/>
      <c r="S1029" s="147" t="n">
        <v>12</v>
      </c>
      <c r="T1029" s="147" t="n">
        <v>9</v>
      </c>
      <c r="U1029" s="104">
        <f>SUM(S1029:T1029)</f>
        <v/>
      </c>
      <c r="V1029" s="12">
        <f>U1029/IF(H1029="L",35,IF(H1029="U",35,IF(H1029="O",35,IF(H1029="I",35,""))))</f>
        <v/>
      </c>
      <c r="W1029" s="132">
        <f>IF(AND(H1029="L", V1029&gt;=50%), "Pass",
IF(AND(H1029="U", V1029&gt;=60%), "Pass",
IF(AND(H1029="O", V1029&gt;=75%), "Pass", "Fail")))</f>
        <v/>
      </c>
      <c r="X1029" s="132">
        <f>IF(AND(Q1029="Pass", W1029="Pass"), "Pass", "Fail")</f>
        <v/>
      </c>
      <c r="Y1029" s="15">
        <f>IF($X1029="Pass",$H1029,
IF(H1029="L","I",
IF(H1029="U","L",
IF(H1029="O","U",
"I"))))</f>
        <v/>
      </c>
    </row>
    <row r="1030">
      <c r="A1030" s="147">
        <f>ROW()-2</f>
        <v/>
      </c>
      <c r="B1030" s="127" t="inlineStr">
        <is>
          <t>KK1423</t>
        </is>
      </c>
      <c r="C1030" s="128" t="inlineStr">
        <is>
          <t>ESAKKIPANDI</t>
        </is>
      </c>
      <c r="D1030" s="127" t="inlineStr">
        <is>
          <t>PRODUCTION</t>
        </is>
      </c>
      <c r="E1030" s="129" t="inlineStr">
        <is>
          <t>BIAS MARANGONI&amp;BESTRY</t>
        </is>
      </c>
      <c r="F1030" s="130" t="n">
        <v>44939</v>
      </c>
      <c r="G1030" s="131">
        <f>NOW()-F1030</f>
        <v/>
      </c>
      <c r="H1030" s="104" t="inlineStr">
        <is>
          <t>U</t>
        </is>
      </c>
      <c r="I1030" s="104" t="inlineStr">
        <is>
          <t>U</t>
        </is>
      </c>
      <c r="J1030" s="104" t="n">
        <v>3</v>
      </c>
      <c r="K1030" s="104" t="n">
        <v>6</v>
      </c>
      <c r="L1030" s="104" t="n">
        <v>6</v>
      </c>
      <c r="M1030" s="104" t="n">
        <v>5</v>
      </c>
      <c r="N1030" s="104" t="n"/>
      <c r="O1030" s="104">
        <f>SUM(J1030:N1030)</f>
        <v/>
      </c>
      <c r="P1030" s="12">
        <f>O1030/IF(H1030="L",20,IF(H1030="U",30,IF(H1030="O",40,IF(H1030="I",20,""))))</f>
        <v/>
      </c>
      <c r="Q1030" s="132">
        <f>IF(AND(H1030="L", P1030&gt;=50%), "Pass",
IF(AND(H1030="U", P1030&gt;=60%), "Pass",
IF(AND(H1030="O", P1030&gt;=75%), "Pass", "Fail")))</f>
        <v/>
      </c>
      <c r="R1030" s="104" t="n"/>
      <c r="S1030" s="104" t="n">
        <v>16</v>
      </c>
      <c r="T1030" s="104" t="n">
        <v>12</v>
      </c>
      <c r="U1030" s="104">
        <f>SUM(S1030:T1030)</f>
        <v/>
      </c>
      <c r="V1030" s="12">
        <f>U1030/IF(H1030="L",35,IF(H1030="U",35,IF(H1030="O",35,IF(H1030="I",35,""))))</f>
        <v/>
      </c>
      <c r="W1030" s="132">
        <f>IF(AND(H1030="L", V1030&gt;=50%), "Pass",
IF(AND(H1030="U", V1030&gt;=60%), "Pass",
IF(AND(H1030="O", V1030&gt;=75%), "Pass", "Fail")))</f>
        <v/>
      </c>
      <c r="X1030" s="132">
        <f>IF(AND(Q1030="Pass", W1030="Pass"), "Pass", "Fail")</f>
        <v/>
      </c>
      <c r="Y1030" s="15">
        <f>IF($X1030="Pass",$H1030,
IF(H1030="L","I",
IF(H1030="U","L",
IF(H1030="O","U",
"I"))))</f>
        <v/>
      </c>
    </row>
    <row r="1031">
      <c r="A1031" s="147">
        <f>ROW()-2</f>
        <v/>
      </c>
      <c r="B1031" s="127" t="inlineStr">
        <is>
          <t>SK3464</t>
        </is>
      </c>
      <c r="C1031" s="128" t="inlineStr">
        <is>
          <t>MUTHUKUMAR</t>
        </is>
      </c>
      <c r="D1031" s="127" t="inlineStr">
        <is>
          <t>PRODUCTION</t>
        </is>
      </c>
      <c r="E1031" s="129" t="inlineStr">
        <is>
          <t>EXTRUDER</t>
        </is>
      </c>
      <c r="F1031" s="130" t="n">
        <v>44939</v>
      </c>
      <c r="G1031" s="131">
        <f>NOW()-F1031</f>
        <v/>
      </c>
      <c r="H1031" s="104" t="inlineStr">
        <is>
          <t>U</t>
        </is>
      </c>
      <c r="I1031" s="104" t="inlineStr">
        <is>
          <t>L</t>
        </is>
      </c>
      <c r="J1031" s="104" t="n">
        <v>5</v>
      </c>
      <c r="K1031" s="104" t="n">
        <v>7</v>
      </c>
      <c r="L1031" s="104" t="n">
        <v>6</v>
      </c>
      <c r="M1031" s="104" t="n">
        <v>6</v>
      </c>
      <c r="N1031" s="104" t="n"/>
      <c r="O1031" s="104">
        <f>SUM(J1031:N1031)</f>
        <v/>
      </c>
      <c r="P1031" s="12">
        <f>O1031/IF(H1031="L",20,IF(H1031="U",30,IF(H1031="O",40,IF(H1031="I",20,""))))</f>
        <v/>
      </c>
      <c r="Q1031" s="132">
        <f>IF(AND(H1031="L", P1031&gt;=50%), "Pass",
IF(AND(H1031="U", P1031&gt;=60%), "Pass",
IF(AND(H1031="O", P1031&gt;=75%), "Pass", "Fail")))</f>
        <v/>
      </c>
      <c r="R1031" s="104" t="n"/>
      <c r="S1031" s="104" t="n">
        <v>10</v>
      </c>
      <c r="T1031" s="104" t="n">
        <v>7</v>
      </c>
      <c r="U1031" s="104">
        <f>SUM(S1031:T1031)</f>
        <v/>
      </c>
      <c r="V1031" s="12">
        <f>U1031/IF(H1031="L",35,IF(H1031="U",35,IF(H1031="O",35,IF(H1031="I",35,""))))</f>
        <v/>
      </c>
      <c r="W1031" s="132">
        <f>IF(AND(H1031="L", V1031&gt;=50%), "Pass",
IF(AND(H1031="U", V1031&gt;=60%), "Pass",
IF(AND(H1031="O", V1031&gt;=75%), "Pass", "Fail")))</f>
        <v/>
      </c>
      <c r="X1031" s="132">
        <f>IF(AND(Q1031="Pass", W1031="Pass"), "Pass", "Fail")</f>
        <v/>
      </c>
      <c r="Y1031" s="15">
        <f>IF($X1031="Pass",$H1031,
IF(H1031="L","I",
IF(H1031="U","L",
IF(H1031="O","U",
"I"))))</f>
        <v/>
      </c>
    </row>
    <row r="1032">
      <c r="A1032" s="147">
        <f>ROW()-2</f>
        <v/>
      </c>
      <c r="B1032" s="127" t="inlineStr">
        <is>
          <t>SK3466</t>
        </is>
      </c>
      <c r="C1032" s="128" t="inlineStr">
        <is>
          <t>RAJESH KUMAR M</t>
        </is>
      </c>
      <c r="D1032" s="127" t="inlineStr">
        <is>
          <t>PRODUCTION</t>
        </is>
      </c>
      <c r="E1032" s="129" t="inlineStr">
        <is>
          <t>4 ROLL</t>
        </is>
      </c>
      <c r="F1032" s="130" t="n">
        <v>44939</v>
      </c>
      <c r="G1032" s="131">
        <f>NOW()-F1032</f>
        <v/>
      </c>
      <c r="H1032" s="104" t="inlineStr">
        <is>
          <t>U</t>
        </is>
      </c>
      <c r="I1032" s="104" t="inlineStr">
        <is>
          <t>L</t>
        </is>
      </c>
      <c r="J1032" s="104" t="n">
        <v>6</v>
      </c>
      <c r="K1032" s="104" t="n">
        <v>3</v>
      </c>
      <c r="L1032" s="104" t="n">
        <v>4</v>
      </c>
      <c r="M1032" s="104" t="n">
        <v>6</v>
      </c>
      <c r="N1032" s="104" t="n"/>
      <c r="O1032" s="104">
        <f>SUM(J1032:N1032)</f>
        <v/>
      </c>
      <c r="P1032" s="12">
        <f>O1032/IF(H1032="L",20,IF(H1032="U",30,IF(H1032="O",40,IF(H1032="I",20,""))))</f>
        <v/>
      </c>
      <c r="Q1032" s="132">
        <f>IF(AND(H1032="L", P1032&gt;=50%), "Pass",
IF(AND(H1032="U", P1032&gt;=60%), "Pass",
IF(AND(H1032="O", P1032&gt;=75%), "Pass", "Fail")))</f>
        <v/>
      </c>
      <c r="R1032" s="104" t="n"/>
      <c r="S1032" s="104" t="n">
        <v>13</v>
      </c>
      <c r="T1032" s="104" t="n">
        <v>6</v>
      </c>
      <c r="U1032" s="104">
        <f>SUM(S1032:T1032)</f>
        <v/>
      </c>
      <c r="V1032" s="12">
        <f>U1032/IF(H1032="L",35,IF(H1032="U",35,IF(H1032="O",35,IF(H1032="I",35,""))))</f>
        <v/>
      </c>
      <c r="W1032" s="132">
        <f>IF(AND(H1032="L", V1032&gt;=50%), "Pass",
IF(AND(H1032="U", V1032&gt;=60%), "Pass",
IF(AND(H1032="O", V1032&gt;=75%), "Pass", "Fail")))</f>
        <v/>
      </c>
      <c r="X1032" s="132">
        <f>IF(AND(Q1032="Pass", W1032="Pass"), "Pass", "Fail")</f>
        <v/>
      </c>
      <c r="Y1032" s="15">
        <f>IF($X1032="Pass",$H1032,
IF(H1032="L","I",
IF(H1032="U","L",
IF(H1032="O","U",
"I"))))</f>
        <v/>
      </c>
    </row>
    <row r="1033">
      <c r="A1033" s="147">
        <f>ROW()-2</f>
        <v/>
      </c>
      <c r="B1033" s="127" t="inlineStr">
        <is>
          <t>PK1443</t>
        </is>
      </c>
      <c r="C1033" s="128" t="inlineStr">
        <is>
          <t>NAMBI NARAYANAN K</t>
        </is>
      </c>
      <c r="D1033" s="127" t="inlineStr">
        <is>
          <t>PRODUCTION</t>
        </is>
      </c>
      <c r="E1033" s="129" t="inlineStr">
        <is>
          <t>STEELASTIC</t>
        </is>
      </c>
      <c r="F1033" s="130" t="n">
        <v>44945</v>
      </c>
      <c r="G1033" s="131">
        <f>NOW()-F1033</f>
        <v/>
      </c>
      <c r="H1033" s="104" t="inlineStr">
        <is>
          <t>U</t>
        </is>
      </c>
      <c r="I1033" s="104" t="inlineStr">
        <is>
          <t>L</t>
        </is>
      </c>
      <c r="J1033" s="104" t="n">
        <v>4</v>
      </c>
      <c r="K1033" s="104" t="n">
        <v>7</v>
      </c>
      <c r="L1033" s="104" t="n">
        <v>5</v>
      </c>
      <c r="M1033" s="104" t="n">
        <v>6</v>
      </c>
      <c r="N1033" s="104" t="n"/>
      <c r="O1033" s="104">
        <f>SUM(J1033:N1033)</f>
        <v/>
      </c>
      <c r="P1033" s="12">
        <f>O1033/IF(H1033="L",20,IF(H1033="U",30,IF(H1033="O",40,IF(H1033="I",20,""))))</f>
        <v/>
      </c>
      <c r="Q1033" s="132">
        <f>IF(AND(H1033="L", P1033&gt;=50%), "Pass",
IF(AND(H1033="U", P1033&gt;=60%), "Pass",
IF(AND(H1033="O", P1033&gt;=75%), "Pass", "Fail")))</f>
        <v/>
      </c>
      <c r="R1033" s="104" t="n"/>
      <c r="S1033" s="104" t="n">
        <v>17</v>
      </c>
      <c r="T1033" s="104" t="n">
        <v>11</v>
      </c>
      <c r="U1033" s="104">
        <f>SUM(S1033:T1033)</f>
        <v/>
      </c>
      <c r="V1033" s="12">
        <f>U1033/IF(H1033="L",35,IF(H1033="U",35,IF(H1033="O",35,IF(H1033="I",35,""))))</f>
        <v/>
      </c>
      <c r="W1033" s="132">
        <f>IF(AND(H1033="L", V1033&gt;=50%), "Pass",
IF(AND(H1033="U", V1033&gt;=60%), "Pass",
IF(AND(H1033="O", V1033&gt;=75%), "Pass", "Fail")))</f>
        <v/>
      </c>
      <c r="X1033" s="132">
        <f>IF(AND(Q1033="Pass", W1033="Pass"), "Pass", "Fail")</f>
        <v/>
      </c>
      <c r="Y1033" s="15">
        <f>IF($X1033="Pass",$H1033,
IF(H1033="L","I",
IF(H1033="U","L",
IF(H1033="O","U",
"I"))))</f>
        <v/>
      </c>
    </row>
    <row r="1034">
      <c r="A1034" s="147">
        <f>ROW()-2</f>
        <v/>
      </c>
      <c r="B1034" s="127" t="inlineStr">
        <is>
          <t>SK3469</t>
        </is>
      </c>
      <c r="C1034" s="128" t="inlineStr">
        <is>
          <t>MATHANKUMAR .K</t>
        </is>
      </c>
      <c r="D1034" s="127" t="inlineStr">
        <is>
          <t>PRODUCTION</t>
        </is>
      </c>
      <c r="E1034" s="129" t="inlineStr">
        <is>
          <t>3 ROLL-P2</t>
        </is>
      </c>
      <c r="F1034" s="130" t="n">
        <v>44954</v>
      </c>
      <c r="G1034" s="131">
        <f>NOW()-F1034</f>
        <v/>
      </c>
      <c r="H1034" s="104" t="inlineStr">
        <is>
          <t>U</t>
        </is>
      </c>
      <c r="I1034" s="104" t="inlineStr">
        <is>
          <t>L</t>
        </is>
      </c>
      <c r="J1034" s="104" t="n">
        <v>4</v>
      </c>
      <c r="K1034" s="104" t="n">
        <v>6</v>
      </c>
      <c r="L1034" s="104" t="n">
        <v>3</v>
      </c>
      <c r="M1034" s="104" t="n">
        <v>6</v>
      </c>
      <c r="N1034" s="104" t="n"/>
      <c r="O1034" s="104">
        <f>SUM(J1034:N1034)</f>
        <v/>
      </c>
      <c r="P1034" s="12">
        <f>O1034/IF(H1034="L",20,IF(H1034="U",30,IF(H1034="O",40,IF(H1034="I",20,""))))</f>
        <v/>
      </c>
      <c r="Q1034" s="132">
        <f>IF(AND(H1034="L", P1034&gt;=50%), "Pass",
IF(AND(H1034="U", P1034&gt;=60%), "Pass",
IF(AND(H1034="O", P1034&gt;=75%), "Pass", "Fail")))</f>
        <v/>
      </c>
      <c r="R1034" s="104" t="n"/>
      <c r="S1034" s="104" t="n">
        <v>15</v>
      </c>
      <c r="T1034" s="104" t="n">
        <v>10</v>
      </c>
      <c r="U1034" s="104">
        <f>SUM(S1034:T1034)</f>
        <v/>
      </c>
      <c r="V1034" s="12">
        <f>U1034/IF(H1034="L",35,IF(H1034="U",35,IF(H1034="O",35,IF(H1034="I",35,""))))</f>
        <v/>
      </c>
      <c r="W1034" s="132">
        <f>IF(AND(H1034="L", V1034&gt;=50%), "Pass",
IF(AND(H1034="U", V1034&gt;=60%), "Pass",
IF(AND(H1034="O", V1034&gt;=75%), "Pass", "Fail")))</f>
        <v/>
      </c>
      <c r="X1034" s="132">
        <f>IF(AND(Q1034="Pass", W1034="Pass"), "Pass", "Fail")</f>
        <v/>
      </c>
      <c r="Y1034" s="15">
        <f>IF($X1034="Pass",$H1034,
IF(H1034="L","I",
IF(H1034="U","L",
IF(H1034="O","U",
"I"))))</f>
        <v/>
      </c>
    </row>
    <row r="1035">
      <c r="A1035" s="147">
        <f>ROW()-2</f>
        <v/>
      </c>
      <c r="B1035" s="127" t="inlineStr">
        <is>
          <t>SK3470</t>
        </is>
      </c>
      <c r="C1035" s="128" t="inlineStr">
        <is>
          <t>AMALRAJ ANTONY JAYARAJ</t>
        </is>
      </c>
      <c r="D1035" s="127" t="inlineStr">
        <is>
          <t>PRODUCTION</t>
        </is>
      </c>
      <c r="E1035" s="129" t="inlineStr">
        <is>
          <t>SOLID TYRE</t>
        </is>
      </c>
      <c r="F1035" s="130" t="n">
        <v>44956</v>
      </c>
      <c r="G1035" s="131">
        <f>NOW()-F1035</f>
        <v/>
      </c>
      <c r="H1035" s="104" t="inlineStr">
        <is>
          <t>U</t>
        </is>
      </c>
      <c r="I1035" s="104" t="inlineStr">
        <is>
          <t>U</t>
        </is>
      </c>
      <c r="J1035" s="104" t="n">
        <v>7</v>
      </c>
      <c r="K1035" s="104" t="n">
        <v>5</v>
      </c>
      <c r="L1035" s="104" t="n">
        <v>7</v>
      </c>
      <c r="M1035" s="104" t="n">
        <v>2</v>
      </c>
      <c r="N1035" s="104" t="n"/>
      <c r="O1035" s="104">
        <f>SUM(J1035:N1035)</f>
        <v/>
      </c>
      <c r="P1035" s="12">
        <f>O1035/IF(H1035="L",20,IF(H1035="U",30,IF(H1035="O",40,IF(H1035="I",20,""))))</f>
        <v/>
      </c>
      <c r="Q1035" s="132">
        <f>IF(AND(H1035="L", P1035&gt;=50%), "Pass",
IF(AND(H1035="U", P1035&gt;=60%), "Pass",
IF(AND(H1035="O", P1035&gt;=75%), "Pass", "Fail")))</f>
        <v/>
      </c>
      <c r="R1035" s="104" t="n"/>
      <c r="S1035" s="104" t="n">
        <v>16</v>
      </c>
      <c r="T1035" s="104" t="n">
        <v>13</v>
      </c>
      <c r="U1035" s="104">
        <f>SUM(S1035:T1035)</f>
        <v/>
      </c>
      <c r="V1035" s="12">
        <f>U1035/IF(H1035="L",35,IF(H1035="U",35,IF(H1035="O",35,IF(H1035="I",35,""))))</f>
        <v/>
      </c>
      <c r="W1035" s="132">
        <f>IF(AND(H1035="L", V1035&gt;=50%), "Pass",
IF(AND(H1035="U", V1035&gt;=60%), "Pass",
IF(AND(H1035="O", V1035&gt;=75%), "Pass", "Fail")))</f>
        <v/>
      </c>
      <c r="X1035" s="132">
        <f>IF(AND(Q1035="Pass", W1035="Pass"), "Pass", "Fail")</f>
        <v/>
      </c>
      <c r="Y1035" s="15">
        <f>IF($X1035="Pass",$H1035,
IF(H1035="L","I",
IF(H1035="U","L",
IF(H1035="O","U",
"I"))))</f>
        <v/>
      </c>
    </row>
    <row r="1036">
      <c r="A1036" s="147">
        <f>ROW()-2</f>
        <v/>
      </c>
      <c r="B1036" s="127" t="inlineStr">
        <is>
          <t>PK1445</t>
        </is>
      </c>
      <c r="C1036" s="128" t="inlineStr">
        <is>
          <t>N MOHAMMED RAMZAN</t>
        </is>
      </c>
      <c r="D1036" s="127" t="inlineStr">
        <is>
          <t>PRODUCTION</t>
        </is>
      </c>
      <c r="E1036" s="129" t="inlineStr">
        <is>
          <t>YANTHAI</t>
        </is>
      </c>
      <c r="F1036" s="130" t="n">
        <v>44958</v>
      </c>
      <c r="G1036" s="131">
        <f>NOW()-F1036</f>
        <v/>
      </c>
      <c r="H1036" s="104" t="inlineStr">
        <is>
          <t>U</t>
        </is>
      </c>
      <c r="I1036" s="104" t="inlineStr">
        <is>
          <t>U</t>
        </is>
      </c>
      <c r="J1036" s="104" t="n">
        <v>7</v>
      </c>
      <c r="K1036" s="104" t="n">
        <v>7</v>
      </c>
      <c r="L1036" s="104" t="n">
        <v>8</v>
      </c>
      <c r="M1036" s="104" t="n">
        <v>6</v>
      </c>
      <c r="N1036" s="104" t="n"/>
      <c r="O1036" s="104">
        <f>SUM(J1036:N1036)</f>
        <v/>
      </c>
      <c r="P1036" s="12">
        <f>O1036/IF(H1036="L",20,IF(H1036="U",30,IF(H1036="O",40,IF(H1036="I",20,""))))</f>
        <v/>
      </c>
      <c r="Q1036" s="132">
        <f>IF(AND(H1036="L", P1036&gt;=50%), "Pass",
IF(AND(H1036="U", P1036&gt;=60%), "Pass",
IF(AND(H1036="O", P1036&gt;=75%), "Pass", "Fail")))</f>
        <v/>
      </c>
      <c r="R1036" s="104" t="n"/>
      <c r="S1036" s="104" t="n">
        <v>17</v>
      </c>
      <c r="T1036" s="104" t="n">
        <v>15</v>
      </c>
      <c r="U1036" s="104">
        <f>SUM(S1036:T1036)</f>
        <v/>
      </c>
      <c r="V1036" s="12">
        <f>U1036/IF(H1036="L",35,IF(H1036="U",35,IF(H1036="O",35,IF(H1036="I",35,""))))</f>
        <v/>
      </c>
      <c r="W1036" s="132">
        <f>IF(AND(H1036="L", V1036&gt;=50%), "Pass",
IF(AND(H1036="U", V1036&gt;=60%), "Pass",
IF(AND(H1036="O", V1036&gt;=75%), "Pass", "Fail")))</f>
        <v/>
      </c>
      <c r="X1036" s="132">
        <f>IF(AND(Q1036="Pass", W1036="Pass"), "Pass", "Fail")</f>
        <v/>
      </c>
      <c r="Y1036" s="15">
        <f>IF($X1036="Pass",$H1036,
IF(H1036="L","I",
IF(H1036="U","L",
IF(H1036="O","U",
"I"))))</f>
        <v/>
      </c>
    </row>
    <row r="1037">
      <c r="A1037" s="147">
        <f>ROW()-2</f>
        <v/>
      </c>
      <c r="B1037" s="137" t="inlineStr">
        <is>
          <t>SR1345</t>
        </is>
      </c>
      <c r="C1037" s="138" t="inlineStr">
        <is>
          <t>MUTHUKUMAR S</t>
        </is>
      </c>
      <c r="D1037" s="127" t="inlineStr">
        <is>
          <t>PRODUCTION</t>
        </is>
      </c>
      <c r="E1037" s="129" t="inlineStr">
        <is>
          <t>YANTHAI</t>
        </is>
      </c>
      <c r="F1037" s="130" t="n">
        <v>44968</v>
      </c>
      <c r="G1037" s="131">
        <f>NOW()-F1037</f>
        <v/>
      </c>
      <c r="H1037" s="104" t="inlineStr">
        <is>
          <t>U</t>
        </is>
      </c>
      <c r="I1037" s="104" t="inlineStr">
        <is>
          <t>L</t>
        </is>
      </c>
      <c r="J1037" s="104" t="n">
        <v>7</v>
      </c>
      <c r="K1037" s="104" t="n">
        <v>7</v>
      </c>
      <c r="L1037" s="104" t="n">
        <v>8</v>
      </c>
      <c r="M1037" s="104" t="n">
        <v>7</v>
      </c>
      <c r="N1037" s="104" t="n"/>
      <c r="O1037" s="104">
        <f>SUM(J1037:N1037)</f>
        <v/>
      </c>
      <c r="P1037" s="12">
        <f>O1037/IF(H1037="L",20,IF(H1037="U",30,IF(H1037="O",40,IF(H1037="I",20,""))))</f>
        <v/>
      </c>
      <c r="Q1037" s="132">
        <f>IF(AND(H1037="L", P1037&gt;=50%), "Pass",
IF(AND(H1037="U", P1037&gt;=60%), "Pass",
IF(AND(H1037="O", P1037&gt;=75%), "Pass", "Fail")))</f>
        <v/>
      </c>
      <c r="R1037" s="104" t="n"/>
      <c r="S1037" s="43" t="n">
        <v>17</v>
      </c>
      <c r="T1037" s="43" t="n">
        <v>14</v>
      </c>
      <c r="U1037" s="104">
        <f>SUM(S1037:T1037)</f>
        <v/>
      </c>
      <c r="V1037" s="12">
        <f>U1037/IF(H1037="L",35,IF(H1037="U",35,IF(H1037="O",35,IF(H1037="I",35,""))))</f>
        <v/>
      </c>
      <c r="W1037" s="132">
        <f>IF(AND(H1037="L", V1037&gt;=50%), "Pass",
IF(AND(H1037="U", V1037&gt;=60%), "Pass",
IF(AND(H1037="O", V1037&gt;=75%), "Pass", "Fail")))</f>
        <v/>
      </c>
      <c r="X1037" s="132">
        <f>IF(AND(Q1037="Pass", W1037="Pass"), "Pass", "Fail")</f>
        <v/>
      </c>
      <c r="Y1037" s="15">
        <f>IF($X1037="Pass",$H1037,
IF(H1037="L","I",
IF(H1037="U","L",
IF(H1037="O","U",
"I"))))</f>
        <v/>
      </c>
    </row>
    <row r="1038">
      <c r="A1038" s="147">
        <f>ROW()-2</f>
        <v/>
      </c>
      <c r="B1038" s="127" t="inlineStr">
        <is>
          <t>KK1429</t>
        </is>
      </c>
      <c r="C1038" s="128" t="inlineStr">
        <is>
          <t>SANKAR P</t>
        </is>
      </c>
      <c r="D1038" s="127" t="inlineStr">
        <is>
          <t>PRODUCTION</t>
        </is>
      </c>
      <c r="E1038" s="129" t="inlineStr">
        <is>
          <t>SOLID TYRE</t>
        </is>
      </c>
      <c r="F1038" s="130" t="n">
        <v>44980</v>
      </c>
      <c r="G1038" s="131">
        <f>NOW()-F1038</f>
        <v/>
      </c>
      <c r="H1038" s="104" t="inlineStr">
        <is>
          <t>U</t>
        </is>
      </c>
      <c r="I1038" s="104" t="inlineStr">
        <is>
          <t>U</t>
        </is>
      </c>
      <c r="J1038" s="104" t="n">
        <v>6</v>
      </c>
      <c r="K1038" s="104" t="n">
        <v>5</v>
      </c>
      <c r="L1038" s="104" t="n">
        <v>8</v>
      </c>
      <c r="M1038" s="104" t="n">
        <v>6</v>
      </c>
      <c r="N1038" s="104" t="n"/>
      <c r="O1038" s="104">
        <f>SUM(J1038:N1038)</f>
        <v/>
      </c>
      <c r="P1038" s="12">
        <f>O1038/IF(H1038="L",20,IF(H1038="U",30,IF(H1038="O",40,IF(H1038="I",20,""))))</f>
        <v/>
      </c>
      <c r="Q1038" s="132">
        <f>IF(AND(H1038="L", P1038&gt;=50%), "Pass",
IF(AND(H1038="U", P1038&gt;=60%), "Pass",
IF(AND(H1038="O", P1038&gt;=75%), "Pass", "Fail")))</f>
        <v/>
      </c>
      <c r="R1038" s="104" t="n"/>
      <c r="S1038" s="104" t="n">
        <v>18</v>
      </c>
      <c r="T1038" s="104" t="n">
        <v>13</v>
      </c>
      <c r="U1038" s="104">
        <f>SUM(S1038:T1038)</f>
        <v/>
      </c>
      <c r="V1038" s="12">
        <f>U1038/IF(H1038="L",35,IF(H1038="U",35,IF(H1038="O",35,IF(H1038="I",35,""))))</f>
        <v/>
      </c>
      <c r="W1038" s="132">
        <f>IF(AND(H1038="L", V1038&gt;=50%), "Pass",
IF(AND(H1038="U", V1038&gt;=60%), "Pass",
IF(AND(H1038="O", V1038&gt;=75%), "Pass", "Fail")))</f>
        <v/>
      </c>
      <c r="X1038" s="132">
        <f>IF(AND(Q1038="Pass", W1038="Pass"), "Pass", "Fail")</f>
        <v/>
      </c>
      <c r="Y1038" s="15">
        <f>IF($X1038="Pass",$H1038,
IF(H1038="L","I",
IF(H1038="U","L",
IF(H1038="O","U",
"I"))))</f>
        <v/>
      </c>
    </row>
    <row r="1039">
      <c r="A1039" s="147">
        <f>ROW()-2</f>
        <v/>
      </c>
      <c r="B1039" s="127" t="inlineStr">
        <is>
          <t>SK3486</t>
        </is>
      </c>
      <c r="C1039" s="128" t="inlineStr">
        <is>
          <t>VINAY LAKRA</t>
        </is>
      </c>
      <c r="D1039" s="127" t="inlineStr">
        <is>
          <t>PRODUCTION</t>
        </is>
      </c>
      <c r="E1039" s="129" t="inlineStr">
        <is>
          <t>TYRE CURING</t>
        </is>
      </c>
      <c r="F1039" s="130" t="n">
        <v>44993</v>
      </c>
      <c r="G1039" s="131">
        <f>NOW()-F1039</f>
        <v/>
      </c>
      <c r="H1039" s="104" t="inlineStr">
        <is>
          <t>U</t>
        </is>
      </c>
      <c r="I1039" s="104" t="inlineStr">
        <is>
          <t>L</t>
        </is>
      </c>
      <c r="J1039" s="104" t="n">
        <v>4</v>
      </c>
      <c r="K1039" s="104" t="n">
        <v>2</v>
      </c>
      <c r="L1039" s="104" t="n">
        <v>4</v>
      </c>
      <c r="M1039" s="104" t="n">
        <v>5</v>
      </c>
      <c r="N1039" s="104" t="n">
        <v>4</v>
      </c>
      <c r="O1039" s="104">
        <f>SUM(J1039:N1039)</f>
        <v/>
      </c>
      <c r="P1039" s="12">
        <f>O1039/IF(H1039="L",20,IF(H1039="U",30,IF(H1039="O",40,IF(H1039="I",20,""))))</f>
        <v/>
      </c>
      <c r="Q1039" s="132">
        <f>IF(AND(H1039="L", P1039&gt;=50%), "Pass",
IF(AND(H1039="U", P1039&gt;=60%), "Pass",
IF(AND(H1039="O", P1039&gt;=75%), "Pass", "Fail")))</f>
        <v/>
      </c>
      <c r="R1039" s="104" t="n"/>
      <c r="S1039" s="104" t="n">
        <v>15</v>
      </c>
      <c r="T1039" s="104" t="n">
        <v>12</v>
      </c>
      <c r="U1039" s="104">
        <f>SUM(S1039:T1039)</f>
        <v/>
      </c>
      <c r="V1039" s="12">
        <f>U1039/IF(H1039="L",35,IF(H1039="U",35,IF(H1039="O",35,IF(H1039="I",35,""))))</f>
        <v/>
      </c>
      <c r="W1039" s="132">
        <f>IF(AND(H1039="L", V1039&gt;=50%), "Pass",
IF(AND(H1039="U", V1039&gt;=60%), "Pass",
IF(AND(H1039="O", V1039&gt;=75%), "Pass", "Fail")))</f>
        <v/>
      </c>
      <c r="X1039" s="132">
        <f>IF(AND(Q1039="Pass", W1039="Pass"), "Pass", "Fail")</f>
        <v/>
      </c>
      <c r="Y1039" s="15">
        <f>IF($X1039="Pass",$H1039,
IF(H1039="L","I",
IF(H1039="U","L",
IF(H1039="O","U",
"I"))))</f>
        <v/>
      </c>
    </row>
    <row r="1040">
      <c r="A1040" s="147">
        <f>ROW()-2</f>
        <v/>
      </c>
      <c r="B1040" s="127" t="inlineStr">
        <is>
          <t>SR1351</t>
        </is>
      </c>
      <c r="C1040" s="128" t="inlineStr">
        <is>
          <t>NAMBI IYAPPAN</t>
        </is>
      </c>
      <c r="D1040" s="127" t="inlineStr">
        <is>
          <t>PRODUCTION</t>
        </is>
      </c>
      <c r="E1040" s="129" t="inlineStr">
        <is>
          <t>STEELASTIC</t>
        </is>
      </c>
      <c r="F1040" s="130" t="n">
        <v>45000</v>
      </c>
      <c r="G1040" s="131">
        <f>NOW()-F1040</f>
        <v/>
      </c>
      <c r="H1040" s="104" t="inlineStr">
        <is>
          <t>U</t>
        </is>
      </c>
      <c r="I1040" s="104" t="inlineStr">
        <is>
          <t>L</t>
        </is>
      </c>
      <c r="J1040" s="104" t="n">
        <v>5</v>
      </c>
      <c r="K1040" s="104" t="n">
        <v>8</v>
      </c>
      <c r="L1040" s="104" t="n">
        <v>6</v>
      </c>
      <c r="M1040" s="104" t="n">
        <v>2</v>
      </c>
      <c r="N1040" s="104" t="n"/>
      <c r="O1040" s="104">
        <f>SUM(J1040:N1040)</f>
        <v/>
      </c>
      <c r="P1040" s="12">
        <f>O1040/IF(H1040="L",20,IF(H1040="U",30,IF(H1040="O",40,IF(H1040="I",20,""))))</f>
        <v/>
      </c>
      <c r="Q1040" s="132">
        <f>IF(AND(H1040="L", P1040&gt;=50%), "Pass",
IF(AND(H1040="U", P1040&gt;=60%), "Pass",
IF(AND(H1040="O", P1040&gt;=75%), "Pass", "Fail")))</f>
        <v/>
      </c>
      <c r="R1040" s="104" t="n"/>
      <c r="S1040" s="104" t="n">
        <v>16</v>
      </c>
      <c r="T1040" s="104" t="n">
        <v>11</v>
      </c>
      <c r="U1040" s="104">
        <f>SUM(S1040:T1040)</f>
        <v/>
      </c>
      <c r="V1040" s="12">
        <f>U1040/IF(H1040="L",35,IF(H1040="U",35,IF(H1040="O",35,IF(H1040="I",35,""))))</f>
        <v/>
      </c>
      <c r="W1040" s="132">
        <f>IF(AND(H1040="L", V1040&gt;=50%), "Pass",
IF(AND(H1040="U", V1040&gt;=60%), "Pass",
IF(AND(H1040="O", V1040&gt;=75%), "Pass", "Fail")))</f>
        <v/>
      </c>
      <c r="X1040" s="132">
        <f>IF(AND(Q1040="Pass", W1040="Pass"), "Pass", "Fail")</f>
        <v/>
      </c>
      <c r="Y1040" s="15">
        <f>IF($X1040="Pass",$H1040,
IF(H1040="L","I",
IF(H1040="U","L",
IF(H1040="O","U",
"I"))))</f>
        <v/>
      </c>
    </row>
    <row r="1041">
      <c r="A1041" s="147">
        <f>ROW()-2</f>
        <v/>
      </c>
      <c r="B1041" s="127" t="inlineStr">
        <is>
          <t>SK3492</t>
        </is>
      </c>
      <c r="C1041" s="128" t="inlineStr">
        <is>
          <t>DILKHUSH KUMAR</t>
        </is>
      </c>
      <c r="D1041" s="127" t="inlineStr">
        <is>
          <t>PRODUCTION</t>
        </is>
      </c>
      <c r="E1041" s="129" t="inlineStr">
        <is>
          <t>SOLID TYRE</t>
        </is>
      </c>
      <c r="F1041" s="130" t="n">
        <v>45019</v>
      </c>
      <c r="G1041" s="131">
        <f>NOW()-F1041</f>
        <v/>
      </c>
      <c r="H1041" s="104" t="inlineStr">
        <is>
          <t>U</t>
        </is>
      </c>
      <c r="I1041" s="104" t="inlineStr">
        <is>
          <t>U</t>
        </is>
      </c>
      <c r="J1041" s="104" t="n">
        <v>7</v>
      </c>
      <c r="K1041" s="104" t="n">
        <v>6</v>
      </c>
      <c r="L1041" s="104" t="n">
        <v>7</v>
      </c>
      <c r="M1041" s="104" t="n">
        <v>5</v>
      </c>
      <c r="N1041" s="104" t="n"/>
      <c r="O1041" s="104">
        <f>SUM(J1041:N1041)</f>
        <v/>
      </c>
      <c r="P1041" s="12">
        <f>O1041/IF(H1041="L",20,IF(H1041="U",30,IF(H1041="O",40,IF(H1041="I",20,""))))</f>
        <v/>
      </c>
      <c r="Q1041" s="132">
        <f>IF(AND(H1041="L", P1041&gt;=50%), "Pass",
IF(AND(H1041="U", P1041&gt;=60%), "Pass",
IF(AND(H1041="O", P1041&gt;=75%), "Pass", "Fail")))</f>
        <v/>
      </c>
      <c r="R1041" s="104" t="n"/>
      <c r="S1041" s="104" t="n">
        <v>16</v>
      </c>
      <c r="T1041" s="104" t="n">
        <v>13</v>
      </c>
      <c r="U1041" s="104">
        <f>SUM(S1041:T1041)</f>
        <v/>
      </c>
      <c r="V1041" s="12">
        <f>U1041/IF(H1041="L",35,IF(H1041="U",35,IF(H1041="O",35,IF(H1041="I",35,""))))</f>
        <v/>
      </c>
      <c r="W1041" s="132">
        <f>IF(AND(H1041="L", V1041&gt;=50%), "Pass",
IF(AND(H1041="U", V1041&gt;=60%), "Pass",
IF(AND(H1041="O", V1041&gt;=75%), "Pass", "Fail")))</f>
        <v/>
      </c>
      <c r="X1041" s="132">
        <f>IF(AND(Q1041="Pass", W1041="Pass"), "Pass", "Fail")</f>
        <v/>
      </c>
      <c r="Y1041" s="15">
        <f>IF($X1041="Pass",$H1041,
IF(H1041="L","I",
IF(H1041="U","L",
IF(H1041="O","U",
"I"))))</f>
        <v/>
      </c>
    </row>
    <row r="1042">
      <c r="A1042" s="147">
        <f>ROW()-2</f>
        <v/>
      </c>
      <c r="B1042" s="127" t="inlineStr">
        <is>
          <t>MG1546</t>
        </is>
      </c>
      <c r="C1042" s="128" t="inlineStr">
        <is>
          <t>KARTHICK</t>
        </is>
      </c>
      <c r="D1042" s="127" t="inlineStr">
        <is>
          <t>PRODUCTION</t>
        </is>
      </c>
      <c r="E1042" s="129" t="inlineStr">
        <is>
          <t>BEAD WINDING</t>
        </is>
      </c>
      <c r="F1042" s="130" t="n">
        <v>45029</v>
      </c>
      <c r="G1042" s="131">
        <f>NOW()-F1042</f>
        <v/>
      </c>
      <c r="H1042" s="104" t="inlineStr">
        <is>
          <t>U</t>
        </is>
      </c>
      <c r="I1042" s="104" t="inlineStr">
        <is>
          <t>L</t>
        </is>
      </c>
      <c r="J1042" s="104" t="n">
        <v>4</v>
      </c>
      <c r="K1042" s="104" t="n">
        <v>6</v>
      </c>
      <c r="L1042" s="104" t="n">
        <v>3</v>
      </c>
      <c r="M1042" s="104" t="n">
        <v>4</v>
      </c>
      <c r="N1042" s="104" t="n"/>
      <c r="O1042" s="104">
        <f>SUM(J1042:N1042)</f>
        <v/>
      </c>
      <c r="P1042" s="12">
        <f>O1042/IF(H1042="L",20,IF(H1042="U",30,IF(H1042="O",40,IF(H1042="I",20,""))))</f>
        <v/>
      </c>
      <c r="Q1042" s="132">
        <f>IF(AND(H1042="L", P1042&gt;=50%), "Pass",
IF(AND(H1042="U", P1042&gt;=60%), "Pass",
IF(AND(H1042="O", P1042&gt;=75%), "Pass", "Fail")))</f>
        <v/>
      </c>
      <c r="R1042" s="104" t="n"/>
      <c r="S1042" s="104" t="n">
        <v>11</v>
      </c>
      <c r="T1042" s="104" t="n">
        <v>6</v>
      </c>
      <c r="U1042" s="104">
        <f>SUM(S1042:T1042)</f>
        <v/>
      </c>
      <c r="V1042" s="12">
        <f>U1042/IF(H1042="L",35,IF(H1042="U",35,IF(H1042="O",35,IF(H1042="I",35,""))))</f>
        <v/>
      </c>
      <c r="W1042" s="132">
        <f>IF(AND(H1042="L", V1042&gt;=50%), "Pass",
IF(AND(H1042="U", V1042&gt;=60%), "Pass",
IF(AND(H1042="O", V1042&gt;=75%), "Pass", "Fail")))</f>
        <v/>
      </c>
      <c r="X1042" s="132">
        <f>IF(AND(Q1042="Pass", W1042="Pass"), "Pass", "Fail")</f>
        <v/>
      </c>
      <c r="Y1042" s="15">
        <f>IF($X1042="Pass",$H1042,
IF(H1042="L","I",
IF(H1042="U","L",
IF(H1042="O","U",
"I"))))</f>
        <v/>
      </c>
    </row>
    <row r="1043">
      <c r="A1043" s="147">
        <f>ROW()-2</f>
        <v/>
      </c>
      <c r="B1043" s="127" t="inlineStr">
        <is>
          <t>PK1458</t>
        </is>
      </c>
      <c r="C1043" s="128" t="inlineStr">
        <is>
          <t>SURESH</t>
        </is>
      </c>
      <c r="D1043" s="127" t="inlineStr">
        <is>
          <t>PRODUCTION</t>
        </is>
      </c>
      <c r="E1043" s="129" t="inlineStr">
        <is>
          <t>BEAD WINDING</t>
        </is>
      </c>
      <c r="F1043" s="130" t="n">
        <v>45029</v>
      </c>
      <c r="G1043" s="131">
        <f>NOW()-F1043</f>
        <v/>
      </c>
      <c r="H1043" s="104" t="inlineStr">
        <is>
          <t>U</t>
        </is>
      </c>
      <c r="I1043" s="104" t="inlineStr">
        <is>
          <t>U</t>
        </is>
      </c>
      <c r="J1043" s="104" t="n">
        <v>3</v>
      </c>
      <c r="K1043" s="104" t="n">
        <v>5</v>
      </c>
      <c r="L1043" s="104" t="n">
        <v>2</v>
      </c>
      <c r="M1043" s="104" t="n">
        <v>3</v>
      </c>
      <c r="N1043" s="104" t="n"/>
      <c r="O1043" s="104">
        <f>SUM(J1043:N1043)</f>
        <v/>
      </c>
      <c r="P1043" s="12">
        <f>O1043/IF(H1043="L",20,IF(H1043="U",30,IF(H1043="O",40,IF(H1043="I",20,""))))</f>
        <v/>
      </c>
      <c r="Q1043" s="132">
        <f>IF(AND(H1043="L", P1043&gt;=50%), "Pass",
IF(AND(H1043="U", P1043&gt;=60%), "Pass",
IF(AND(H1043="O", P1043&gt;=75%), "Pass", "Fail")))</f>
        <v/>
      </c>
      <c r="R1043" s="104" t="n"/>
      <c r="S1043" s="104" t="n">
        <v>12</v>
      </c>
      <c r="T1043" s="104" t="n">
        <v>9</v>
      </c>
      <c r="U1043" s="104">
        <f>SUM(S1043:T1043)</f>
        <v/>
      </c>
      <c r="V1043" s="12">
        <f>U1043/IF(H1043="L",35,IF(H1043="U",35,IF(H1043="O",35,IF(H1043="I",35,""))))</f>
        <v/>
      </c>
      <c r="W1043" s="132">
        <f>IF(AND(H1043="L", V1043&gt;=50%), "Pass",
IF(AND(H1043="U", V1043&gt;=60%), "Pass",
IF(AND(H1043="O", V1043&gt;=75%), "Pass", "Fail")))</f>
        <v/>
      </c>
      <c r="X1043" s="132">
        <f>IF(AND(Q1043="Pass", W1043="Pass"), "Pass", "Fail")</f>
        <v/>
      </c>
      <c r="Y1043" s="15">
        <f>IF($X1043="Pass",$H1043,
IF(H1043="L","I",
IF(H1043="U","L",
IF(H1043="O","U",
"I"))))</f>
        <v/>
      </c>
    </row>
    <row r="1044">
      <c r="A1044" s="147">
        <f>ROW()-2</f>
        <v/>
      </c>
      <c r="B1044" s="127" t="inlineStr">
        <is>
          <t>SK3497</t>
        </is>
      </c>
      <c r="C1044" s="128" t="inlineStr">
        <is>
          <t>KAMARAJ K</t>
        </is>
      </c>
      <c r="D1044" s="127" t="inlineStr">
        <is>
          <t>PRODUCTION</t>
        </is>
      </c>
      <c r="E1044" s="129" t="inlineStr">
        <is>
          <t>BIAS CUTTING-5</t>
        </is>
      </c>
      <c r="F1044" s="130" t="n">
        <v>45044</v>
      </c>
      <c r="G1044" s="131">
        <f>NOW()-F1044</f>
        <v/>
      </c>
      <c r="H1044" s="104" t="inlineStr">
        <is>
          <t>U</t>
        </is>
      </c>
      <c r="I1044" s="104" t="inlineStr">
        <is>
          <t>L</t>
        </is>
      </c>
      <c r="J1044" s="104" t="n">
        <v>7</v>
      </c>
      <c r="K1044" s="104" t="n">
        <v>6</v>
      </c>
      <c r="L1044" s="104" t="n">
        <v>6</v>
      </c>
      <c r="M1044" s="104" t="n">
        <v>7</v>
      </c>
      <c r="N1044" s="104" t="n"/>
      <c r="O1044" s="104">
        <f>SUM(J1044:N1044)</f>
        <v/>
      </c>
      <c r="P1044" s="12">
        <f>O1044/IF(H1044="L",20,IF(H1044="U",30,IF(H1044="O",40,IF(H1044="I",20,""))))</f>
        <v/>
      </c>
      <c r="Q1044" s="132">
        <f>IF(AND(H1044="L", P1044&gt;=50%), "Pass",
IF(AND(H1044="U", P1044&gt;=60%), "Pass",
IF(AND(H1044="O", P1044&gt;=75%), "Pass", "Fail")))</f>
        <v/>
      </c>
      <c r="R1044" s="104" t="n"/>
      <c r="S1044" s="104" t="n">
        <v>11</v>
      </c>
      <c r="T1044" s="104" t="n">
        <v>6</v>
      </c>
      <c r="U1044" s="104">
        <f>SUM(S1044:T1044)</f>
        <v/>
      </c>
      <c r="V1044" s="12">
        <f>U1044/IF(H1044="L",35,IF(H1044="U",35,IF(H1044="O",35,IF(H1044="I",35,""))))</f>
        <v/>
      </c>
      <c r="W1044" s="132">
        <f>IF(AND(H1044="L", V1044&gt;=50%), "Pass",
IF(AND(H1044="U", V1044&gt;=60%), "Pass",
IF(AND(H1044="O", V1044&gt;=75%), "Pass", "Fail")))</f>
        <v/>
      </c>
      <c r="X1044" s="132">
        <f>IF(AND(Q1044="Pass", W1044="Pass"), "Pass", "Fail")</f>
        <v/>
      </c>
      <c r="Y1044" s="15">
        <f>IF($X1044="Pass",$H1044,
IF(H1044="L","I",
IF(H1044="U","L",
IF(H1044="O","U",
"I"))))</f>
        <v/>
      </c>
    </row>
    <row r="1045">
      <c r="A1045" s="147">
        <f>ROW()-2</f>
        <v/>
      </c>
      <c r="B1045" s="127" t="inlineStr">
        <is>
          <t>SK3504</t>
        </is>
      </c>
      <c r="C1045" s="128" t="inlineStr">
        <is>
          <t>RAJKUMAR M</t>
        </is>
      </c>
      <c r="D1045" s="127" t="inlineStr">
        <is>
          <t>PRODUCTION</t>
        </is>
      </c>
      <c r="E1045" s="129" t="inlineStr">
        <is>
          <t>SOLID TYRE</t>
        </is>
      </c>
      <c r="F1045" s="130" t="n">
        <v>45055</v>
      </c>
      <c r="G1045" s="131">
        <f>NOW()-F1045</f>
        <v/>
      </c>
      <c r="H1045" s="104" t="inlineStr">
        <is>
          <t>U</t>
        </is>
      </c>
      <c r="I1045" s="104" t="inlineStr">
        <is>
          <t>U</t>
        </is>
      </c>
      <c r="J1045" s="104" t="n">
        <v>7</v>
      </c>
      <c r="K1045" s="104" t="n">
        <v>5</v>
      </c>
      <c r="L1045" s="104" t="n">
        <v>6</v>
      </c>
      <c r="M1045" s="104" t="n">
        <v>4</v>
      </c>
      <c r="N1045" s="104" t="n"/>
      <c r="O1045" s="104">
        <f>SUM(J1045:N1045)</f>
        <v/>
      </c>
      <c r="P1045" s="12">
        <f>O1045/IF(H1045="L",20,IF(H1045="U",30,IF(H1045="O",40,IF(H1045="I",20,""))))</f>
        <v/>
      </c>
      <c r="Q1045" s="132">
        <f>IF(AND(H1045="L", P1045&gt;=50%), "Pass",
IF(AND(H1045="U", P1045&gt;=60%), "Pass",
IF(AND(H1045="O", P1045&gt;=75%), "Pass", "Fail")))</f>
        <v/>
      </c>
      <c r="R1045" s="104" t="n"/>
      <c r="S1045" s="104" t="n">
        <v>14</v>
      </c>
      <c r="T1045" s="104" t="n">
        <v>13</v>
      </c>
      <c r="U1045" s="104">
        <f>SUM(S1045:T1045)</f>
        <v/>
      </c>
      <c r="V1045" s="12">
        <f>U1045/IF(H1045="L",35,IF(H1045="U",35,IF(H1045="O",35,IF(H1045="I",35,""))))</f>
        <v/>
      </c>
      <c r="W1045" s="132">
        <f>IF(AND(H1045="L", V1045&gt;=50%), "Pass",
IF(AND(H1045="U", V1045&gt;=60%), "Pass",
IF(AND(H1045="O", V1045&gt;=75%), "Pass", "Fail")))</f>
        <v/>
      </c>
      <c r="X1045" s="132">
        <f>IF(AND(Q1045="Pass", W1045="Pass"), "Pass", "Fail")</f>
        <v/>
      </c>
      <c r="Y1045" s="15">
        <f>IF($X1045="Pass",$H1045,
IF(H1045="L","I",
IF(H1045="U","L",
IF(H1045="O","U",
"I"))))</f>
        <v/>
      </c>
    </row>
    <row r="1046">
      <c r="A1046" s="147">
        <f>ROW()-2</f>
        <v/>
      </c>
      <c r="B1046" s="133" t="inlineStr">
        <is>
          <t>KK1444</t>
        </is>
      </c>
      <c r="C1046" s="148" t="inlineStr">
        <is>
          <t>JEGANVINOTH NARAYANAN</t>
        </is>
      </c>
      <c r="D1046" s="127" t="inlineStr">
        <is>
          <t>PRODUCTION</t>
        </is>
      </c>
      <c r="E1046" s="135" t="inlineStr">
        <is>
          <t>SOLID TYRE</t>
        </is>
      </c>
      <c r="F1046" s="136" t="n">
        <v>45059</v>
      </c>
      <c r="G1046" s="131">
        <f>NOW()-F1046</f>
        <v/>
      </c>
      <c r="H1046" s="104" t="inlineStr">
        <is>
          <t>U</t>
        </is>
      </c>
      <c r="I1046" s="104" t="inlineStr">
        <is>
          <t>L</t>
        </is>
      </c>
      <c r="J1046" s="104" t="n">
        <v>6</v>
      </c>
      <c r="K1046" s="104" t="n">
        <v>8</v>
      </c>
      <c r="L1046" s="104" t="n">
        <v>7</v>
      </c>
      <c r="M1046" s="104" t="n">
        <v>4</v>
      </c>
      <c r="N1046" s="104" t="n"/>
      <c r="O1046" s="104">
        <f>SUM(J1046:N1046)</f>
        <v/>
      </c>
      <c r="P1046" s="12">
        <f>O1046/IF(H1046="L",20,IF(H1046="U",30,IF(H1046="O",40,IF(H1046="I",20,""))))</f>
        <v/>
      </c>
      <c r="Q1046" s="132">
        <f>IF(AND(H1046="L", P1046&gt;=50%), "Pass",
IF(AND(H1046="U", P1046&gt;=60%), "Pass",
IF(AND(H1046="O", P1046&gt;=75%), "Pass", "Fail")))</f>
        <v/>
      </c>
      <c r="R1046" s="104" t="n"/>
      <c r="S1046" s="104" t="n">
        <v>18</v>
      </c>
      <c r="T1046" s="104" t="n">
        <v>11</v>
      </c>
      <c r="U1046" s="104">
        <f>SUM(S1046:T1046)</f>
        <v/>
      </c>
      <c r="V1046" s="12">
        <f>U1046/IF(H1046="L",35,IF(H1046="U",35,IF(H1046="O",35,IF(H1046="I",35,""))))</f>
        <v/>
      </c>
      <c r="W1046" s="132">
        <f>IF(AND(H1046="L", V1046&gt;=50%), "Pass",
IF(AND(H1046="U", V1046&gt;=60%), "Pass",
IF(AND(H1046="O", V1046&gt;=75%), "Pass", "Fail")))</f>
        <v/>
      </c>
      <c r="X1046" s="132">
        <f>IF(AND(Q1046="Pass", W1046="Pass"), "Pass", "Fail")</f>
        <v/>
      </c>
      <c r="Y1046" s="15">
        <f>IF($X1046="Pass",$H1046,
IF(H1046="L","I",
IF(H1046="U","L",
IF(H1046="O","U",
"I"))))</f>
        <v/>
      </c>
    </row>
    <row r="1047">
      <c r="A1047" s="147">
        <f>ROW()-2</f>
        <v/>
      </c>
      <c r="B1047" s="127" t="inlineStr">
        <is>
          <t>PK1465</t>
        </is>
      </c>
      <c r="C1047" s="128" t="inlineStr">
        <is>
          <t>PETCHI MUTHU K</t>
        </is>
      </c>
      <c r="D1047" s="127" t="inlineStr">
        <is>
          <t>PRODUCTION</t>
        </is>
      </c>
      <c r="E1047" s="129" t="inlineStr">
        <is>
          <t>SOLID TYRE</t>
        </is>
      </c>
      <c r="F1047" s="130" t="n">
        <v>45059</v>
      </c>
      <c r="G1047" s="131">
        <f>NOW()-F1047</f>
        <v/>
      </c>
      <c r="H1047" s="104" t="inlineStr">
        <is>
          <t>U</t>
        </is>
      </c>
      <c r="I1047" s="104" t="inlineStr">
        <is>
          <t>U</t>
        </is>
      </c>
      <c r="J1047" s="104" t="n">
        <v>7</v>
      </c>
      <c r="K1047" s="104" t="n">
        <v>6</v>
      </c>
      <c r="L1047" s="104" t="n">
        <v>7</v>
      </c>
      <c r="M1047" s="104" t="n">
        <v>5</v>
      </c>
      <c r="N1047" s="104" t="n"/>
      <c r="O1047" s="104">
        <f>SUM(J1047:N1047)</f>
        <v/>
      </c>
      <c r="P1047" s="12">
        <f>O1047/IF(H1047="L",20,IF(H1047="U",30,IF(H1047="O",40,IF(H1047="I",20,""))))</f>
        <v/>
      </c>
      <c r="Q1047" s="132">
        <f>IF(AND(H1047="L", P1047&gt;=50%), "Pass",
IF(AND(H1047="U", P1047&gt;=60%), "Pass",
IF(AND(H1047="O", P1047&gt;=75%), "Pass", "Fail")))</f>
        <v/>
      </c>
      <c r="R1047" s="104" t="n"/>
      <c r="S1047" s="104" t="n">
        <v>17</v>
      </c>
      <c r="T1047" s="104" t="n">
        <v>14</v>
      </c>
      <c r="U1047" s="104">
        <f>SUM(S1047:T1047)</f>
        <v/>
      </c>
      <c r="V1047" s="12">
        <f>U1047/IF(H1047="L",35,IF(H1047="U",35,IF(H1047="O",35,IF(H1047="I",35,""))))</f>
        <v/>
      </c>
      <c r="W1047" s="132">
        <f>IF(AND(H1047="L", V1047&gt;=50%), "Pass",
IF(AND(H1047="U", V1047&gt;=60%), "Pass",
IF(AND(H1047="O", V1047&gt;=75%), "Pass", "Fail")))</f>
        <v/>
      </c>
      <c r="X1047" s="132">
        <f>IF(AND(Q1047="Pass", W1047="Pass"), "Pass", "Fail")</f>
        <v/>
      </c>
      <c r="Y1047" s="15">
        <f>IF($X1047="Pass",$H1047,
IF(H1047="L","I",
IF(H1047="U","L",
IF(H1047="O","U",
"I"))))</f>
        <v/>
      </c>
    </row>
    <row r="1048">
      <c r="A1048" s="147">
        <f>ROW()-2</f>
        <v/>
      </c>
      <c r="B1048" s="127" t="inlineStr">
        <is>
          <t>MG1559</t>
        </is>
      </c>
      <c r="C1048" s="128" t="inlineStr">
        <is>
          <t>GANESHKUMAR M</t>
        </is>
      </c>
      <c r="D1048" s="127" t="inlineStr">
        <is>
          <t>PRODUCTION</t>
        </is>
      </c>
      <c r="E1048" s="129" t="inlineStr">
        <is>
          <t>TYRE BUILDING-P1</t>
        </is>
      </c>
      <c r="F1048" s="130" t="n">
        <v>45064</v>
      </c>
      <c r="G1048" s="131">
        <f>NOW()-F1048</f>
        <v/>
      </c>
      <c r="H1048" s="104" t="inlineStr">
        <is>
          <t>U</t>
        </is>
      </c>
      <c r="I1048" s="104" t="inlineStr">
        <is>
          <t>U</t>
        </is>
      </c>
      <c r="J1048" s="104" t="n">
        <v>7</v>
      </c>
      <c r="K1048" s="104" t="n">
        <v>7</v>
      </c>
      <c r="L1048" s="104" t="n">
        <v>8</v>
      </c>
      <c r="M1048" s="104" t="n">
        <v>7</v>
      </c>
      <c r="N1048" s="104" t="n"/>
      <c r="O1048" s="104">
        <f>SUM(J1048:N1048)</f>
        <v/>
      </c>
      <c r="P1048" s="12">
        <f>O1048/IF(H1048="L",20,IF(H1048="U",30,IF(H1048="O",40,IF(H1048="I",20,""))))</f>
        <v/>
      </c>
      <c r="Q1048" s="132">
        <f>IF(AND(H1048="L", P1048&gt;=50%), "Pass",
IF(AND(H1048="U", P1048&gt;=60%), "Pass",
IF(AND(H1048="O", P1048&gt;=75%), "Pass", "Fail")))</f>
        <v/>
      </c>
      <c r="R1048" s="104" t="n"/>
      <c r="S1048" s="104" t="n">
        <v>13</v>
      </c>
      <c r="T1048" s="104" t="n">
        <v>12</v>
      </c>
      <c r="U1048" s="104">
        <f>SUM(S1048:T1048)</f>
        <v/>
      </c>
      <c r="V1048" s="12">
        <f>U1048/IF(H1048="L",35,IF(H1048="U",35,IF(H1048="O",35,IF(H1048="I",35,""))))</f>
        <v/>
      </c>
      <c r="W1048" s="132">
        <f>IF(AND(H1048="L", V1048&gt;=50%), "Pass",
IF(AND(H1048="U", V1048&gt;=60%), "Pass",
IF(AND(H1048="O", V1048&gt;=75%), "Pass", "Fail")))</f>
        <v/>
      </c>
      <c r="X1048" s="132">
        <f>IF(AND(Q1048="Pass", W1048="Pass"), "Pass", "Fail")</f>
        <v/>
      </c>
      <c r="Y1048" s="15">
        <f>IF($X1048="Pass",$H1048,
IF(H1048="L","I",
IF(H1048="U","L",
IF(H1048="O","U",
"I"))))</f>
        <v/>
      </c>
    </row>
    <row r="1049">
      <c r="A1049" s="147">
        <f>ROW()-2</f>
        <v/>
      </c>
      <c r="B1049" s="133" t="inlineStr">
        <is>
          <t>PK1474</t>
        </is>
      </c>
      <c r="C1049" s="148" t="inlineStr">
        <is>
          <t>PARAMASIVAM M</t>
        </is>
      </c>
      <c r="D1049" s="127" t="inlineStr">
        <is>
          <t>PRODUCTION</t>
        </is>
      </c>
      <c r="E1049" s="135" t="inlineStr">
        <is>
          <t>LINER DRESSING</t>
        </is>
      </c>
      <c r="F1049" s="136" t="n">
        <v>45066</v>
      </c>
      <c r="G1049" s="131">
        <f>NOW()-F1049</f>
        <v/>
      </c>
      <c r="H1049" s="104" t="inlineStr">
        <is>
          <t>U</t>
        </is>
      </c>
      <c r="I1049" s="104" t="inlineStr">
        <is>
          <t>L</t>
        </is>
      </c>
      <c r="J1049" s="104" t="n">
        <v>3</v>
      </c>
      <c r="K1049" s="104" t="n">
        <v>2</v>
      </c>
      <c r="L1049" s="104" t="n">
        <v>2</v>
      </c>
      <c r="M1049" s="104" t="n">
        <v>5</v>
      </c>
      <c r="N1049" s="104" t="n"/>
      <c r="O1049" s="104">
        <f>SUM(J1049:N1049)</f>
        <v/>
      </c>
      <c r="P1049" s="12">
        <f>O1049/IF(H1049="L",20,IF(H1049="U",30,IF(H1049="O",40,IF(H1049="I",20,""))))</f>
        <v/>
      </c>
      <c r="Q1049" s="132">
        <f>IF(AND(H1049="L", P1049&gt;=50%), "Pass",
IF(AND(H1049="U", P1049&gt;=60%), "Pass",
IF(AND(H1049="O", P1049&gt;=75%), "Pass", "Fail")))</f>
        <v/>
      </c>
      <c r="R1049" s="104" t="n"/>
      <c r="S1049" s="104" t="n">
        <v>12</v>
      </c>
      <c r="T1049" s="104" t="n">
        <v>6</v>
      </c>
      <c r="U1049" s="104">
        <f>SUM(S1049:T1049)</f>
        <v/>
      </c>
      <c r="V1049" s="12">
        <f>U1049/IF(H1049="L",35,IF(H1049="U",35,IF(H1049="O",35,IF(H1049="I",35,""))))</f>
        <v/>
      </c>
      <c r="W1049" s="132">
        <f>IF(AND(H1049="L", V1049&gt;=50%), "Pass",
IF(AND(H1049="U", V1049&gt;=60%), "Pass",
IF(AND(H1049="O", V1049&gt;=75%), "Pass", "Fail")))</f>
        <v/>
      </c>
      <c r="X1049" s="132">
        <f>IF(AND(Q1049="Pass", W1049="Pass"), "Pass", "Fail")</f>
        <v/>
      </c>
      <c r="Y1049" s="15">
        <f>IF($X1049="Pass",$H1049,
IF(H1049="L","I",
IF(H1049="U","L",
IF(H1049="O","U",
"I"))))</f>
        <v/>
      </c>
    </row>
    <row r="1050">
      <c r="A1050" s="147">
        <f>ROW()-2</f>
        <v/>
      </c>
      <c r="B1050" s="137" t="inlineStr">
        <is>
          <t>PK1476</t>
        </is>
      </c>
      <c r="C1050" s="138" t="inlineStr">
        <is>
          <t>VELLADURAI K</t>
        </is>
      </c>
      <c r="D1050" s="127" t="inlineStr">
        <is>
          <t>PRODUCTION</t>
        </is>
      </c>
      <c r="E1050" s="129" t="inlineStr">
        <is>
          <t>BEAD WINDING</t>
        </is>
      </c>
      <c r="F1050" s="130" t="n">
        <v>45069</v>
      </c>
      <c r="G1050" s="131">
        <f>NOW()-F1050</f>
        <v/>
      </c>
      <c r="H1050" s="104" t="inlineStr">
        <is>
          <t>U</t>
        </is>
      </c>
      <c r="I1050" s="104" t="inlineStr">
        <is>
          <t>L</t>
        </is>
      </c>
      <c r="J1050" s="104" t="n">
        <v>2</v>
      </c>
      <c r="K1050" s="104" t="n">
        <v>4</v>
      </c>
      <c r="L1050" s="104" t="n">
        <v>3</v>
      </c>
      <c r="M1050" s="104" t="n">
        <v>2</v>
      </c>
      <c r="N1050" s="104" t="n"/>
      <c r="O1050" s="104">
        <f>SUM(J1050:N1050)</f>
        <v/>
      </c>
      <c r="P1050" s="12">
        <f>O1050/IF(H1050="L",20,IF(H1050="U",30,IF(H1050="O",40,IF(H1050="I",20,""))))</f>
        <v/>
      </c>
      <c r="Q1050" s="132">
        <f>IF(AND(H1050="L", P1050&gt;=50%), "Pass",
IF(AND(H1050="U", P1050&gt;=60%), "Pass",
IF(AND(H1050="O", P1050&gt;=75%), "Pass", "Fail")))</f>
        <v/>
      </c>
      <c r="R1050" s="104" t="n"/>
      <c r="S1050" s="104" t="n">
        <v>14</v>
      </c>
      <c r="T1050" s="104" t="n">
        <v>9</v>
      </c>
      <c r="U1050" s="104">
        <f>SUM(S1050:T1050)</f>
        <v/>
      </c>
      <c r="V1050" s="12">
        <f>U1050/IF(H1050="L",35,IF(H1050="U",35,IF(H1050="O",35,IF(H1050="I",35,""))))</f>
        <v/>
      </c>
      <c r="W1050" s="132">
        <f>IF(AND(H1050="L", V1050&gt;=50%), "Pass",
IF(AND(H1050="U", V1050&gt;=60%), "Pass",
IF(AND(H1050="O", V1050&gt;=75%), "Pass", "Fail")))</f>
        <v/>
      </c>
      <c r="X1050" s="132">
        <f>IF(AND(Q1050="Pass", W1050="Pass"), "Pass", "Fail")</f>
        <v/>
      </c>
      <c r="Y1050" s="15">
        <f>IF($X1050="Pass",$H1050,
IF(H1050="L","I",
IF(H1050="U","L",
IF(H1050="O","U",
"I"))))</f>
        <v/>
      </c>
    </row>
    <row r="1051">
      <c r="A1051" s="147">
        <f>ROW()-2</f>
        <v/>
      </c>
      <c r="B1051" s="137" t="inlineStr">
        <is>
          <t>SR1380</t>
        </is>
      </c>
      <c r="C1051" s="138" t="inlineStr">
        <is>
          <t>SUDHAKAR T</t>
        </is>
      </c>
      <c r="D1051" s="127" t="inlineStr">
        <is>
          <t>PRODUCTION</t>
        </is>
      </c>
      <c r="E1051" s="129" t="inlineStr">
        <is>
          <t>SOLID TYRE</t>
        </is>
      </c>
      <c r="F1051" s="130" t="n">
        <v>45082</v>
      </c>
      <c r="G1051" s="131">
        <f>NOW()-F1051</f>
        <v/>
      </c>
      <c r="H1051" s="104" t="inlineStr">
        <is>
          <t>L</t>
        </is>
      </c>
      <c r="I1051" s="104" t="inlineStr">
        <is>
          <t>L</t>
        </is>
      </c>
      <c r="J1051" s="104" t="n">
        <v>5</v>
      </c>
      <c r="K1051" s="104" t="n">
        <v>5</v>
      </c>
      <c r="L1051" s="104" t="n">
        <v>3</v>
      </c>
      <c r="M1051" s="104" t="n">
        <v>3</v>
      </c>
      <c r="N1051" s="104" t="n"/>
      <c r="O1051" s="104">
        <f>SUM(J1051:N1051)</f>
        <v/>
      </c>
      <c r="P1051" s="12">
        <f>O1051/IF(H1051="L",20,IF(H1051="U",30,IF(H1051="O",40,IF(H1051="I",20,""))))</f>
        <v/>
      </c>
      <c r="Q1051" s="132">
        <f>IF(AND(H1051="L", P1051&gt;=50%), "Pass",
IF(AND(H1051="U", P1051&gt;=60%), "Pass",
IF(AND(H1051="O", P1051&gt;=75%), "Pass", "Fail")))</f>
        <v/>
      </c>
      <c r="R1051" s="104" t="n"/>
      <c r="S1051" s="104" t="n">
        <v>18</v>
      </c>
      <c r="T1051" s="104" t="n">
        <v>13</v>
      </c>
      <c r="U1051" s="104">
        <f>SUM(S1051:T1051)</f>
        <v/>
      </c>
      <c r="V1051" s="12">
        <f>U1051/IF(H1051="L",35,IF(H1051="U",35,IF(H1051="O",35,IF(H1051="I",35,""))))</f>
        <v/>
      </c>
      <c r="W1051" s="132">
        <f>IF(AND(H1051="L", V1051&gt;=50%), "Pass",
IF(AND(H1051="U", V1051&gt;=60%), "Pass",
IF(AND(H1051="O", V1051&gt;=75%), "Pass", "Fail")))</f>
        <v/>
      </c>
      <c r="X1051" s="132">
        <f>IF(AND(Q1051="Pass", W1051="Pass"), "Pass", "Fail")</f>
        <v/>
      </c>
      <c r="Y1051" s="15">
        <f>IF($X1051="Pass",$H1051,
IF(H1051="L","I",
IF(H1051="U","L",
IF(H1051="O","U",
"I"))))</f>
        <v/>
      </c>
    </row>
    <row r="1052">
      <c r="A1052" s="147">
        <f>ROW()-2</f>
        <v/>
      </c>
      <c r="B1052" s="133" t="inlineStr">
        <is>
          <t>PK1483</t>
        </is>
      </c>
      <c r="C1052" s="148" t="inlineStr">
        <is>
          <t>THANGAKALYANI MAHARAJ</t>
        </is>
      </c>
      <c r="D1052" s="127" t="inlineStr">
        <is>
          <t>PRODUCTION</t>
        </is>
      </c>
      <c r="E1052" s="135" t="inlineStr">
        <is>
          <t>LINER DRESSING</t>
        </is>
      </c>
      <c r="F1052" s="136" t="n">
        <v>45089</v>
      </c>
      <c r="G1052" s="131">
        <f>NOW()-F1052</f>
        <v/>
      </c>
      <c r="H1052" s="104" t="inlineStr">
        <is>
          <t>U</t>
        </is>
      </c>
      <c r="I1052" s="104" t="inlineStr">
        <is>
          <t>L</t>
        </is>
      </c>
      <c r="J1052" s="104" t="n">
        <v>4</v>
      </c>
      <c r="K1052" s="104" t="n">
        <v>1</v>
      </c>
      <c r="L1052" s="104" t="n">
        <v>4</v>
      </c>
      <c r="M1052" s="104" t="n">
        <v>0</v>
      </c>
      <c r="N1052" s="104" t="n"/>
      <c r="O1052" s="104">
        <f>SUM(J1052:N1052)</f>
        <v/>
      </c>
      <c r="P1052" s="12">
        <f>O1052/IF(H1052="L",20,IF(H1052="U",30,IF(H1052="O",40,IF(H1052="I",20,""))))</f>
        <v/>
      </c>
      <c r="Q1052" s="132">
        <f>IF(AND(H1052="L", P1052&gt;=50%), "Pass",
IF(AND(H1052="U", P1052&gt;=60%), "Pass",
IF(AND(H1052="O", P1052&gt;=75%), "Pass", "Fail")))</f>
        <v/>
      </c>
      <c r="R1052" s="104" t="n"/>
      <c r="S1052" s="104" t="n">
        <v>12</v>
      </c>
      <c r="T1052" s="104" t="n">
        <v>6</v>
      </c>
      <c r="U1052" s="104">
        <f>SUM(S1052:T1052)</f>
        <v/>
      </c>
      <c r="V1052" s="12">
        <f>U1052/IF(H1052="L",35,IF(H1052="U",35,IF(H1052="O",35,IF(H1052="I",35,""))))</f>
        <v/>
      </c>
      <c r="W1052" s="132">
        <f>IF(AND(H1052="L", V1052&gt;=50%), "Pass",
IF(AND(H1052="U", V1052&gt;=60%), "Pass",
IF(AND(H1052="O", V1052&gt;=75%), "Pass", "Fail")))</f>
        <v/>
      </c>
      <c r="X1052" s="132">
        <f>IF(AND(Q1052="Pass", W1052="Pass"), "Pass", "Fail")</f>
        <v/>
      </c>
      <c r="Y1052" s="15">
        <f>IF($X1052="Pass",$H1052,
IF(H1052="L","I",
IF(H1052="U","L",
IF(H1052="O","U",
"I"))))</f>
        <v/>
      </c>
    </row>
    <row r="1053">
      <c r="A1053" s="147">
        <f>ROW()-2</f>
        <v/>
      </c>
      <c r="B1053" s="133" t="inlineStr">
        <is>
          <t>SK3533</t>
        </is>
      </c>
      <c r="C1053" s="148" t="inlineStr">
        <is>
          <t>SUDALAIMUTHU</t>
        </is>
      </c>
      <c r="D1053" s="127" t="inlineStr">
        <is>
          <t>PRODUCTION</t>
        </is>
      </c>
      <c r="E1053" s="135" t="inlineStr">
        <is>
          <t>MIXING</t>
        </is>
      </c>
      <c r="F1053" s="136" t="n">
        <v>45172</v>
      </c>
      <c r="G1053" s="131">
        <f>NOW()-F1053</f>
        <v/>
      </c>
      <c r="H1053" s="104" t="inlineStr">
        <is>
          <t>U</t>
        </is>
      </c>
      <c r="I1053" s="104" t="inlineStr">
        <is>
          <t>L</t>
        </is>
      </c>
      <c r="J1053" s="104" t="inlineStr">
        <is>
          <t>NIL</t>
        </is>
      </c>
      <c r="K1053" s="104" t="n"/>
      <c r="L1053" s="104" t="n"/>
      <c r="M1053" s="104" t="n"/>
      <c r="N1053" s="104" t="n"/>
      <c r="O1053" s="104" t="n"/>
      <c r="P1053" s="12">
        <f>O1053/IF(H1053="L",20,IF(H1053="U",30,IF(H1053="O",40,IF(H1053="I",20,""))))</f>
        <v/>
      </c>
      <c r="Q1053" s="132">
        <f>IF(AND(H1053="L", P1053&gt;=50%), "Pass",
IF(AND(H1053="U", P1053&gt;=60%), "Pass",
IF(AND(H1053="O", P1053&gt;=75%), "Pass", "Fail")))</f>
        <v/>
      </c>
      <c r="R1053" s="104" t="n"/>
      <c r="S1053" s="104" t="n">
        <v>13</v>
      </c>
      <c r="T1053" s="104" t="n">
        <v>10</v>
      </c>
      <c r="U1053" s="104">
        <f>SUM(S1053:T1053)</f>
        <v/>
      </c>
      <c r="V1053" s="12">
        <f>U1053/IF(H1053="L",35,IF(H1053="U",35,IF(H1053="O",35,IF(H1053="I",35,""))))</f>
        <v/>
      </c>
      <c r="W1053" s="132">
        <f>IF(AND(H1053="L", V1053&gt;=50%), "Pass",
IF(AND(H1053="U", V1053&gt;=60%), "Pass",
IF(AND(H1053="O", V1053&gt;=75%), "Pass", "Fail")))</f>
        <v/>
      </c>
      <c r="X1053" s="132">
        <f>IF(AND(Q1053="Pass", W1053="Pass"), "Pass", "Fail")</f>
        <v/>
      </c>
      <c r="Y1053" s="15">
        <f>IF($X1053="Pass",$H1053,
IF(H1053="L","I",
IF(H1053="U","L",
IF(H1053="O","U",
"I"))))</f>
        <v/>
      </c>
    </row>
    <row r="1054">
      <c r="A1054" s="147">
        <f>ROW()-2</f>
        <v/>
      </c>
      <c r="B1054" s="127" t="inlineStr">
        <is>
          <t>SK3534</t>
        </is>
      </c>
      <c r="C1054" s="128" t="inlineStr">
        <is>
          <t>MICHAEL RAJ</t>
        </is>
      </c>
      <c r="D1054" s="127" t="inlineStr">
        <is>
          <t>PRODUCTION</t>
        </is>
      </c>
      <c r="E1054" s="129" t="inlineStr">
        <is>
          <t>EXTRUDER</t>
        </is>
      </c>
      <c r="F1054" s="130" t="n">
        <v>45172</v>
      </c>
      <c r="G1054" s="131">
        <f>NOW()-F1054</f>
        <v/>
      </c>
      <c r="H1054" s="104" t="inlineStr">
        <is>
          <t>U</t>
        </is>
      </c>
      <c r="I1054" s="104" t="inlineStr">
        <is>
          <t>L</t>
        </is>
      </c>
      <c r="J1054" s="104" t="n">
        <v>6</v>
      </c>
      <c r="K1054" s="104" t="n">
        <v>6</v>
      </c>
      <c r="L1054" s="104" t="n">
        <v>8</v>
      </c>
      <c r="M1054" s="104" t="n">
        <v>5</v>
      </c>
      <c r="N1054" s="104" t="n"/>
      <c r="O1054" s="104">
        <f>SUM(J1054:N1054)</f>
        <v/>
      </c>
      <c r="P1054" s="12">
        <f>O1054/IF(H1054="L",20,IF(H1054="U",30,IF(H1054="O",40,IF(H1054="I",20,""))))</f>
        <v/>
      </c>
      <c r="Q1054" s="132">
        <f>IF(AND(H1054="L", P1054&gt;=50%), "Pass",
IF(AND(H1054="U", P1054&gt;=60%), "Pass",
IF(AND(H1054="O", P1054&gt;=75%), "Pass", "Fail")))</f>
        <v/>
      </c>
      <c r="R1054" s="104" t="n"/>
      <c r="S1054" s="104" t="n">
        <v>15</v>
      </c>
      <c r="T1054" s="104" t="n">
        <v>9</v>
      </c>
      <c r="U1054" s="104">
        <f>SUM(S1054:T1054)</f>
        <v/>
      </c>
      <c r="V1054" s="12">
        <f>U1054/IF(H1054="L",35,IF(H1054="U",35,IF(H1054="O",35,IF(H1054="I",35,""))))</f>
        <v/>
      </c>
      <c r="W1054" s="132">
        <f>IF(AND(H1054="L", V1054&gt;=50%), "Pass",
IF(AND(H1054="U", V1054&gt;=60%), "Pass",
IF(AND(H1054="O", V1054&gt;=75%), "Pass", "Fail")))</f>
        <v/>
      </c>
      <c r="X1054" s="132">
        <f>IF(AND(Q1054="Pass", W1054="Pass"), "Pass", "Fail")</f>
        <v/>
      </c>
      <c r="Y1054" s="15">
        <f>IF($X1054="Pass",$H1054,
IF(H1054="L","I",
IF(H1054="U","L",
IF(H1054="O","U",
"I"))))</f>
        <v/>
      </c>
    </row>
    <row r="1055">
      <c r="A1055" s="147">
        <f>ROW()-2</f>
        <v/>
      </c>
      <c r="B1055" s="127" t="inlineStr">
        <is>
          <t>SK3535</t>
        </is>
      </c>
      <c r="C1055" s="128" t="inlineStr">
        <is>
          <t>SUBRAMANIAN K</t>
        </is>
      </c>
      <c r="D1055" s="127" t="inlineStr">
        <is>
          <t>PRODUCTION</t>
        </is>
      </c>
      <c r="E1055" s="129" t="inlineStr">
        <is>
          <t>TYRE CURING</t>
        </is>
      </c>
      <c r="F1055" s="130" t="n">
        <v>45202</v>
      </c>
      <c r="G1055" s="131">
        <f>NOW()-F1055</f>
        <v/>
      </c>
      <c r="H1055" s="104" t="inlineStr">
        <is>
          <t>U</t>
        </is>
      </c>
      <c r="I1055" s="104" t="inlineStr">
        <is>
          <t>L</t>
        </is>
      </c>
      <c r="J1055" s="104" t="n">
        <v>5</v>
      </c>
      <c r="K1055" s="104" t="n">
        <v>3</v>
      </c>
      <c r="L1055" s="104" t="n">
        <v>6</v>
      </c>
      <c r="M1055" s="104" t="n">
        <v>6</v>
      </c>
      <c r="N1055" s="104" t="n">
        <v>4</v>
      </c>
      <c r="O1055" s="104">
        <f>SUM(J1055:N1055)</f>
        <v/>
      </c>
      <c r="P1055" s="12">
        <f>O1055/IF(H1055="L",20,IF(H1055="U",30,IF(H1055="O",40,IF(H1055="I",20,""))))</f>
        <v/>
      </c>
      <c r="Q1055" s="132">
        <f>IF(AND(H1055="L", P1055&gt;=50%), "Pass",
IF(AND(H1055="U", P1055&gt;=60%), "Pass",
IF(AND(H1055="O", P1055&gt;=75%), "Pass", "Fail")))</f>
        <v/>
      </c>
      <c r="R1055" s="104" t="n"/>
      <c r="S1055" s="104" t="n">
        <v>17</v>
      </c>
      <c r="T1055" s="104" t="n">
        <v>13</v>
      </c>
      <c r="U1055" s="104">
        <f>SUM(S1055:T1055)</f>
        <v/>
      </c>
      <c r="V1055" s="12">
        <f>U1055/IF(H1055="L",35,IF(H1055="U",35,IF(H1055="O",35,IF(H1055="I",35,""))))</f>
        <v/>
      </c>
      <c r="W1055" s="132">
        <f>IF(AND(H1055="L", V1055&gt;=50%), "Pass",
IF(AND(H1055="U", V1055&gt;=60%), "Pass",
IF(AND(H1055="O", V1055&gt;=75%), "Pass", "Fail")))</f>
        <v/>
      </c>
      <c r="X1055" s="132">
        <f>IF(AND(Q1055="Pass", W1055="Pass"), "Pass", "Fail")</f>
        <v/>
      </c>
      <c r="Y1055" s="15">
        <f>IF($X1055="Pass",$H1055,
IF(H1055="L","I",
IF(H1055="U","L",
IF(H1055="O","U",
"I"))))</f>
        <v/>
      </c>
    </row>
    <row r="1056">
      <c r="A1056" s="147">
        <f>ROW()-2</f>
        <v/>
      </c>
      <c r="B1056" s="137" t="inlineStr">
        <is>
          <t>LN0030</t>
        </is>
      </c>
      <c r="C1056" s="138" t="inlineStr">
        <is>
          <t>K DEVADOSS</t>
        </is>
      </c>
      <c r="D1056" s="127" t="inlineStr">
        <is>
          <t>PRODUCTION</t>
        </is>
      </c>
      <c r="E1056" s="129" t="inlineStr">
        <is>
          <t>BEAD WINDING</t>
        </is>
      </c>
      <c r="F1056" s="130" t="n">
        <v>45266</v>
      </c>
      <c r="G1056" s="131">
        <f>NOW()-F1056</f>
        <v/>
      </c>
      <c r="H1056" s="104" t="inlineStr">
        <is>
          <t>L</t>
        </is>
      </c>
      <c r="I1056" s="104" t="inlineStr">
        <is>
          <t>L</t>
        </is>
      </c>
      <c r="J1056" s="104" t="n">
        <v>3</v>
      </c>
      <c r="K1056" s="104" t="n">
        <v>2</v>
      </c>
      <c r="L1056" s="104" t="n">
        <v>2</v>
      </c>
      <c r="M1056" s="104" t="n">
        <v>3</v>
      </c>
      <c r="N1056" s="104" t="n"/>
      <c r="O1056" s="104">
        <f>SUM(J1056:N1056)</f>
        <v/>
      </c>
      <c r="P1056" s="12">
        <f>O1056/IF(H1056="L",20,IF(H1056="U",30,IF(H1056="O",40,IF(H1056="I",20,""))))</f>
        <v/>
      </c>
      <c r="Q1056" s="132">
        <f>IF(AND(H1056="L", P1056&gt;=50%), "Pass",
IF(AND(H1056="U", P1056&gt;=60%), "Pass",
IF(AND(H1056="O", P1056&gt;=75%), "Pass", "Fail")))</f>
        <v/>
      </c>
      <c r="R1056" s="104" t="n"/>
      <c r="S1056" s="104" t="n">
        <v>10</v>
      </c>
      <c r="T1056" s="104" t="n">
        <v>8</v>
      </c>
      <c r="U1056" s="104">
        <f>SUM(S1056:T1056)</f>
        <v/>
      </c>
      <c r="V1056" s="12">
        <f>U1056/IF(H1056="L",35,IF(H1056="U",35,IF(H1056="O",35,IF(H1056="I",35,""))))</f>
        <v/>
      </c>
      <c r="W1056" s="132">
        <f>IF(AND(H1056="L", V1056&gt;=50%), "Pass",
IF(AND(H1056="U", V1056&gt;=60%), "Pass",
IF(AND(H1056="O", V1056&gt;=75%), "Pass", "Fail")))</f>
        <v/>
      </c>
      <c r="X1056" s="132">
        <f>IF(AND(Q1056="Pass", W1056="Pass"), "Pass", "Fail")</f>
        <v/>
      </c>
      <c r="Y1056" s="15">
        <f>IF($X1056="Pass",$H1056,
IF(H1056="L","I",
IF(H1056="U","L",
IF(H1056="O","U",
"I"))))</f>
        <v/>
      </c>
    </row>
    <row r="1057">
      <c r="A1057" s="147">
        <f>ROW()-2</f>
        <v/>
      </c>
      <c r="B1057" s="127" t="inlineStr">
        <is>
          <t>LN0116</t>
        </is>
      </c>
      <c r="C1057" s="128" t="inlineStr">
        <is>
          <t>SUDAHAKAR</t>
        </is>
      </c>
      <c r="D1057" s="127" t="inlineStr">
        <is>
          <t>PRODUCTION</t>
        </is>
      </c>
      <c r="E1057" s="129" t="inlineStr">
        <is>
          <t>TYRE CURING</t>
        </is>
      </c>
      <c r="F1057" s="130" t="n">
        <v>45320</v>
      </c>
      <c r="G1057" s="131">
        <f>NOW()-F1057</f>
        <v/>
      </c>
      <c r="H1057" s="104" t="inlineStr">
        <is>
          <t>U</t>
        </is>
      </c>
      <c r="I1057" s="104" t="inlineStr">
        <is>
          <t>L</t>
        </is>
      </c>
      <c r="J1057" s="104" t="n">
        <v>5</v>
      </c>
      <c r="K1057" s="104" t="n">
        <v>3</v>
      </c>
      <c r="L1057" s="104" t="n">
        <v>5</v>
      </c>
      <c r="M1057" s="104" t="n">
        <v>3</v>
      </c>
      <c r="N1057" s="104" t="n">
        <v>4</v>
      </c>
      <c r="O1057" s="104">
        <f>SUM(J1057:N1057)</f>
        <v/>
      </c>
      <c r="P1057" s="12">
        <f>O1057/IF(H1057="L",20,IF(H1057="U",30,IF(H1057="O",40,IF(H1057="I",20,""))))</f>
        <v/>
      </c>
      <c r="Q1057" s="132">
        <f>IF(AND(H1057="L", P1057&gt;=50%), "Pass",
IF(AND(H1057="U", P1057&gt;=60%), "Pass",
IF(AND(H1057="O", P1057&gt;=75%), "Pass", "Fail")))</f>
        <v/>
      </c>
      <c r="R1057" s="104" t="n"/>
      <c r="S1057" s="104" t="n">
        <v>11</v>
      </c>
      <c r="T1057" s="104" t="n">
        <v>9</v>
      </c>
      <c r="U1057" s="104">
        <f>SUM(S1057:T1057)</f>
        <v/>
      </c>
      <c r="V1057" s="12">
        <f>U1057/IF(H1057="L",35,IF(H1057="U",35,IF(H1057="O",35,IF(H1057="I",35,""))))</f>
        <v/>
      </c>
      <c r="W1057" s="132">
        <f>IF(AND(H1057="L", V1057&gt;=50%), "Pass",
IF(AND(H1057="U", V1057&gt;=60%), "Pass",
IF(AND(H1057="O", V1057&gt;=75%), "Pass", "Fail")))</f>
        <v/>
      </c>
      <c r="X1057" s="132">
        <f>IF(AND(Q1057="Pass", W1057="Pass"), "Pass", "Fail")</f>
        <v/>
      </c>
      <c r="Y1057" s="15">
        <f>IF($X1057="Pass",$H1057,
IF(H1057="L","I",
IF(H1057="U","L",
IF(H1057="O","U",
"I"))))</f>
        <v/>
      </c>
    </row>
    <row r="1058">
      <c r="A1058" s="147">
        <f>ROW()-2</f>
        <v/>
      </c>
      <c r="B1058" s="137" t="inlineStr">
        <is>
          <t>LN0206</t>
        </is>
      </c>
      <c r="C1058" s="138" t="inlineStr">
        <is>
          <t>GANESHKUMAR</t>
        </is>
      </c>
      <c r="D1058" s="127" t="inlineStr">
        <is>
          <t>PRODUCTION</t>
        </is>
      </c>
      <c r="E1058" s="129" t="inlineStr">
        <is>
          <t>TYRE BUILDING-P2</t>
        </is>
      </c>
      <c r="F1058" s="130" t="n">
        <v>45355</v>
      </c>
      <c r="G1058" s="131">
        <f>NOW()-F1058</f>
        <v/>
      </c>
      <c r="H1058" s="104" t="inlineStr">
        <is>
          <t>U</t>
        </is>
      </c>
      <c r="I1058" s="104" t="inlineStr">
        <is>
          <t>I</t>
        </is>
      </c>
      <c r="J1058" s="104" t="n">
        <v>7</v>
      </c>
      <c r="K1058" s="104" t="n">
        <v>5</v>
      </c>
      <c r="L1058" s="104" t="n">
        <v>6</v>
      </c>
      <c r="M1058" s="104" t="n">
        <v>7</v>
      </c>
      <c r="N1058" s="104" t="n"/>
      <c r="O1058" s="104">
        <f>SUM(J1058:N1058)</f>
        <v/>
      </c>
      <c r="P1058" s="12">
        <f>O1058/IF(H1058="L",20,IF(H1058="U",30,IF(H1058="O",40,IF(H1058="I",20,""))))</f>
        <v/>
      </c>
      <c r="Q1058" s="132">
        <f>IF(AND(H1058="L", P1058&gt;=50%), "Pass",
IF(AND(H1058="U", P1058&gt;=60%), "Pass",
IF(AND(H1058="O", P1058&gt;=75%), "Pass", "Fail")))</f>
        <v/>
      </c>
      <c r="R1058" s="104" t="n"/>
      <c r="S1058" s="104" t="n">
        <v>10</v>
      </c>
      <c r="T1058" s="104" t="n">
        <v>7</v>
      </c>
      <c r="U1058" s="104">
        <f>SUM(S1058:T1058)</f>
        <v/>
      </c>
      <c r="V1058" s="12">
        <f>U1058/IF(H1058="L",35,IF(H1058="U",35,IF(H1058="O",35,IF(H1058="I",35,""))))</f>
        <v/>
      </c>
      <c r="W1058" s="132">
        <f>IF(AND(H1058="L", V1058&gt;=50%), "Pass",
IF(AND(H1058="U", V1058&gt;=60%), "Pass",
IF(AND(H1058="O", V1058&gt;=75%), "Pass", "Fail")))</f>
        <v/>
      </c>
      <c r="X1058" s="132">
        <f>IF(AND(Q1058="Pass", W1058="Pass"), "Pass", "Fail")</f>
        <v/>
      </c>
      <c r="Y1058" s="15">
        <f>IF($X1058="Pass",$H1058,
IF(H1058="L","I",
IF(H1058="U","L",
IF(H1058="O","U",
"I"))))</f>
        <v/>
      </c>
    </row>
    <row r="1059">
      <c r="A1059" s="147">
        <f>ROW()-2</f>
        <v/>
      </c>
      <c r="B1059" s="137" t="inlineStr">
        <is>
          <t>LN0216</t>
        </is>
      </c>
      <c r="C1059" s="138" t="inlineStr">
        <is>
          <t>PANNER SELVAM M</t>
        </is>
      </c>
      <c r="D1059" s="127" t="inlineStr">
        <is>
          <t>PRODUCTION</t>
        </is>
      </c>
      <c r="E1059" s="129" t="inlineStr">
        <is>
          <t>TYRE BUILDING-P2</t>
        </is>
      </c>
      <c r="F1059" s="130" t="n">
        <v>45355</v>
      </c>
      <c r="G1059" s="131">
        <f>NOW()-F1059</f>
        <v/>
      </c>
      <c r="H1059" s="104" t="inlineStr">
        <is>
          <t>U</t>
        </is>
      </c>
      <c r="I1059" s="104" t="inlineStr">
        <is>
          <t>L</t>
        </is>
      </c>
      <c r="J1059" s="104" t="n">
        <v>6</v>
      </c>
      <c r="K1059" s="104" t="n">
        <v>4</v>
      </c>
      <c r="L1059" s="104" t="n">
        <v>6</v>
      </c>
      <c r="M1059" s="104" t="n">
        <v>7</v>
      </c>
      <c r="N1059" s="104" t="n"/>
      <c r="O1059" s="104">
        <f>SUM(J1059:N1059)</f>
        <v/>
      </c>
      <c r="P1059" s="12">
        <f>O1059/IF(H1059="L",20,IF(H1059="U",30,IF(H1059="O",40,IF(H1059="I",20,""))))</f>
        <v/>
      </c>
      <c r="Q1059" s="132">
        <f>IF(AND(H1059="L", P1059&gt;=50%), "Pass",
IF(AND(H1059="U", P1059&gt;=60%), "Pass",
IF(AND(H1059="O", P1059&gt;=75%), "Pass", "Fail")))</f>
        <v/>
      </c>
      <c r="R1059" s="104" t="n"/>
      <c r="S1059" s="104" t="n">
        <v>10</v>
      </c>
      <c r="T1059" s="104" t="n">
        <v>8</v>
      </c>
      <c r="U1059" s="104">
        <f>SUM(S1059:T1059)</f>
        <v/>
      </c>
      <c r="V1059" s="12">
        <f>U1059/IF(H1059="L",35,IF(H1059="U",35,IF(H1059="O",35,IF(H1059="I",35,""))))</f>
        <v/>
      </c>
      <c r="W1059" s="132">
        <f>IF(AND(H1059="L", V1059&gt;=50%), "Pass",
IF(AND(H1059="U", V1059&gt;=60%), "Pass",
IF(AND(H1059="O", V1059&gt;=75%), "Pass", "Fail")))</f>
        <v/>
      </c>
      <c r="X1059" s="132">
        <f>IF(AND(Q1059="Pass", W1059="Pass"), "Pass", "Fail")</f>
        <v/>
      </c>
      <c r="Y1059" s="15">
        <f>IF($X1059="Pass",$H1059,
IF(H1059="L","I",
IF(H1059="U","L",
IF(H1059="O","U",
"I"))))</f>
        <v/>
      </c>
    </row>
    <row r="1060">
      <c r="A1060" s="147">
        <f>ROW()-2</f>
        <v/>
      </c>
      <c r="B1060" s="137" t="inlineStr">
        <is>
          <t>LN0239</t>
        </is>
      </c>
      <c r="C1060" s="138" t="inlineStr">
        <is>
          <t>MUNIASAMY K</t>
        </is>
      </c>
      <c r="D1060" s="127" t="inlineStr">
        <is>
          <t>PRODUCTION</t>
        </is>
      </c>
      <c r="E1060" s="129" t="inlineStr">
        <is>
          <t>TYRE BUILDING-P2</t>
        </is>
      </c>
      <c r="F1060" s="130" t="n">
        <v>45369</v>
      </c>
      <c r="G1060" s="131">
        <f>NOW()-F1060</f>
        <v/>
      </c>
      <c r="H1060" s="104" t="inlineStr">
        <is>
          <t>U</t>
        </is>
      </c>
      <c r="I1060" s="104" t="inlineStr">
        <is>
          <t>I</t>
        </is>
      </c>
      <c r="J1060" s="104" t="n">
        <v>4</v>
      </c>
      <c r="K1060" s="104" t="n">
        <v>4</v>
      </c>
      <c r="L1060" s="104" t="n">
        <v>7</v>
      </c>
      <c r="M1060" s="104" t="n">
        <v>2</v>
      </c>
      <c r="N1060" s="104" t="n"/>
      <c r="O1060" s="104">
        <f>SUM(J1060:N1060)</f>
        <v/>
      </c>
      <c r="P1060" s="12">
        <f>O1060/IF(H1060="L",20,IF(H1060="U",30,IF(H1060="O",40,IF(H1060="I",20,""))))</f>
        <v/>
      </c>
      <c r="Q1060" s="132">
        <f>IF(AND(H1060="L", P1060&gt;=50%), "Pass",
IF(AND(H1060="U", P1060&gt;=60%), "Pass",
IF(AND(H1060="O", P1060&gt;=75%), "Pass", "Fail")))</f>
        <v/>
      </c>
      <c r="R1060" s="104" t="n"/>
      <c r="S1060" s="104" t="n">
        <v>6</v>
      </c>
      <c r="T1060" s="104" t="n">
        <v>5</v>
      </c>
      <c r="U1060" s="104">
        <f>SUM(S1060:T1060)</f>
        <v/>
      </c>
      <c r="V1060" s="12">
        <f>U1060/IF(H1060="L",35,IF(H1060="U",35,IF(H1060="O",35,IF(H1060="I",35,""))))</f>
        <v/>
      </c>
      <c r="W1060" s="132">
        <f>IF(AND(H1060="L", V1060&gt;=50%), "Pass",
IF(AND(H1060="U", V1060&gt;=60%), "Pass",
IF(AND(H1060="O", V1060&gt;=75%), "Pass", "Fail")))</f>
        <v/>
      </c>
      <c r="X1060" s="132">
        <f>IF(AND(Q1060="Pass", W1060="Pass"), "Pass", "Fail")</f>
        <v/>
      </c>
      <c r="Y1060" s="15">
        <f>IF($X1060="Pass",$H1060,
IF(H1060="L","I",
IF(H1060="U","L",
IF(H1060="O","U",
"I"))))</f>
        <v/>
      </c>
    </row>
    <row r="1061">
      <c r="A1061" s="147">
        <f>ROW()-2</f>
        <v/>
      </c>
      <c r="B1061" s="127" t="inlineStr">
        <is>
          <t>LN0285</t>
        </is>
      </c>
      <c r="C1061" s="128" t="inlineStr">
        <is>
          <t>SASIKUMAR</t>
        </is>
      </c>
      <c r="D1061" s="127" t="inlineStr">
        <is>
          <t>PRODUCTION</t>
        </is>
      </c>
      <c r="E1061" s="129" t="inlineStr">
        <is>
          <t>TYRE CURING</t>
        </is>
      </c>
      <c r="F1061" s="130" t="n">
        <v>45399</v>
      </c>
      <c r="G1061" s="131">
        <f>NOW()-F1061</f>
        <v/>
      </c>
      <c r="H1061" s="104" t="inlineStr">
        <is>
          <t>U</t>
        </is>
      </c>
      <c r="I1061" s="104" t="inlineStr">
        <is>
          <t>L</t>
        </is>
      </c>
      <c r="J1061" s="104" t="n">
        <v>5</v>
      </c>
      <c r="K1061" s="104" t="n">
        <v>2</v>
      </c>
      <c r="L1061" s="104" t="n">
        <v>5</v>
      </c>
      <c r="M1061" s="104" t="n">
        <v>5</v>
      </c>
      <c r="N1061" s="104" t="n">
        <v>3</v>
      </c>
      <c r="O1061" s="104">
        <f>SUM(J1061:N1061)</f>
        <v/>
      </c>
      <c r="P1061" s="12">
        <f>O1061/IF(H1061="L",20,IF(H1061="U",30,IF(H1061="O",40,IF(H1061="I",20,""))))</f>
        <v/>
      </c>
      <c r="Q1061" s="132">
        <f>IF(AND(H1061="L", P1061&gt;=50%), "Pass",
IF(AND(H1061="U", P1061&gt;=60%), "Pass",
IF(AND(H1061="O", P1061&gt;=75%), "Pass", "Fail")))</f>
        <v/>
      </c>
      <c r="R1061" s="104" t="n"/>
      <c r="S1061" s="104" t="n">
        <v>14</v>
      </c>
      <c r="T1061" s="104" t="n">
        <v>9</v>
      </c>
      <c r="U1061" s="104">
        <f>SUM(S1061:T1061)</f>
        <v/>
      </c>
      <c r="V1061" s="12">
        <f>U1061/IF(H1061="L",35,IF(H1061="U",35,IF(H1061="O",35,IF(H1061="I",35,""))))</f>
        <v/>
      </c>
      <c r="W1061" s="132">
        <f>IF(AND(H1061="L", V1061&gt;=50%), "Pass",
IF(AND(H1061="U", V1061&gt;=60%), "Pass",
IF(AND(H1061="O", V1061&gt;=75%), "Pass", "Fail")))</f>
        <v/>
      </c>
      <c r="X1061" s="132">
        <f>IF(AND(Q1061="Pass", W1061="Pass"), "Pass", "Fail")</f>
        <v/>
      </c>
      <c r="Y1061" s="15">
        <f>IF($X1061="Pass",$H1061,
IF(H1061="L","I",
IF(H1061="U","L",
IF(H1061="O","U",
"I"))))</f>
        <v/>
      </c>
    </row>
    <row r="1062">
      <c r="A1062" s="147">
        <f>ROW()-2</f>
        <v/>
      </c>
      <c r="B1062" s="137" t="inlineStr">
        <is>
          <t>LN0289</t>
        </is>
      </c>
      <c r="C1062" s="138" t="inlineStr">
        <is>
          <t>ESAKKI PANDI</t>
        </is>
      </c>
      <c r="D1062" s="127" t="inlineStr">
        <is>
          <t>PRODUCTION</t>
        </is>
      </c>
      <c r="E1062" s="129" t="inlineStr">
        <is>
          <t>TYRE CURING</t>
        </is>
      </c>
      <c r="F1062" s="130" t="n">
        <v>45399</v>
      </c>
      <c r="G1062" s="131">
        <f>NOW()-F1062</f>
        <v/>
      </c>
      <c r="H1062" s="104" t="inlineStr">
        <is>
          <t>U</t>
        </is>
      </c>
      <c r="I1062" s="104" t="inlineStr">
        <is>
          <t>I</t>
        </is>
      </c>
      <c r="J1062" s="104" t="n">
        <v>5</v>
      </c>
      <c r="K1062" s="104" t="n">
        <v>1</v>
      </c>
      <c r="L1062" s="104" t="n">
        <v>6</v>
      </c>
      <c r="M1062" s="104" t="n">
        <v>2</v>
      </c>
      <c r="N1062" s="104" t="n">
        <v>4</v>
      </c>
      <c r="O1062" s="104">
        <f>SUM(J1062:N1062)</f>
        <v/>
      </c>
      <c r="P1062" s="12">
        <f>O1062/IF(H1062="L",20,IF(H1062="U",30,IF(H1062="O",40,IF(H1062="I",20,""))))</f>
        <v/>
      </c>
      <c r="Q1062" s="132">
        <f>IF(AND(H1062="L", P1062&gt;=50%), "Pass",
IF(AND(H1062="U", P1062&gt;=60%), "Pass",
IF(AND(H1062="O", P1062&gt;=75%), "Pass", "Fail")))</f>
        <v/>
      </c>
      <c r="R1062" s="104" t="n"/>
      <c r="S1062" s="104" t="n">
        <v>15</v>
      </c>
      <c r="T1062" s="104" t="n">
        <v>9</v>
      </c>
      <c r="U1062" s="104">
        <f>SUM(S1062:T1062)</f>
        <v/>
      </c>
      <c r="V1062" s="12">
        <f>U1062/IF(H1062="L",35,IF(H1062="U",35,IF(H1062="O",35,IF(H1062="I",35,""))))</f>
        <v/>
      </c>
      <c r="W1062" s="132">
        <f>IF(AND(H1062="L", V1062&gt;=50%), "Pass",
IF(AND(H1062="U", V1062&gt;=60%), "Pass",
IF(AND(H1062="O", V1062&gt;=75%), "Pass", "Fail")))</f>
        <v/>
      </c>
      <c r="X1062" s="132">
        <f>IF(AND(Q1062="Pass", W1062="Pass"), "Pass", "Fail")</f>
        <v/>
      </c>
      <c r="Y1062" s="15">
        <f>IF($X1062="Pass",$H1062,
IF(H1062="L","I",
IF(H1062="U","L",
IF(H1062="O","U",
"I"))))</f>
        <v/>
      </c>
    </row>
    <row r="1063">
      <c r="A1063" s="147">
        <f>ROW()-2</f>
        <v/>
      </c>
      <c r="B1063" s="137" t="inlineStr">
        <is>
          <t>KK1456</t>
        </is>
      </c>
      <c r="C1063" s="138" t="inlineStr">
        <is>
          <t>PATTURAJAN CHELLADURAI</t>
        </is>
      </c>
      <c r="D1063" s="127" t="inlineStr">
        <is>
          <t>PRODUCTION</t>
        </is>
      </c>
      <c r="E1063" s="129" t="inlineStr">
        <is>
          <t>BEAD WINDING</t>
        </is>
      </c>
      <c r="F1063" s="130" t="n">
        <v>45436</v>
      </c>
      <c r="G1063" s="131">
        <f>NOW()-F1063</f>
        <v/>
      </c>
      <c r="H1063" s="104" t="inlineStr">
        <is>
          <t>U</t>
        </is>
      </c>
      <c r="I1063" s="104" t="inlineStr">
        <is>
          <t>I</t>
        </is>
      </c>
      <c r="J1063" s="104" t="n">
        <v>5</v>
      </c>
      <c r="K1063" s="104" t="n">
        <v>6</v>
      </c>
      <c r="L1063" s="104" t="n">
        <v>2</v>
      </c>
      <c r="M1063" s="104" t="n">
        <v>5</v>
      </c>
      <c r="N1063" s="104" t="n"/>
      <c r="O1063" s="104">
        <f>SUM(J1063:N1063)</f>
        <v/>
      </c>
      <c r="P1063" s="12">
        <f>O1063/IF(H1063="L",20,IF(H1063="U",30,IF(H1063="O",40,IF(H1063="I",20,""))))</f>
        <v/>
      </c>
      <c r="Q1063" s="132">
        <f>IF(AND(H1063="L", P1063&gt;=50%), "Pass",
IF(AND(H1063="U", P1063&gt;=60%), "Pass",
IF(AND(H1063="O", P1063&gt;=75%), "Pass", "Fail")))</f>
        <v/>
      </c>
      <c r="R1063" s="104" t="n"/>
      <c r="S1063" s="104" t="n">
        <v>12</v>
      </c>
      <c r="T1063" s="104" t="n">
        <v>6</v>
      </c>
      <c r="U1063" s="104">
        <f>SUM(S1063:T1063)</f>
        <v/>
      </c>
      <c r="V1063" s="12">
        <f>U1063/IF(H1063="L",35,IF(H1063="U",35,IF(H1063="O",35,IF(H1063="I",35,""))))</f>
        <v/>
      </c>
      <c r="W1063" s="132">
        <f>IF(AND(H1063="L", V1063&gt;=50%), "Pass",
IF(AND(H1063="U", V1063&gt;=60%), "Pass",
IF(AND(H1063="O", V1063&gt;=75%), "Pass", "Fail")))</f>
        <v/>
      </c>
      <c r="X1063" s="132">
        <f>IF(AND(Q1063="Pass", W1063="Pass"), "Pass", "Fail")</f>
        <v/>
      </c>
      <c r="Y1063" s="15">
        <f>IF($X1063="Pass",$H1063,
IF(H1063="L","I",
IF(H1063="U","L",
IF(H1063="O","U",
"I"))))</f>
        <v/>
      </c>
    </row>
    <row r="1064">
      <c r="A1064" s="147">
        <f>ROW()-2</f>
        <v/>
      </c>
      <c r="B1064" s="133" t="inlineStr">
        <is>
          <t>PK1489</t>
        </is>
      </c>
      <c r="C1064" s="148" t="inlineStr">
        <is>
          <t>PARVATHI SANKAR R</t>
        </is>
      </c>
      <c r="D1064" s="127" t="inlineStr">
        <is>
          <t>PRODUCTION</t>
        </is>
      </c>
      <c r="E1064" s="135" t="inlineStr">
        <is>
          <t>LINER DRESSING</t>
        </is>
      </c>
      <c r="F1064" s="136" t="n">
        <v>45439</v>
      </c>
      <c r="G1064" s="131">
        <f>NOW()-F1064</f>
        <v/>
      </c>
      <c r="H1064" s="104" t="inlineStr">
        <is>
          <t>U</t>
        </is>
      </c>
      <c r="I1064" s="104" t="inlineStr">
        <is>
          <t>L</t>
        </is>
      </c>
      <c r="J1064" s="104" t="n">
        <v>7</v>
      </c>
      <c r="K1064" s="104" t="n">
        <v>3</v>
      </c>
      <c r="L1064" s="104" t="n">
        <v>7</v>
      </c>
      <c r="M1064" s="104" t="n">
        <v>5</v>
      </c>
      <c r="N1064" s="104" t="n"/>
      <c r="O1064" s="104">
        <f>SUM(J1064:N1064)</f>
        <v/>
      </c>
      <c r="P1064" s="12">
        <f>O1064/IF(H1064="L",20,IF(H1064="U",30,IF(H1064="O",40,IF(H1064="I",20,""))))</f>
        <v/>
      </c>
      <c r="Q1064" s="132">
        <f>IF(AND(H1064="L", P1064&gt;=50%), "Pass",
IF(AND(H1064="U", P1064&gt;=60%), "Pass",
IF(AND(H1064="O", P1064&gt;=75%), "Pass", "Fail")))</f>
        <v/>
      </c>
      <c r="R1064" s="104" t="n"/>
      <c r="S1064" s="104" t="n">
        <v>12</v>
      </c>
      <c r="T1064" s="104" t="n">
        <v>7</v>
      </c>
      <c r="U1064" s="104">
        <f>SUM(S1064:T1064)</f>
        <v/>
      </c>
      <c r="V1064" s="12">
        <f>U1064/IF(H1064="L",35,IF(H1064="U",35,IF(H1064="O",35,IF(H1064="I",35,""))))</f>
        <v/>
      </c>
      <c r="W1064" s="132">
        <f>IF(AND(H1064="L", V1064&gt;=50%), "Pass",
IF(AND(H1064="U", V1064&gt;=60%), "Pass",
IF(AND(H1064="O", V1064&gt;=75%), "Pass", "Fail")))</f>
        <v/>
      </c>
      <c r="X1064" s="132">
        <f>IF(AND(Q1064="Pass", W1064="Pass"), "Pass", "Fail")</f>
        <v/>
      </c>
      <c r="Y1064" s="15">
        <f>IF($X1064="Pass",$H1064,
IF(H1064="L","I",
IF(H1064="U","L",
IF(H1064="O","U",
"I"))))</f>
        <v/>
      </c>
    </row>
    <row r="1065">
      <c r="A1065" s="147">
        <f>ROW()-2</f>
        <v/>
      </c>
      <c r="B1065" s="127" t="inlineStr">
        <is>
          <t>SK3548</t>
        </is>
      </c>
      <c r="C1065" s="128" t="inlineStr">
        <is>
          <t>SANTHOSH K</t>
        </is>
      </c>
      <c r="D1065" s="127" t="inlineStr">
        <is>
          <t>PRODUCTION</t>
        </is>
      </c>
      <c r="E1065" s="129" t="inlineStr">
        <is>
          <t>TYRE CURING</t>
        </is>
      </c>
      <c r="F1065" s="130" t="n">
        <v>45439</v>
      </c>
      <c r="G1065" s="131">
        <f>NOW()-F1065</f>
        <v/>
      </c>
      <c r="H1065" s="104" t="inlineStr">
        <is>
          <t>U</t>
        </is>
      </c>
      <c r="I1065" s="104" t="inlineStr">
        <is>
          <t>I</t>
        </is>
      </c>
      <c r="J1065" s="104" t="n">
        <v>6</v>
      </c>
      <c r="K1065" s="104" t="n">
        <v>4</v>
      </c>
      <c r="L1065" s="104" t="n">
        <v>5</v>
      </c>
      <c r="M1065" s="104" t="n">
        <v>6</v>
      </c>
      <c r="N1065" s="104" t="n">
        <v>3</v>
      </c>
      <c r="O1065" s="104">
        <f>SUM(J1065:N1065)</f>
        <v/>
      </c>
      <c r="P1065" s="12">
        <f>O1065/IF(H1065="L",20,IF(H1065="U",30,IF(H1065="O",40,IF(H1065="I",20,""))))</f>
        <v/>
      </c>
      <c r="Q1065" s="132">
        <f>IF(AND(H1065="L", P1065&gt;=50%), "Pass",
IF(AND(H1065="U", P1065&gt;=60%), "Pass",
IF(AND(H1065="O", P1065&gt;=75%), "Pass", "Fail")))</f>
        <v/>
      </c>
      <c r="R1065" s="104" t="n"/>
      <c r="S1065" s="104" t="n">
        <v>8</v>
      </c>
      <c r="T1065" s="104" t="n">
        <v>4</v>
      </c>
      <c r="U1065" s="104">
        <f>SUM(S1065:T1065)</f>
        <v/>
      </c>
      <c r="V1065" s="12">
        <f>U1065/IF(H1065="L",35,IF(H1065="U",35,IF(H1065="O",35,IF(H1065="I",35,""))))</f>
        <v/>
      </c>
      <c r="W1065" s="132">
        <f>IF(AND(H1065="L", V1065&gt;=50%), "Pass",
IF(AND(H1065="U", V1065&gt;=60%), "Pass",
IF(AND(H1065="O", V1065&gt;=75%), "Pass", "Fail")))</f>
        <v/>
      </c>
      <c r="X1065" s="132">
        <f>IF(AND(Q1065="Pass", W1065="Pass"), "Pass", "Fail")</f>
        <v/>
      </c>
      <c r="Y1065" s="15">
        <f>IF($X1065="Pass",$H1065,
IF(H1065="L","I",
IF(H1065="U","L",
IF(H1065="O","U",
"I"))))</f>
        <v/>
      </c>
    </row>
    <row r="1066">
      <c r="A1066" s="147">
        <f>ROW()-2</f>
        <v/>
      </c>
      <c r="B1066" s="127" t="inlineStr">
        <is>
          <t>SR1398</t>
        </is>
      </c>
      <c r="C1066" s="128" t="inlineStr">
        <is>
          <t>SELVASURYA N</t>
        </is>
      </c>
      <c r="D1066" s="127" t="inlineStr">
        <is>
          <t>PRODUCTION</t>
        </is>
      </c>
      <c r="E1066" s="129" t="inlineStr">
        <is>
          <t>TYRE BUILDING-P1</t>
        </is>
      </c>
      <c r="F1066" s="130" t="n">
        <v>45439</v>
      </c>
      <c r="G1066" s="131">
        <f>NOW()-F1066</f>
        <v/>
      </c>
      <c r="H1066" s="104" t="inlineStr">
        <is>
          <t>U</t>
        </is>
      </c>
      <c r="I1066" s="104" t="inlineStr">
        <is>
          <t>L</t>
        </is>
      </c>
      <c r="J1066" s="104" t="n">
        <v>7</v>
      </c>
      <c r="K1066" s="104" t="n">
        <v>8</v>
      </c>
      <c r="L1066" s="104" t="n">
        <v>8</v>
      </c>
      <c r="M1066" s="104" t="n">
        <v>7</v>
      </c>
      <c r="N1066" s="104" t="n"/>
      <c r="O1066" s="104">
        <f>SUM(J1066:N1066)</f>
        <v/>
      </c>
      <c r="P1066" s="12">
        <f>O1066/IF(H1066="L",20,IF(H1066="U",30,IF(H1066="O",40,IF(H1066="I",20,""))))</f>
        <v/>
      </c>
      <c r="Q1066" s="132">
        <f>IF(AND(H1066="L", P1066&gt;=50%), "Pass",
IF(AND(H1066="U", P1066&gt;=60%), "Pass",
IF(AND(H1066="O", P1066&gt;=75%), "Pass", "Fail")))</f>
        <v/>
      </c>
      <c r="R1066" s="104" t="n"/>
      <c r="S1066" s="104" t="n">
        <v>14</v>
      </c>
      <c r="T1066" s="104" t="n">
        <v>10</v>
      </c>
      <c r="U1066" s="104">
        <f>SUM(S1066:T1066)</f>
        <v/>
      </c>
      <c r="V1066" s="12">
        <f>U1066/IF(H1066="L",35,IF(H1066="U",35,IF(H1066="O",35,IF(H1066="I",35,""))))</f>
        <v/>
      </c>
      <c r="W1066" s="132">
        <f>IF(AND(H1066="L", V1066&gt;=50%), "Pass",
IF(AND(H1066="U", V1066&gt;=60%), "Pass",
IF(AND(H1066="O", V1066&gt;=75%), "Pass", "Fail")))</f>
        <v/>
      </c>
      <c r="X1066" s="132">
        <f>IF(AND(Q1066="Pass", W1066="Pass"), "Pass", "Fail")</f>
        <v/>
      </c>
      <c r="Y1066" s="15">
        <f>IF($X1066="Pass",$H1066,
IF(H1066="L","I",
IF(H1066="U","L",
IF(H1066="O","U",
"I"))))</f>
        <v/>
      </c>
    </row>
    <row r="1067">
      <c r="A1067" s="147">
        <f>ROW()-2</f>
        <v/>
      </c>
      <c r="B1067" s="137" t="inlineStr">
        <is>
          <t>KK1458</t>
        </is>
      </c>
      <c r="C1067" s="138" t="inlineStr">
        <is>
          <t>M. PRAKASH</t>
        </is>
      </c>
      <c r="D1067" s="127" t="inlineStr">
        <is>
          <t>PRODUCTION</t>
        </is>
      </c>
      <c r="E1067" s="129" t="inlineStr">
        <is>
          <t>TYRE BUILDING-P2</t>
        </is>
      </c>
      <c r="F1067" s="130" t="n">
        <v>45440</v>
      </c>
      <c r="G1067" s="131">
        <f>NOW()-F1067</f>
        <v/>
      </c>
      <c r="H1067" s="104" t="inlineStr">
        <is>
          <t>L</t>
        </is>
      </c>
      <c r="I1067" s="104" t="inlineStr">
        <is>
          <t>L</t>
        </is>
      </c>
      <c r="J1067" s="104" t="n">
        <v>4</v>
      </c>
      <c r="K1067" s="104" t="n">
        <v>4</v>
      </c>
      <c r="L1067" s="104" t="n">
        <v>3</v>
      </c>
      <c r="M1067" s="104" t="n">
        <v>4</v>
      </c>
      <c r="N1067" s="104" t="n"/>
      <c r="O1067" s="104">
        <f>SUM(J1067:M1067)</f>
        <v/>
      </c>
      <c r="P1067" s="12">
        <f>O1067/IF(H1067="L",20,IF(H1067="U",30,IF(H1067="O",40,IF(H1067="I",20,""))))</f>
        <v/>
      </c>
      <c r="Q1067" s="132">
        <f>IF(AND(H1067="L", P1067&gt;=50%), "Pass",
IF(AND(H1067="U", P1067&gt;=60%), "Pass",
IF(AND(H1067="O", P1067&gt;=75%), "Pass", "Fail")))</f>
        <v/>
      </c>
      <c r="R1067" s="104" t="n"/>
      <c r="S1067" s="104" t="n">
        <v>9</v>
      </c>
      <c r="T1067" s="104" t="n">
        <v>7</v>
      </c>
      <c r="U1067" s="104">
        <f>SUM(S1067:T1067)</f>
        <v/>
      </c>
      <c r="V1067" s="12">
        <f>U1067/IF(H1067="L",35,IF(H1067="U",35,IF(H1067="O",35,IF(H1067="I",35,""))))</f>
        <v/>
      </c>
      <c r="W1067" s="132">
        <f>IF(AND(H1067="L", V1067&gt;=50%), "Pass",
IF(AND(H1067="U", V1067&gt;=60%), "Pass",
IF(AND(H1067="O", V1067&gt;=75%), "Pass", "Fail")))</f>
        <v/>
      </c>
      <c r="X1067" s="132">
        <f>IF(AND(Q1067="Pass", W1067="Pass"), "Pass", "Fail")</f>
        <v/>
      </c>
      <c r="Y1067" s="15">
        <f>IF($X1067="Pass",$H1067,
IF(H1067="L","I",
IF(H1067="U","L",
IF(H1067="O","U",
"I"))))</f>
        <v/>
      </c>
    </row>
    <row r="1068">
      <c r="A1068" s="147">
        <f>ROW()-2</f>
        <v/>
      </c>
      <c r="B1068" s="137" t="inlineStr">
        <is>
          <t>KK1459</t>
        </is>
      </c>
      <c r="C1068" s="138" t="inlineStr">
        <is>
          <t>BARUN KUMAR</t>
        </is>
      </c>
      <c r="D1068" s="127" t="inlineStr">
        <is>
          <t>PRODUCTION</t>
        </is>
      </c>
      <c r="E1068" s="129" t="inlineStr">
        <is>
          <t>TYRE BUILDING-P1</t>
        </is>
      </c>
      <c r="F1068" s="130" t="n">
        <v>45442</v>
      </c>
      <c r="G1068" s="131">
        <f>NOW()-F1068</f>
        <v/>
      </c>
      <c r="H1068" s="104" t="inlineStr">
        <is>
          <t>L</t>
        </is>
      </c>
      <c r="I1068" s="104" t="inlineStr">
        <is>
          <t>L</t>
        </is>
      </c>
      <c r="J1068" s="104" t="n">
        <v>4</v>
      </c>
      <c r="K1068" s="104" t="n">
        <v>5</v>
      </c>
      <c r="L1068" s="104" t="n">
        <v>5</v>
      </c>
      <c r="M1068" s="104" t="n">
        <v>4</v>
      </c>
      <c r="N1068" s="104" t="n"/>
      <c r="O1068" s="104">
        <f>SUM(J1068:N1068)</f>
        <v/>
      </c>
      <c r="P1068" s="12">
        <f>O1068/IF(H1068="L",20,IF(H1068="U",30,IF(H1068="O",40,IF(H1068="I",20,""))))</f>
        <v/>
      </c>
      <c r="Q1068" s="132">
        <f>IF(AND(H1068="L", P1068&gt;=50%), "Pass",
IF(AND(H1068="U", P1068&gt;=60%), "Pass",
IF(AND(H1068="O", P1068&gt;=75%), "Pass", "Fail")))</f>
        <v/>
      </c>
      <c r="R1068" s="104" t="n"/>
      <c r="S1068" s="104" t="n">
        <v>11</v>
      </c>
      <c r="T1068" s="104" t="n">
        <v>11</v>
      </c>
      <c r="U1068" s="104">
        <f>SUM(S1068:T1068)</f>
        <v/>
      </c>
      <c r="V1068" s="12">
        <f>U1068/IF(H1068="L",35,IF(H1068="U",35,IF(H1068="O",35,IF(H1068="I",35,""))))</f>
        <v/>
      </c>
      <c r="W1068" s="132">
        <f>IF(AND(H1068="L", V1068&gt;=50%), "Pass",
IF(AND(H1068="U", V1068&gt;=60%), "Pass",
IF(AND(H1068="O", V1068&gt;=75%), "Pass", "Fail")))</f>
        <v/>
      </c>
      <c r="X1068" s="132">
        <f>IF(AND(Q1068="Pass", W1068="Pass"), "Pass", "Fail")</f>
        <v/>
      </c>
      <c r="Y1068" s="15">
        <f>IF($X1068="Pass",$H1068,
IF(H1068="L","I",
IF(H1068="U","L",
IF(H1068="O","U",
"I"))))</f>
        <v/>
      </c>
    </row>
    <row r="1069">
      <c r="A1069" s="147">
        <f>ROW()-2</f>
        <v/>
      </c>
      <c r="B1069" s="133" t="inlineStr">
        <is>
          <t>PK1517</t>
        </is>
      </c>
      <c r="C1069" s="148" t="inlineStr">
        <is>
          <t>PRABAHARAN B</t>
        </is>
      </c>
      <c r="D1069" s="127" t="inlineStr">
        <is>
          <t>PRODUCTION</t>
        </is>
      </c>
      <c r="E1069" s="135" t="inlineStr">
        <is>
          <t>LINER DRESSING</t>
        </is>
      </c>
      <c r="F1069" s="136" t="n">
        <v>45446</v>
      </c>
      <c r="G1069" s="131">
        <f>NOW()-F1069</f>
        <v/>
      </c>
      <c r="H1069" s="104" t="inlineStr">
        <is>
          <t>U</t>
        </is>
      </c>
      <c r="I1069" s="104" t="inlineStr">
        <is>
          <t>L</t>
        </is>
      </c>
      <c r="J1069" s="104" t="n">
        <v>5</v>
      </c>
      <c r="K1069" s="104" t="n">
        <v>5</v>
      </c>
      <c r="L1069" s="104" t="n">
        <v>2</v>
      </c>
      <c r="M1069" s="104" t="n">
        <v>6</v>
      </c>
      <c r="N1069" s="104" t="n"/>
      <c r="O1069" s="104">
        <f>SUM(J1069:N1069)</f>
        <v/>
      </c>
      <c r="P1069" s="12">
        <f>O1069/IF(H1069="L",20,IF(H1069="U",30,IF(H1069="O",40,IF(H1069="I",20,""))))</f>
        <v/>
      </c>
      <c r="Q1069" s="132">
        <f>IF(AND(H1069="L", P1069&gt;=50%), "Pass",
IF(AND(H1069="U", P1069&gt;=60%), "Pass",
IF(AND(H1069="O", P1069&gt;=75%), "Pass", "Fail")))</f>
        <v/>
      </c>
      <c r="R1069" s="104" t="n"/>
      <c r="S1069" s="104" t="n">
        <v>14</v>
      </c>
      <c r="T1069" s="104" t="n">
        <v>9</v>
      </c>
      <c r="U1069" s="104">
        <f>SUM(S1069:T1069)</f>
        <v/>
      </c>
      <c r="V1069" s="12">
        <f>U1069/IF(H1069="L",35,IF(H1069="U",35,IF(H1069="O",35,IF(H1069="I",35,""))))</f>
        <v/>
      </c>
      <c r="W1069" s="132">
        <f>IF(AND(H1069="L", V1069&gt;=50%), "Pass",
IF(AND(H1069="U", V1069&gt;=60%), "Pass",
IF(AND(H1069="O", V1069&gt;=75%), "Pass", "Fail")))</f>
        <v/>
      </c>
      <c r="X1069" s="132">
        <f>IF(AND(Q1069="Pass", W1069="Pass"), "Pass", "Fail")</f>
        <v/>
      </c>
      <c r="Y1069" s="15">
        <f>IF($X1069="Pass",$H1069,
IF(H1069="L","I",
IF(H1069="U","L",
IF(H1069="O","U",
"I"))))</f>
        <v/>
      </c>
    </row>
    <row r="1070">
      <c r="A1070" s="147">
        <f>ROW()-2</f>
        <v/>
      </c>
      <c r="B1070" s="127" t="inlineStr">
        <is>
          <t>LN0414</t>
        </is>
      </c>
      <c r="C1070" s="128" t="inlineStr">
        <is>
          <t>KANNAN CHELLAIYA</t>
        </is>
      </c>
      <c r="D1070" s="127" t="inlineStr">
        <is>
          <t>PRODUCTION</t>
        </is>
      </c>
      <c r="E1070" s="129" t="inlineStr">
        <is>
          <t>TYRE BUILDING-P2</t>
        </is>
      </c>
      <c r="F1070" s="130" t="n">
        <v>45455</v>
      </c>
      <c r="G1070" s="131">
        <f>NOW()-F1070</f>
        <v/>
      </c>
      <c r="H1070" s="104" t="inlineStr">
        <is>
          <t>L</t>
        </is>
      </c>
      <c r="I1070" s="104" t="inlineStr">
        <is>
          <t>L</t>
        </is>
      </c>
      <c r="J1070" s="104" t="n">
        <v>4</v>
      </c>
      <c r="K1070" s="104" t="n">
        <v>4</v>
      </c>
      <c r="L1070" s="104" t="n">
        <v>4</v>
      </c>
      <c r="M1070" s="104" t="n">
        <v>5</v>
      </c>
      <c r="N1070" s="104" t="n"/>
      <c r="O1070" s="104">
        <f>SUM(J1070:N1070)</f>
        <v/>
      </c>
      <c r="P1070" s="12">
        <f>O1070/IF(H1070="L",20,IF(H1070="U",30,IF(H1070="O",40,IF(H1070="I",20,""))))</f>
        <v/>
      </c>
      <c r="Q1070" s="132">
        <f>IF(AND(H1070="L", P1070&gt;=50%), "Pass",
IF(AND(H1070="U", P1070&gt;=60%), "Pass",
IF(AND(H1070="O", P1070&gt;=75%), "Pass", "Fail")))</f>
        <v/>
      </c>
      <c r="R1070" s="104" t="n"/>
      <c r="S1070" s="104" t="n">
        <v>11</v>
      </c>
      <c r="T1070" s="104" t="n">
        <v>10</v>
      </c>
      <c r="U1070" s="104">
        <f>SUM(S1070:T1070)</f>
        <v/>
      </c>
      <c r="V1070" s="12">
        <f>U1070/IF(H1070="L",35,IF(H1070="U",35,IF(H1070="O",35,IF(H1070="I",35,""))))</f>
        <v/>
      </c>
      <c r="W1070" s="132">
        <f>IF(AND(H1070="L", V1070&gt;=50%), "Pass",
IF(AND(H1070="U", V1070&gt;=60%), "Pass",
IF(AND(H1070="O", V1070&gt;=75%), "Pass", "Fail")))</f>
        <v/>
      </c>
      <c r="X1070" s="132">
        <f>IF(AND(Q1070="Pass", W1070="Pass"), "Pass", "Fail")</f>
        <v/>
      </c>
      <c r="Y1070" s="15">
        <f>IF($X1070="Pass",$H1070,
IF(H1070="L","I",
IF(H1070="U","L",
IF(H1070="O","U",
"I"))))</f>
        <v/>
      </c>
    </row>
    <row r="1071">
      <c r="A1071" s="147">
        <f>ROW()-2</f>
        <v/>
      </c>
      <c r="B1071" s="127" t="inlineStr">
        <is>
          <t>SK3563</t>
        </is>
      </c>
      <c r="C1071" s="128" t="inlineStr">
        <is>
          <t>ETWA ORAON</t>
        </is>
      </c>
      <c r="D1071" s="127" t="inlineStr">
        <is>
          <t>PRODUCTION</t>
        </is>
      </c>
      <c r="E1071" s="129" t="inlineStr">
        <is>
          <t>TYRE BUILDING-P2</t>
        </is>
      </c>
      <c r="F1071" s="130" t="n">
        <v>45467</v>
      </c>
      <c r="G1071" s="131">
        <f>NOW()-F1071</f>
        <v/>
      </c>
      <c r="H1071" s="104" t="inlineStr">
        <is>
          <t>L</t>
        </is>
      </c>
      <c r="I1071" s="104" t="inlineStr">
        <is>
          <t>L</t>
        </is>
      </c>
      <c r="J1071" s="104" t="n">
        <v>5</v>
      </c>
      <c r="K1071" s="104" t="n">
        <v>4</v>
      </c>
      <c r="L1071" s="104" t="n">
        <v>4</v>
      </c>
      <c r="M1071" s="104" t="n">
        <v>3</v>
      </c>
      <c r="N1071" s="104" t="n"/>
      <c r="O1071" s="104">
        <f>SUM(J1071:N1071)</f>
        <v/>
      </c>
      <c r="P1071" s="12">
        <f>O1071/IF(H1071="L",20,IF(H1071="U",30,IF(H1071="O",40,IF(H1071="I",20,""))))</f>
        <v/>
      </c>
      <c r="Q1071" s="132">
        <f>IF(AND(H1071="L", P1071&gt;=50%), "Pass",
IF(AND(H1071="U", P1071&gt;=60%), "Pass",
IF(AND(H1071="O", P1071&gt;=75%), "Pass", "Fail")))</f>
        <v/>
      </c>
      <c r="R1071" s="104" t="n"/>
      <c r="S1071" s="104" t="n">
        <v>6</v>
      </c>
      <c r="T1071" s="104" t="n">
        <v>7</v>
      </c>
      <c r="U1071" s="104">
        <f>SUM(S1071:T1071)</f>
        <v/>
      </c>
      <c r="V1071" s="12">
        <f>U1071/IF(H1071="L",35,IF(H1071="U",35,IF(H1071="O",35,IF(H1071="I",35,""))))</f>
        <v/>
      </c>
      <c r="W1071" s="132">
        <f>IF(AND(H1071="L", V1071&gt;=50%), "Pass",
IF(AND(H1071="U", V1071&gt;=60%), "Pass",
IF(AND(H1071="O", V1071&gt;=75%), "Pass", "Fail")))</f>
        <v/>
      </c>
      <c r="X1071" s="132">
        <f>IF(AND(Q1071="Pass", W1071="Pass"), "Pass", "Fail")</f>
        <v/>
      </c>
      <c r="Y1071" s="15">
        <f>IF($X1071="Pass",$H1071,
IF(H1071="L","I",
IF(H1071="U","L",
IF(H1071="O","U",
"I"))))</f>
        <v/>
      </c>
    </row>
    <row r="1072">
      <c r="A1072" s="147">
        <f>ROW()-2</f>
        <v/>
      </c>
      <c r="B1072" s="127" t="inlineStr">
        <is>
          <t>SK3565</t>
        </is>
      </c>
      <c r="C1072" s="128" t="inlineStr">
        <is>
          <t>SONU ORAON</t>
        </is>
      </c>
      <c r="D1072" s="127" t="inlineStr">
        <is>
          <t>PRODUCTION</t>
        </is>
      </c>
      <c r="E1072" s="129" t="inlineStr">
        <is>
          <t>TYRE BUILDING-P2</t>
        </is>
      </c>
      <c r="F1072" s="130" t="n">
        <v>45467</v>
      </c>
      <c r="G1072" s="131">
        <f>NOW()-F1072</f>
        <v/>
      </c>
      <c r="H1072" s="104" t="inlineStr">
        <is>
          <t>L</t>
        </is>
      </c>
      <c r="I1072" s="104" t="inlineStr">
        <is>
          <t>I</t>
        </is>
      </c>
      <c r="J1072" s="104" t="n">
        <v>5</v>
      </c>
      <c r="K1072" s="104" t="n">
        <v>4</v>
      </c>
      <c r="L1072" s="104" t="n">
        <v>5</v>
      </c>
      <c r="M1072" s="104" t="n">
        <v>3</v>
      </c>
      <c r="N1072" s="104" t="n"/>
      <c r="O1072" s="104">
        <f>SUM(J1072:N1072)</f>
        <v/>
      </c>
      <c r="P1072" s="12">
        <f>O1072/IF(H1072="L",20,IF(H1072="U",30,IF(H1072="O",40,IF(H1072="I",20,""))))</f>
        <v/>
      </c>
      <c r="Q1072" s="132">
        <f>IF(AND(H1072="L", P1072&gt;=50%), "Pass",
IF(AND(H1072="U", P1072&gt;=60%), "Pass",
IF(AND(H1072="O", P1072&gt;=75%), "Pass", "Fail")))</f>
        <v/>
      </c>
      <c r="R1072" s="104" t="n"/>
      <c r="S1072" s="104" t="n">
        <v>8</v>
      </c>
      <c r="T1072" s="104" t="n">
        <v>5</v>
      </c>
      <c r="U1072" s="104">
        <f>SUM(S1072:T1072)</f>
        <v/>
      </c>
      <c r="V1072" s="12">
        <f>U1072/IF(H1072="L",35,IF(H1072="U",35,IF(H1072="O",35,IF(H1072="I",35,""))))</f>
        <v/>
      </c>
      <c r="W1072" s="132">
        <f>IF(AND(H1072="L", V1072&gt;=50%), "Pass",
IF(AND(H1072="U", V1072&gt;=60%), "Pass",
IF(AND(H1072="O", V1072&gt;=75%), "Pass", "Fail")))</f>
        <v/>
      </c>
      <c r="X1072" s="132">
        <f>IF(AND(Q1072="Pass", W1072="Pass"), "Pass", "Fail")</f>
        <v/>
      </c>
      <c r="Y1072" s="15">
        <f>IF($X1072="Pass",$H1072,
IF(H1072="L","I",
IF(H1072="U","L",
IF(H1072="O","U",
"I"))))</f>
        <v/>
      </c>
    </row>
    <row r="1073">
      <c r="A1073" s="147">
        <f>ROW()-2</f>
        <v/>
      </c>
      <c r="B1073" s="127" t="inlineStr">
        <is>
          <t>LN0469</t>
        </is>
      </c>
      <c r="C1073" s="128" t="inlineStr">
        <is>
          <t>AJITHKUMAR M</t>
        </is>
      </c>
      <c r="D1073" s="127" t="inlineStr">
        <is>
          <t>PRODUCTION</t>
        </is>
      </c>
      <c r="E1073" s="129" t="inlineStr">
        <is>
          <t>TYRE CURING</t>
        </is>
      </c>
      <c r="F1073" s="130" t="n">
        <v>45490</v>
      </c>
      <c r="G1073" s="131">
        <f>NOW()-F1073</f>
        <v/>
      </c>
      <c r="H1073" s="104" t="inlineStr">
        <is>
          <t>L</t>
        </is>
      </c>
      <c r="I1073" s="104" t="inlineStr">
        <is>
          <t>L</t>
        </is>
      </c>
      <c r="J1073" s="104" t="n">
        <v>4</v>
      </c>
      <c r="K1073" s="104" t="n">
        <v>3</v>
      </c>
      <c r="L1073" s="104" t="n">
        <v>4</v>
      </c>
      <c r="M1073" s="104" t="n">
        <v>4</v>
      </c>
      <c r="N1073" s="104" t="n">
        <v>3</v>
      </c>
      <c r="O1073" s="104">
        <f>SUM(J1073:N1073)</f>
        <v/>
      </c>
      <c r="P1073" s="12">
        <f>O1073/IF(H1073="L",20,IF(H1073="U",30,IF(H1073="O",40,IF(H1073="I",20,""))))</f>
        <v/>
      </c>
      <c r="Q1073" s="132">
        <f>IF(AND(H1073="L", P1073&gt;=50%), "Pass",
IF(AND(H1073="U", P1073&gt;=60%), "Pass",
IF(AND(H1073="O", P1073&gt;=75%), "Pass", "Fail")))</f>
        <v/>
      </c>
      <c r="R1073" s="104" t="n"/>
      <c r="S1073" s="104" t="n">
        <v>14</v>
      </c>
      <c r="T1073" s="104" t="n">
        <v>10</v>
      </c>
      <c r="U1073" s="104">
        <f>SUM(S1073:T1073)</f>
        <v/>
      </c>
      <c r="V1073" s="12">
        <f>U1073/IF(H1073="L",35,IF(H1073="U",35,IF(H1073="O",35,IF(H1073="I",35,""))))</f>
        <v/>
      </c>
      <c r="W1073" s="132">
        <f>IF(AND(H1073="L", V1073&gt;=50%), "Pass",
IF(AND(H1073="U", V1073&gt;=60%), "Pass",
IF(AND(H1073="O", V1073&gt;=75%), "Pass", "Fail")))</f>
        <v/>
      </c>
      <c r="X1073" s="132">
        <f>IF(AND(Q1073="Pass", W1073="Pass"), "Pass", "Fail")</f>
        <v/>
      </c>
      <c r="Y1073" s="15">
        <f>IF($X1073="Pass",$H1073,
IF(H1073="L","I",
IF(H1073="U","L",
IF(H1073="O","U",
"I"))))</f>
        <v/>
      </c>
    </row>
    <row r="1074">
      <c r="A1074" s="147">
        <f>ROW()-2</f>
        <v/>
      </c>
      <c r="B1074" s="127" t="inlineStr">
        <is>
          <t>LN0575</t>
        </is>
      </c>
      <c r="C1074" s="128" t="inlineStr">
        <is>
          <t>ATHISANKAR C</t>
        </is>
      </c>
      <c r="D1074" s="127" t="inlineStr">
        <is>
          <t>PRODUCTION</t>
        </is>
      </c>
      <c r="E1074" s="129" t="inlineStr">
        <is>
          <t>TYRE BUILDING-P2</t>
        </is>
      </c>
      <c r="F1074" s="130" t="n">
        <v>45614</v>
      </c>
      <c r="G1074" s="131">
        <f>NOW()-F1074</f>
        <v/>
      </c>
      <c r="H1074" s="104" t="inlineStr">
        <is>
          <t>L</t>
        </is>
      </c>
      <c r="I1074" s="104" t="inlineStr">
        <is>
          <t>L</t>
        </is>
      </c>
      <c r="J1074" s="104" t="n">
        <v>5</v>
      </c>
      <c r="K1074" s="104" t="n">
        <v>5</v>
      </c>
      <c r="L1074" s="104" t="n">
        <v>3</v>
      </c>
      <c r="M1074" s="104" t="n">
        <v>5</v>
      </c>
      <c r="N1074" s="104" t="n"/>
      <c r="O1074" s="104">
        <f>SUM(J1074:N1074)</f>
        <v/>
      </c>
      <c r="P1074" s="12">
        <f>O1074/IF(H1074="L",20,IF(H1074="U",30,IF(H1074="O",40,IF(H1074="I",20,""))))</f>
        <v/>
      </c>
      <c r="Q1074" s="132">
        <f>IF(AND(H1074="L", P1074&gt;=50%), "Pass",
IF(AND(H1074="U", P1074&gt;=60%), "Pass",
IF(AND(H1074="O", P1074&gt;=75%), "Pass", "Fail")))</f>
        <v/>
      </c>
      <c r="R1074" s="104" t="n"/>
      <c r="S1074" s="104" t="n">
        <v>8</v>
      </c>
      <c r="T1074" s="104" t="n">
        <v>5</v>
      </c>
      <c r="U1074" s="104">
        <f>SUM(S1074:T1074)</f>
        <v/>
      </c>
      <c r="V1074" s="12">
        <f>U1074/IF(H1074="L",35,IF(H1074="U",35,IF(H1074="O",35,IF(H1074="I",35,""))))</f>
        <v/>
      </c>
      <c r="W1074" s="132">
        <f>IF(AND(H1074="L", V1074&gt;=50%), "Pass",
IF(AND(H1074="U", V1074&gt;=60%), "Pass",
IF(AND(H1074="O", V1074&gt;=75%), "Pass", "Fail")))</f>
        <v/>
      </c>
      <c r="X1074" s="132">
        <f>IF(AND(Q1074="Pass", W1074="Pass"), "Pass", "Fail")</f>
        <v/>
      </c>
      <c r="Y1074" s="15">
        <f>IF($X1074="Pass",$H1074,
IF(H1074="L","I",
IF(H1074="U","L",
IF(H1074="O","U",
"I"))))</f>
        <v/>
      </c>
      <c r="Z1074" s="81">
        <f>V1074-75%</f>
        <v/>
      </c>
    </row>
    <row r="1075">
      <c r="A1075" s="147">
        <f>ROW()-2</f>
        <v/>
      </c>
      <c r="B1075" s="127" t="inlineStr">
        <is>
          <t>LN0619</t>
        </is>
      </c>
      <c r="C1075" s="128" t="inlineStr">
        <is>
          <t>AYIRATHAN S</t>
        </is>
      </c>
      <c r="D1075" s="127" t="inlineStr">
        <is>
          <t>PRODUCTION</t>
        </is>
      </c>
      <c r="E1075" s="129" t="inlineStr">
        <is>
          <t>TYRE BUILDING-P3</t>
        </is>
      </c>
      <c r="F1075" s="130" t="n">
        <v>45631</v>
      </c>
      <c r="G1075" s="131">
        <f>NOW()-F1075</f>
        <v/>
      </c>
      <c r="H1075" s="104" t="inlineStr">
        <is>
          <t>L</t>
        </is>
      </c>
      <c r="I1075" s="104" t="inlineStr">
        <is>
          <t>L</t>
        </is>
      </c>
      <c r="J1075" s="104" t="n">
        <v>5</v>
      </c>
      <c r="K1075" s="104" t="n">
        <v>5</v>
      </c>
      <c r="L1075" s="104" t="n">
        <v>5</v>
      </c>
      <c r="M1075" s="104" t="n">
        <v>5</v>
      </c>
      <c r="N1075" s="104" t="n"/>
      <c r="O1075" s="104">
        <f>SUM(J1075:N1075)</f>
        <v/>
      </c>
      <c r="P1075" s="12">
        <f>O1075/IF(H1075="L",20,IF(H1075="U",30,IF(H1075="O",40,IF(H1075="I",20,""))))</f>
        <v/>
      </c>
      <c r="Q1075" s="132">
        <f>IF(AND(H1075="L", P1075&gt;=50%), "Pass",
IF(AND(H1075="U", P1075&gt;=60%), "Pass",
IF(AND(H1075="O", P1075&gt;=75%), "Pass", "Fail")))</f>
        <v/>
      </c>
      <c r="R1075" s="104" t="n"/>
      <c r="S1075" s="104" t="n">
        <v>17</v>
      </c>
      <c r="T1075" s="104" t="n">
        <v>15</v>
      </c>
      <c r="U1075" s="104">
        <f>SUM(S1075:T1075)</f>
        <v/>
      </c>
      <c r="V1075" s="12">
        <f>U1075/IF(H1075="L",35,IF(H1075="U",35,IF(H1075="O",35,IF(H1075="I",35,""))))</f>
        <v/>
      </c>
      <c r="W1075" s="132">
        <f>IF(AND(H1075="L", V1075&gt;=50%), "Pass",
IF(AND(H1075="U", V1075&gt;=60%), "Pass",
IF(AND(H1075="O", V1075&gt;=75%), "Pass", "Fail")))</f>
        <v/>
      </c>
      <c r="X1075" s="132">
        <f>IF(AND(Q1075="Pass", W1075="Pass"), "Pass", "Fail")</f>
        <v/>
      </c>
      <c r="Y1075" s="15">
        <f>IF($X1075="Pass",$H1075,
IF(H1075="L","I",
IF(H1075="U","L",
IF(H1075="O","U",
"I"))))</f>
        <v/>
      </c>
    </row>
    <row r="1076">
      <c r="A1076" s="147">
        <f>ROW()-2</f>
        <v/>
      </c>
      <c r="B1076" s="127" t="inlineStr">
        <is>
          <t>LN0643</t>
        </is>
      </c>
      <c r="C1076" s="128" t="inlineStr">
        <is>
          <t>NAMBIRAJAN J</t>
        </is>
      </c>
      <c r="D1076" s="127" t="inlineStr">
        <is>
          <t>PRODUCTION</t>
        </is>
      </c>
      <c r="E1076" s="129" t="inlineStr">
        <is>
          <t>SOLID TYRE</t>
        </is>
      </c>
      <c r="F1076" s="130" t="n">
        <v>45631</v>
      </c>
      <c r="G1076" s="131">
        <f>NOW()-F1076</f>
        <v/>
      </c>
      <c r="H1076" s="104" t="inlineStr">
        <is>
          <t>L</t>
        </is>
      </c>
      <c r="I1076" s="104" t="inlineStr">
        <is>
          <t>I</t>
        </is>
      </c>
      <c r="J1076" s="104" t="n">
        <v>4</v>
      </c>
      <c r="K1076" s="104" t="n">
        <v>5</v>
      </c>
      <c r="L1076" s="104" t="n">
        <v>3</v>
      </c>
      <c r="M1076" s="104" t="n">
        <v>3</v>
      </c>
      <c r="N1076" s="104" t="n"/>
      <c r="O1076" s="104">
        <f>SUM(J1076:N1076)</f>
        <v/>
      </c>
      <c r="P1076" s="12">
        <f>O1076/IF(H1076="L",20,IF(H1076="U",30,IF(H1076="O",40,IF(H1076="I",20,""))))</f>
        <v/>
      </c>
      <c r="Q1076" s="132">
        <f>IF(AND(H1076="L", P1076&gt;=50%), "Pass",
IF(AND(H1076="U", P1076&gt;=60%), "Pass",
IF(AND(H1076="O", P1076&gt;=75%), "Pass", "Fail")))</f>
        <v/>
      </c>
      <c r="R1076" s="104" t="n"/>
      <c r="S1076" s="104" t="n">
        <v>13</v>
      </c>
      <c r="T1076" s="104" t="n">
        <v>10</v>
      </c>
      <c r="U1076" s="104">
        <f>SUM(S1076:T1076)</f>
        <v/>
      </c>
      <c r="V1076" s="12">
        <f>U1076/IF(H1076="L",35,IF(H1076="U",35,IF(H1076="O",35,IF(H1076="I",35,""))))</f>
        <v/>
      </c>
      <c r="W1076" s="132">
        <f>IF(AND(H1076="L", V1076&gt;=50%), "Pass",
IF(AND(H1076="U", V1076&gt;=60%), "Pass",
IF(AND(H1076="O", V1076&gt;=75%), "Pass", "Fail")))</f>
        <v/>
      </c>
      <c r="X1076" s="132">
        <f>IF(AND(Q1076="Pass", W1076="Pass"), "Pass", "Fail")</f>
        <v/>
      </c>
      <c r="Y1076" s="15">
        <f>IF($X1076="Pass",$H1076,
IF(H1076="L","I",
IF(H1076="U","L",
IF(H1076="O","U",
"I"))))</f>
        <v/>
      </c>
      <c r="Z1076" s="82">
        <f>V1076-75%</f>
        <v/>
      </c>
    </row>
    <row r="1077">
      <c r="A1077" s="147">
        <f>ROW()-2</f>
        <v/>
      </c>
      <c r="B1077" s="127" t="inlineStr">
        <is>
          <t>LN0653</t>
        </is>
      </c>
      <c r="C1077" s="128" t="inlineStr">
        <is>
          <t>MURUGAN M</t>
        </is>
      </c>
      <c r="D1077" s="127" t="inlineStr">
        <is>
          <t>PRODUCTION</t>
        </is>
      </c>
      <c r="E1077" s="129" t="inlineStr">
        <is>
          <t>TYRE CURING</t>
        </is>
      </c>
      <c r="F1077" s="130" t="n">
        <v>45631</v>
      </c>
      <c r="G1077" s="131">
        <f>NOW()-F1077</f>
        <v/>
      </c>
      <c r="H1077" s="104" t="inlineStr">
        <is>
          <t>L</t>
        </is>
      </c>
      <c r="I1077" s="104" t="inlineStr">
        <is>
          <t>L</t>
        </is>
      </c>
      <c r="J1077" s="104" t="n">
        <v>2</v>
      </c>
      <c r="K1077" s="104" t="n">
        <v>2</v>
      </c>
      <c r="L1077" s="104" t="n">
        <v>1</v>
      </c>
      <c r="M1077" s="104" t="n">
        <v>2</v>
      </c>
      <c r="N1077" s="104" t="n">
        <v>2</v>
      </c>
      <c r="O1077" s="104">
        <f>SUM(J1077:N1077)</f>
        <v/>
      </c>
      <c r="P1077" s="12">
        <f>O1077/IF(H1077="L",20,IF(H1077="U",30,IF(H1077="O",40,IF(H1077="I",20,""))))</f>
        <v/>
      </c>
      <c r="Q1077" s="132">
        <f>IF(AND(H1077="L", P1077&gt;=50%), "Pass",
IF(AND(H1077="U", P1077&gt;=60%), "Pass",
IF(AND(H1077="O", P1077&gt;=75%), "Pass", "Fail")))</f>
        <v/>
      </c>
      <c r="R1077" s="104" t="n"/>
      <c r="S1077" s="104" t="n">
        <v>10</v>
      </c>
      <c r="T1077" s="104" t="n">
        <v>9</v>
      </c>
      <c r="U1077" s="104">
        <f>SUM(S1077:T1077)</f>
        <v/>
      </c>
      <c r="V1077" s="12">
        <f>U1077/IF(H1077="L",35,IF(H1077="U",35,IF(H1077="O",35,IF(H1077="I",35,""))))</f>
        <v/>
      </c>
      <c r="W1077" s="132">
        <f>IF(AND(H1077="L", V1077&gt;=50%), "Pass",
IF(AND(H1077="U", V1077&gt;=60%), "Pass",
IF(AND(H1077="O", V1077&gt;=75%), "Pass", "Fail")))</f>
        <v/>
      </c>
      <c r="X1077" s="132">
        <f>IF(AND(Q1077="Pass", W1077="Pass"), "Pass", "Fail")</f>
        <v/>
      </c>
      <c r="Y1077" s="15">
        <f>IF($X1077="Pass",$H1077,
IF(H1077="L","I",
IF(H1077="U","L",
IF(H1077="O","U",
"I"))))</f>
        <v/>
      </c>
    </row>
    <row r="1078">
      <c r="A1078" s="147">
        <f>ROW()-2</f>
        <v/>
      </c>
      <c r="B1078" s="133" t="inlineStr">
        <is>
          <t>LN0657</t>
        </is>
      </c>
      <c r="C1078" s="148" t="inlineStr">
        <is>
          <t>MUTHUMARI U</t>
        </is>
      </c>
      <c r="D1078" s="127" t="inlineStr">
        <is>
          <t>PRODUCTION</t>
        </is>
      </c>
      <c r="E1078" s="135" t="inlineStr">
        <is>
          <t>SOLID TYRE</t>
        </is>
      </c>
      <c r="F1078" s="136" t="n">
        <v>45637</v>
      </c>
      <c r="G1078" s="131">
        <f>NOW()-F1078</f>
        <v/>
      </c>
      <c r="H1078" s="104" t="inlineStr">
        <is>
          <t>L</t>
        </is>
      </c>
      <c r="I1078" s="104" t="inlineStr">
        <is>
          <t>I</t>
        </is>
      </c>
      <c r="J1078" s="104" t="n">
        <v>5</v>
      </c>
      <c r="K1078" s="104" t="n">
        <v>4</v>
      </c>
      <c r="L1078" s="104" t="n">
        <v>4</v>
      </c>
      <c r="M1078" s="104" t="n">
        <v>3</v>
      </c>
      <c r="N1078" s="104" t="n"/>
      <c r="O1078" s="104">
        <f>SUM(J1078:N1078)</f>
        <v/>
      </c>
      <c r="P1078" s="12">
        <f>O1078/IF(H1078="L",20,IF(H1078="U",30,IF(H1078="O",40,IF(H1078="I",20,""))))</f>
        <v/>
      </c>
      <c r="Q1078" s="132">
        <f>IF(AND(H1078="L", P1078&gt;=50%), "Pass",
IF(AND(H1078="U", P1078&gt;=60%), "Pass",
IF(AND(H1078="O", P1078&gt;=75%), "Pass", "Fail")))</f>
        <v/>
      </c>
      <c r="R1078" s="104" t="n"/>
      <c r="S1078" s="104" t="n">
        <v>19</v>
      </c>
      <c r="T1078" s="104" t="n">
        <v>11</v>
      </c>
      <c r="U1078" s="104">
        <f>SUM(S1078:T1078)</f>
        <v/>
      </c>
      <c r="V1078" s="12">
        <f>U1078/IF(H1078="L",35,IF(H1078="U",35,IF(H1078="O",35,IF(H1078="I",35,""))))</f>
        <v/>
      </c>
      <c r="W1078" s="132">
        <f>IF(AND(H1078="L", V1078&gt;=50%), "Pass",
IF(AND(H1078="U", V1078&gt;=60%), "Pass",
IF(AND(H1078="O", V1078&gt;=75%), "Pass", "Fail")))</f>
        <v/>
      </c>
      <c r="X1078" s="132">
        <f>IF(AND(Q1078="Pass", W1078="Pass"), "Pass", "Fail")</f>
        <v/>
      </c>
      <c r="Y1078" s="15">
        <f>IF($X1078="Pass",$H1078,
IF(H1078="L","I",
IF(H1078="U","L",
IF(H1078="O","U",
"I"))))</f>
        <v/>
      </c>
    </row>
    <row r="1079">
      <c r="A1079" s="147">
        <f>ROW()-2</f>
        <v/>
      </c>
      <c r="B1079" s="133" t="inlineStr">
        <is>
          <t>LN0665</t>
        </is>
      </c>
      <c r="C1079" s="148" t="inlineStr">
        <is>
          <t>PETCHIAMMAL T</t>
        </is>
      </c>
      <c r="D1079" s="127" t="inlineStr">
        <is>
          <t>PRODUCTION</t>
        </is>
      </c>
      <c r="E1079" s="135" t="inlineStr">
        <is>
          <t>SOLID TYRE</t>
        </is>
      </c>
      <c r="F1079" s="136" t="n">
        <v>45637</v>
      </c>
      <c r="G1079" s="131">
        <f>NOW()-F1079</f>
        <v/>
      </c>
      <c r="H1079" s="104" t="inlineStr">
        <is>
          <t>L</t>
        </is>
      </c>
      <c r="I1079" s="104" t="inlineStr">
        <is>
          <t>I</t>
        </is>
      </c>
      <c r="J1079" s="104" t="n">
        <v>5</v>
      </c>
      <c r="K1079" s="104" t="n">
        <v>4</v>
      </c>
      <c r="L1079" s="104" t="n">
        <v>4</v>
      </c>
      <c r="M1079" s="104" t="n">
        <v>3</v>
      </c>
      <c r="N1079" s="104" t="n"/>
      <c r="O1079" s="104">
        <f>SUM(J1079:N1079)</f>
        <v/>
      </c>
      <c r="P1079" s="12">
        <f>O1079/IF(H1079="L",20,IF(H1079="U",30,IF(H1079="O",40,IF(H1079="I",20,""))))</f>
        <v/>
      </c>
      <c r="Q1079" s="132">
        <f>IF(AND(H1079="L", P1079&gt;=50%), "Pass",
IF(AND(H1079="U", P1079&gt;=60%), "Pass",
IF(AND(H1079="O", P1079&gt;=75%), "Pass", "Fail")))</f>
        <v/>
      </c>
      <c r="R1079" s="104" t="n"/>
      <c r="S1079" s="104" t="n">
        <v>18</v>
      </c>
      <c r="T1079" s="104" t="n">
        <v>14</v>
      </c>
      <c r="U1079" s="104">
        <f>SUM(S1079:T1079)</f>
        <v/>
      </c>
      <c r="V1079" s="12">
        <f>U1079/IF(H1079="L",35,IF(H1079="U",35,IF(H1079="O",35,IF(H1079="I",35,""))))</f>
        <v/>
      </c>
      <c r="W1079" s="132">
        <f>IF(AND(H1079="L", V1079&gt;=50%), "Pass",
IF(AND(H1079="U", V1079&gt;=60%), "Pass",
IF(AND(H1079="O", V1079&gt;=75%), "Pass", "Fail")))</f>
        <v/>
      </c>
      <c r="X1079" s="132">
        <f>IF(AND(Q1079="Pass", W1079="Pass"), "Pass", "Fail")</f>
        <v/>
      </c>
      <c r="Y1079" s="15">
        <f>IF($X1079="Pass",$H1079,
IF(H1079="L","I",
IF(H1079="U","L",
IF(H1079="O","U",
"I"))))</f>
        <v/>
      </c>
    </row>
    <row r="1080">
      <c r="A1080" s="147">
        <f>ROW()-2</f>
        <v/>
      </c>
      <c r="B1080" s="127" t="inlineStr">
        <is>
          <t>LN0730</t>
        </is>
      </c>
      <c r="C1080" s="128" t="inlineStr">
        <is>
          <t>ESAKKI</t>
        </is>
      </c>
      <c r="D1080" s="127" t="inlineStr">
        <is>
          <t>PRODUCTION</t>
        </is>
      </c>
      <c r="E1080" s="129" t="inlineStr">
        <is>
          <t>TYRE BUILDING-P1</t>
        </is>
      </c>
      <c r="F1080" s="130" t="n">
        <v>45674</v>
      </c>
      <c r="G1080" s="131">
        <f>NOW()-F1080</f>
        <v/>
      </c>
      <c r="H1080" s="104" t="inlineStr">
        <is>
          <t>L</t>
        </is>
      </c>
      <c r="I1080" s="104" t="inlineStr">
        <is>
          <t>I</t>
        </is>
      </c>
      <c r="J1080" s="104" t="n">
        <v>2</v>
      </c>
      <c r="K1080" s="104" t="n">
        <v>2</v>
      </c>
      <c r="L1080" s="104" t="n">
        <v>2</v>
      </c>
      <c r="M1080" s="104" t="n">
        <v>2</v>
      </c>
      <c r="N1080" s="104" t="n"/>
      <c r="O1080" s="104">
        <f>SUM(J1080:N1080)</f>
        <v/>
      </c>
      <c r="P1080" s="12">
        <f>O1080/IF(H1080="L",20,IF(H1080="U",30,IF(H1080="O",40,IF(H1080="I",20,""))))</f>
        <v/>
      </c>
      <c r="Q1080" s="132">
        <f>IF(AND(H1080="L", P1080&gt;=50%), "Pass",
IF(AND(H1080="U", P1080&gt;=60%), "Pass",
IF(AND(H1080="O", P1080&gt;=75%), "Pass", "Fail")))</f>
        <v/>
      </c>
      <c r="R1080" s="104" t="n"/>
      <c r="S1080" s="104" t="n">
        <v>8</v>
      </c>
      <c r="T1080" s="104" t="n">
        <v>6</v>
      </c>
      <c r="U1080" s="104">
        <f>SUM(S1080:T1080)</f>
        <v/>
      </c>
      <c r="V1080" s="12">
        <f>U1080/IF(H1080="L",35,IF(H1080="U",35,IF(H1080="O",35,IF(H1080="I",35,""))))</f>
        <v/>
      </c>
      <c r="W1080" s="132">
        <f>IF(AND(H1080="L", V1080&gt;=50%), "Pass",
IF(AND(H1080="U", V1080&gt;=60%), "Pass",
IF(AND(H1080="O", V1080&gt;=75%), "Pass", "Fail")))</f>
        <v/>
      </c>
      <c r="X1080" s="132">
        <f>IF(AND(Q1080="Pass", W1080="Pass"), "Pass", "Fail")</f>
        <v/>
      </c>
      <c r="Y1080" s="15">
        <f>IF($X1080="Pass",$H1080,
IF(H1080="L","I",
IF(H1080="U","L",
IF(H1080="O","U",
"I"))))</f>
        <v/>
      </c>
    </row>
    <row r="1081">
      <c r="A1081" s="147">
        <f>ROW()-2</f>
        <v/>
      </c>
      <c r="B1081" s="127" t="inlineStr">
        <is>
          <t>KK1463</t>
        </is>
      </c>
      <c r="C1081" s="128" t="inlineStr">
        <is>
          <t>SIVASUBIRAMANIANRAJA</t>
        </is>
      </c>
      <c r="D1081" s="127" t="inlineStr">
        <is>
          <t>PRODUCTION</t>
        </is>
      </c>
      <c r="E1081" s="129" t="inlineStr">
        <is>
          <t>STEELASTIC</t>
        </is>
      </c>
      <c r="F1081" s="130" t="n">
        <v>45678</v>
      </c>
      <c r="G1081" s="131">
        <f>NOW()-F1081</f>
        <v/>
      </c>
      <c r="H1081" s="104" t="inlineStr">
        <is>
          <t>L</t>
        </is>
      </c>
      <c r="I1081" s="104" t="inlineStr">
        <is>
          <t>I</t>
        </is>
      </c>
      <c r="J1081" s="104" t="n">
        <v>5</v>
      </c>
      <c r="K1081" s="104" t="n">
        <v>2</v>
      </c>
      <c r="L1081" s="104" t="n">
        <v>2</v>
      </c>
      <c r="M1081" s="104" t="n">
        <v>4</v>
      </c>
      <c r="N1081" s="104" t="n"/>
      <c r="O1081" s="104">
        <f>SUM(J1081:N1081)</f>
        <v/>
      </c>
      <c r="P1081" s="12">
        <f>O1081/IF(H1081="L",20,IF(H1081="U",30,IF(H1081="O",40,IF(H1081="I",20,""))))</f>
        <v/>
      </c>
      <c r="Q1081" s="132">
        <f>IF(AND(H1081="L", P1081&gt;=50%), "Pass",
IF(AND(H1081="U", P1081&gt;=60%), "Pass",
IF(AND(H1081="O", P1081&gt;=75%), "Pass", "Fail")))</f>
        <v/>
      </c>
      <c r="R1081" s="104" t="n"/>
      <c r="S1081" s="104" t="n">
        <v>17</v>
      </c>
      <c r="T1081" s="104" t="n">
        <v>12</v>
      </c>
      <c r="U1081" s="104">
        <f>SUM(S1081:T1081)</f>
        <v/>
      </c>
      <c r="V1081" s="12">
        <f>U1081/IF(H1081="L",35,IF(H1081="U",35,IF(H1081="O",35,IF(H1081="I",35,""))))</f>
        <v/>
      </c>
      <c r="W1081" s="132">
        <f>IF(AND(H1081="L", V1081&gt;=50%), "Pass",
IF(AND(H1081="U", V1081&gt;=60%), "Pass",
IF(AND(H1081="O", V1081&gt;=75%), "Pass", "Fail")))</f>
        <v/>
      </c>
      <c r="X1081" s="132">
        <f>IF(AND(Q1081="Pass", W1081="Pass"), "Pass", "Fail")</f>
        <v/>
      </c>
      <c r="Y1081" s="15">
        <f>IF($X1081="Pass",$H1081,
IF(H1081="L","I",
IF(H1081="U","L",
IF(H1081="O","U",
"I"))))</f>
        <v/>
      </c>
    </row>
    <row r="1082">
      <c r="A1082" s="147">
        <f>ROW()-2</f>
        <v/>
      </c>
      <c r="B1082" s="127" t="inlineStr">
        <is>
          <t>KK1467</t>
        </is>
      </c>
      <c r="C1082" s="128" t="inlineStr">
        <is>
          <t>POODHAPANDIAN</t>
        </is>
      </c>
      <c r="D1082" s="127" t="inlineStr">
        <is>
          <t>PRODUCTION</t>
        </is>
      </c>
      <c r="E1082" s="129" t="inlineStr">
        <is>
          <t>BIAS MARANGONI&amp;BESTRY</t>
        </is>
      </c>
      <c r="F1082" s="130" t="n">
        <v>45678</v>
      </c>
      <c r="G1082" s="131">
        <f>NOW()-F1082</f>
        <v/>
      </c>
      <c r="H1082" s="104" t="inlineStr">
        <is>
          <t>L</t>
        </is>
      </c>
      <c r="I1082" s="104" t="inlineStr">
        <is>
          <t>L</t>
        </is>
      </c>
      <c r="J1082" s="104" t="n">
        <v>3</v>
      </c>
      <c r="K1082" s="104" t="n">
        <v>3</v>
      </c>
      <c r="L1082" s="104" t="n">
        <v>2</v>
      </c>
      <c r="M1082" s="104" t="n">
        <v>4</v>
      </c>
      <c r="N1082" s="104" t="n"/>
      <c r="O1082" s="104">
        <f>SUM(J1082:N1082)</f>
        <v/>
      </c>
      <c r="P1082" s="12">
        <f>O1082/IF(H1082="L",20,IF(H1082="U",30,IF(H1082="O",40,IF(H1082="I",20,""))))</f>
        <v/>
      </c>
      <c r="Q1082" s="132">
        <f>IF(AND(H1082="L", P1082&gt;=50%), "Pass",
IF(AND(H1082="U", P1082&gt;=60%), "Pass",
IF(AND(H1082="O", P1082&gt;=75%), "Pass", "Fail")))</f>
        <v/>
      </c>
      <c r="R1082" s="104" t="n"/>
      <c r="S1082" s="104" t="n">
        <v>13</v>
      </c>
      <c r="T1082" s="104" t="n">
        <v>11</v>
      </c>
      <c r="U1082" s="104">
        <f>SUM(S1082:T1082)</f>
        <v/>
      </c>
      <c r="V1082" s="12">
        <f>U1082/IF(H1082="L",35,IF(H1082="U",35,IF(H1082="O",35,IF(H1082="I",35,""))))</f>
        <v/>
      </c>
      <c r="W1082" s="132">
        <f>IF(AND(H1082="L", V1082&gt;=50%), "Pass",
IF(AND(H1082="U", V1082&gt;=60%), "Pass",
IF(AND(H1082="O", V1082&gt;=75%), "Pass", "Fail")))</f>
        <v/>
      </c>
      <c r="X1082" s="132">
        <f>IF(AND(Q1082="Pass", W1082="Pass"), "Pass", "Fail")</f>
        <v/>
      </c>
      <c r="Y1082" s="15">
        <f>IF($X1082="Pass",$H1082,
IF(H1082="L","I",
IF(H1082="U","L",
IF(H1082="O","U",
"I"))))</f>
        <v/>
      </c>
    </row>
    <row r="1083">
      <c r="A1083" s="147">
        <f>ROW()-2</f>
        <v/>
      </c>
      <c r="B1083" s="127" t="inlineStr">
        <is>
          <t>PK1523</t>
        </is>
      </c>
      <c r="C1083" s="128" t="inlineStr">
        <is>
          <t>ESAKKIMUTHU K</t>
        </is>
      </c>
      <c r="D1083" s="127" t="inlineStr">
        <is>
          <t>PRODUCTION</t>
        </is>
      </c>
      <c r="E1083" s="129" t="inlineStr">
        <is>
          <t>TYRE BUILDING-P1</t>
        </is>
      </c>
      <c r="F1083" s="130" t="n">
        <v>45678</v>
      </c>
      <c r="G1083" s="131">
        <f>NOW()-F1083</f>
        <v/>
      </c>
      <c r="H1083" s="104" t="inlineStr">
        <is>
          <t>L</t>
        </is>
      </c>
      <c r="I1083" s="104" t="inlineStr">
        <is>
          <t>I</t>
        </is>
      </c>
      <c r="J1083" s="104" t="n">
        <v>2</v>
      </c>
      <c r="K1083" s="104" t="n">
        <v>4</v>
      </c>
      <c r="L1083" s="104" t="n">
        <v>4</v>
      </c>
      <c r="M1083" s="104" t="n">
        <v>5</v>
      </c>
      <c r="N1083" s="104" t="n"/>
      <c r="O1083" s="104">
        <f>SUM(J1083:N1083)</f>
        <v/>
      </c>
      <c r="P1083" s="12">
        <f>O1083/IF(H1083="L",20,IF(H1083="U",30,IF(H1083="O",40,IF(H1083="I",20,""))))</f>
        <v/>
      </c>
      <c r="Q1083" s="132">
        <f>IF(AND(H1083="L", P1083&gt;=50%), "Pass",
IF(AND(H1083="U", P1083&gt;=60%), "Pass",
IF(AND(H1083="O", P1083&gt;=75%), "Pass", "Fail")))</f>
        <v/>
      </c>
      <c r="R1083" s="104" t="n"/>
      <c r="S1083" s="104" t="n">
        <v>11</v>
      </c>
      <c r="T1083" s="104" t="n">
        <v>9</v>
      </c>
      <c r="U1083" s="104">
        <f>SUM(S1083:T1083)</f>
        <v/>
      </c>
      <c r="V1083" s="12">
        <f>U1083/IF(H1083="L",35,IF(H1083="U",35,IF(H1083="O",35,IF(H1083="I",35,""))))</f>
        <v/>
      </c>
      <c r="W1083" s="132">
        <f>IF(AND(H1083="L", V1083&gt;=50%), "Pass",
IF(AND(H1083="U", V1083&gt;=60%), "Pass",
IF(AND(H1083="O", V1083&gt;=75%), "Pass", "Fail")))</f>
        <v/>
      </c>
      <c r="X1083" s="132">
        <f>IF(AND(Q1083="Pass", W1083="Pass"), "Pass", "Fail")</f>
        <v/>
      </c>
      <c r="Y1083" s="15">
        <f>IF($X1083="Pass",$H1083,
IF(H1083="L","I",
IF(H1083="U","L",
IF(H1083="O","U",
"I"))))</f>
        <v/>
      </c>
    </row>
    <row r="1084">
      <c r="A1084" s="147">
        <f>ROW()-2</f>
        <v/>
      </c>
      <c r="B1084" s="137" t="inlineStr">
        <is>
          <t>SK3582</t>
        </is>
      </c>
      <c r="C1084" s="138" t="inlineStr">
        <is>
          <t>RAJU ORAON</t>
        </is>
      </c>
      <c r="D1084" s="127" t="inlineStr">
        <is>
          <t>PRODUCTION</t>
        </is>
      </c>
      <c r="E1084" s="129" t="inlineStr">
        <is>
          <t>TYRE BUILDING-P2</t>
        </is>
      </c>
      <c r="F1084" s="130" t="n">
        <v>45678</v>
      </c>
      <c r="G1084" s="131">
        <f>NOW()-F1084</f>
        <v/>
      </c>
      <c r="H1084" s="104" t="inlineStr">
        <is>
          <t>L</t>
        </is>
      </c>
      <c r="I1084" s="104" t="inlineStr">
        <is>
          <t>I</t>
        </is>
      </c>
      <c r="J1084" s="104" t="n">
        <v>3</v>
      </c>
      <c r="K1084" s="104" t="n">
        <v>3</v>
      </c>
      <c r="L1084" s="104" t="n">
        <v>4</v>
      </c>
      <c r="M1084" s="104" t="n">
        <v>4</v>
      </c>
      <c r="N1084" s="104" t="n"/>
      <c r="O1084" s="104">
        <f>SUM(J1084:M1084)</f>
        <v/>
      </c>
      <c r="P1084" s="12">
        <f>O1084/IF(H1084="L",20,IF(H1084="U",30,IF(H1084="O",40,IF(H1084="I",20,""))))</f>
        <v/>
      </c>
      <c r="Q1084" s="132">
        <f>IF(AND(H1084="L", P1084&gt;=50%), "Pass",
IF(AND(H1084="U", P1084&gt;=60%), "Pass",
IF(AND(H1084="O", P1084&gt;=75%), "Pass", "Fail")))</f>
        <v/>
      </c>
      <c r="R1084" s="104" t="n"/>
      <c r="S1084" s="104" t="n">
        <v>10</v>
      </c>
      <c r="T1084" s="104" t="n">
        <v>8</v>
      </c>
      <c r="U1084" s="104">
        <f>SUM(S1084:T1084)</f>
        <v/>
      </c>
      <c r="V1084" s="12">
        <f>U1084/IF(H1084="L",35,IF(H1084="U",35,IF(H1084="O",35,IF(H1084="I",35,""))))</f>
        <v/>
      </c>
      <c r="W1084" s="132">
        <f>IF(AND(H1084="L", V1084&gt;=50%), "Pass",
IF(AND(H1084="U", V1084&gt;=60%), "Pass",
IF(AND(H1084="O", V1084&gt;=75%), "Pass", "Fail")))</f>
        <v/>
      </c>
      <c r="X1084" s="132">
        <f>IF(AND(Q1084="Pass", W1084="Pass"), "Pass", "Fail")</f>
        <v/>
      </c>
      <c r="Y1084" s="15">
        <f>IF($X1084="Pass",$H1084,
IF(H1084="L","I",
IF(H1084="U","L",
IF(H1084="O","U",
"I"))))</f>
        <v/>
      </c>
      <c r="Z1084" s="81">
        <f>V1084-75%</f>
        <v/>
      </c>
    </row>
    <row r="1085">
      <c r="A1085" s="147">
        <f>ROW()-2</f>
        <v/>
      </c>
      <c r="B1085" s="127" t="inlineStr">
        <is>
          <t>SK3584</t>
        </is>
      </c>
      <c r="C1085" s="128" t="inlineStr">
        <is>
          <t>RAM PRASAD ORAON</t>
        </is>
      </c>
      <c r="D1085" s="127" t="inlineStr">
        <is>
          <t>PRODUCTION</t>
        </is>
      </c>
      <c r="E1085" s="129" t="inlineStr">
        <is>
          <t>TYRE CURING</t>
        </is>
      </c>
      <c r="F1085" s="130" t="n">
        <v>45678</v>
      </c>
      <c r="G1085" s="131">
        <f>NOW()-F1085</f>
        <v/>
      </c>
      <c r="H1085" s="104" t="inlineStr">
        <is>
          <t>L</t>
        </is>
      </c>
      <c r="I1085" s="104" t="inlineStr">
        <is>
          <t>I</t>
        </is>
      </c>
      <c r="J1085" s="104" t="n">
        <v>3</v>
      </c>
      <c r="K1085" s="104" t="n">
        <v>3</v>
      </c>
      <c r="L1085" s="104" t="n">
        <v>2</v>
      </c>
      <c r="M1085" s="104" t="n">
        <v>3</v>
      </c>
      <c r="N1085" s="104" t="n">
        <v>3</v>
      </c>
      <c r="O1085" s="104">
        <f>SUM(J1085:N1085)</f>
        <v/>
      </c>
      <c r="P1085" s="12">
        <f>O1085/IF(H1085="L",20,IF(H1085="U",30,IF(H1085="O",40,IF(H1085="I",20,""))))</f>
        <v/>
      </c>
      <c r="Q1085" s="132">
        <f>IF(AND(H1085="L", P1085&gt;=50%), "Pass",
IF(AND(H1085="U", P1085&gt;=60%), "Pass",
IF(AND(H1085="O", P1085&gt;=75%), "Pass", "Fail")))</f>
        <v/>
      </c>
      <c r="R1085" s="104" t="n"/>
      <c r="S1085" s="104" t="n">
        <v>14</v>
      </c>
      <c r="T1085" s="104" t="n">
        <v>8</v>
      </c>
      <c r="U1085" s="104">
        <f>SUM(S1085:T1085)</f>
        <v/>
      </c>
      <c r="V1085" s="12">
        <f>U1085/IF(H1085="L",35,IF(H1085="U",35,IF(H1085="O",35,IF(H1085="I",35,""))))</f>
        <v/>
      </c>
      <c r="W1085" s="132">
        <f>IF(AND(H1085="L", V1085&gt;=50%), "Pass",
IF(AND(H1085="U", V1085&gt;=60%), "Pass",
IF(AND(H1085="O", V1085&gt;=75%), "Pass", "Fail")))</f>
        <v/>
      </c>
      <c r="X1085" s="132">
        <f>IF(AND(Q1085="Pass", W1085="Pass"), "Pass", "Fail")</f>
        <v/>
      </c>
      <c r="Y1085" s="15">
        <f>IF($X1085="Pass",$H1085,
IF(H1085="L","I",
IF(H1085="U","L",
IF(H1085="O","U",
"I"))))</f>
        <v/>
      </c>
    </row>
    <row r="1086">
      <c r="A1086" s="147">
        <f>ROW()-2</f>
        <v/>
      </c>
      <c r="B1086" s="127" t="inlineStr">
        <is>
          <t>SK3585</t>
        </is>
      </c>
      <c r="C1086" s="128" t="inlineStr">
        <is>
          <t>RAMESH ORAON</t>
        </is>
      </c>
      <c r="D1086" s="127" t="inlineStr">
        <is>
          <t>PRODUCTION</t>
        </is>
      </c>
      <c r="E1086" s="129" t="inlineStr">
        <is>
          <t>TYRE CURING</t>
        </is>
      </c>
      <c r="F1086" s="130" t="n">
        <v>45678</v>
      </c>
      <c r="G1086" s="131">
        <f>NOW()-F1086</f>
        <v/>
      </c>
      <c r="H1086" s="104" t="inlineStr">
        <is>
          <t>L</t>
        </is>
      </c>
      <c r="I1086" s="104" t="inlineStr">
        <is>
          <t>I</t>
        </is>
      </c>
      <c r="J1086" s="104" t="n">
        <v>4</v>
      </c>
      <c r="K1086" s="104" t="n">
        <v>3</v>
      </c>
      <c r="L1086" s="104" t="n">
        <v>2</v>
      </c>
      <c r="M1086" s="104" t="n">
        <v>3</v>
      </c>
      <c r="N1086" s="104" t="n">
        <v>3</v>
      </c>
      <c r="O1086" s="104">
        <f>SUM(J1086:N1086)</f>
        <v/>
      </c>
      <c r="P1086" s="12">
        <f>O1086/IF(H1086="L",20,IF(H1086="U",30,IF(H1086="O",40,IF(H1086="I",20,""))))</f>
        <v/>
      </c>
      <c r="Q1086" s="132">
        <f>IF(AND(H1086="L", P1086&gt;=50%), "Pass",
IF(AND(H1086="U", P1086&gt;=60%), "Pass",
IF(AND(H1086="O", P1086&gt;=75%), "Pass", "Fail")))</f>
        <v/>
      </c>
      <c r="R1086" s="104" t="n"/>
      <c r="S1086" s="104" t="n">
        <v>13</v>
      </c>
      <c r="T1086" s="104" t="n">
        <v>9</v>
      </c>
      <c r="U1086" s="104">
        <f>SUM(S1086:T1086)</f>
        <v/>
      </c>
      <c r="V1086" s="12">
        <f>U1086/IF(H1086="L",35,IF(H1086="U",35,IF(H1086="O",35,IF(H1086="I",35,""))))</f>
        <v/>
      </c>
      <c r="W1086" s="132">
        <f>IF(AND(H1086="L", V1086&gt;=50%), "Pass",
IF(AND(H1086="U", V1086&gt;=60%), "Pass",
IF(AND(H1086="O", V1086&gt;=75%), "Pass", "Fail")))</f>
        <v/>
      </c>
      <c r="X1086" s="132">
        <f>IF(AND(Q1086="Pass", W1086="Pass"), "Pass", "Fail")</f>
        <v/>
      </c>
      <c r="Y1086" s="15">
        <f>IF($X1086="Pass",$H1086,
IF(H1086="L","I",
IF(H1086="U","L",
IF(H1086="O","U",
"I"))))</f>
        <v/>
      </c>
    </row>
    <row r="1087">
      <c r="A1087" s="147">
        <f>ROW()-2</f>
        <v/>
      </c>
      <c r="B1087" s="127" t="inlineStr">
        <is>
          <t>SR1420</t>
        </is>
      </c>
      <c r="C1087" s="128" t="inlineStr">
        <is>
          <t>NAINAR M</t>
        </is>
      </c>
      <c r="D1087" s="127" t="inlineStr">
        <is>
          <t>PRODUCTION</t>
        </is>
      </c>
      <c r="E1087" s="129" t="inlineStr">
        <is>
          <t>TYRE CURING</t>
        </is>
      </c>
      <c r="F1087" s="130" t="n">
        <v>45678</v>
      </c>
      <c r="G1087" s="131">
        <f>NOW()-F1087</f>
        <v/>
      </c>
      <c r="H1087" s="104" t="inlineStr">
        <is>
          <t>L</t>
        </is>
      </c>
      <c r="I1087" s="104" t="inlineStr">
        <is>
          <t>L</t>
        </is>
      </c>
      <c r="J1087" s="104" t="n">
        <v>2</v>
      </c>
      <c r="K1087" s="104" t="n">
        <v>2</v>
      </c>
      <c r="L1087" s="104" t="n">
        <v>3</v>
      </c>
      <c r="M1087" s="104" t="n">
        <v>2</v>
      </c>
      <c r="N1087" s="104" t="n">
        <v>3</v>
      </c>
      <c r="O1087" s="104">
        <f>SUM(J1087:N1087)</f>
        <v/>
      </c>
      <c r="P1087" s="12">
        <f>O1087/IF(H1087="L",20,IF(H1087="U",30,IF(H1087="O",40,IF(H1087="I",20,""))))</f>
        <v/>
      </c>
      <c r="Q1087" s="132">
        <f>IF(AND(H1087="L", P1087&gt;=50%), "Pass",
IF(AND(H1087="U", P1087&gt;=60%), "Pass",
IF(AND(H1087="O", P1087&gt;=75%), "Pass", "Fail")))</f>
        <v/>
      </c>
      <c r="R1087" s="104" t="n"/>
      <c r="S1087" s="104" t="n">
        <v>18</v>
      </c>
      <c r="T1087" s="104" t="n">
        <v>12</v>
      </c>
      <c r="U1087" s="104">
        <f>SUM(S1087:T1087)</f>
        <v/>
      </c>
      <c r="V1087" s="12">
        <f>U1087/IF(H1087="L",35,IF(H1087="U",35,IF(H1087="O",35,IF(H1087="I",35,""))))</f>
        <v/>
      </c>
      <c r="W1087" s="132">
        <f>IF(AND(H1087="L", V1087&gt;=50%), "Pass",
IF(AND(H1087="U", V1087&gt;=60%), "Pass",
IF(AND(H1087="O", V1087&gt;=75%), "Pass", "Fail")))</f>
        <v/>
      </c>
      <c r="X1087" s="132">
        <f>IF(AND(Q1087="Pass", W1087="Pass"), "Pass", "Fail")</f>
        <v/>
      </c>
      <c r="Y1087" s="15">
        <f>IF($X1087="Pass",$H1087,
IF(H1087="L","I",
IF(H1087="U","L",
IF(H1087="O","U",
"I"))))</f>
        <v/>
      </c>
      <c r="Z1087" s="82" t="n"/>
    </row>
    <row r="1088">
      <c r="A1088" s="147">
        <f>ROW()-2</f>
        <v/>
      </c>
      <c r="B1088" s="127" t="inlineStr">
        <is>
          <t>AK1183</t>
        </is>
      </c>
      <c r="C1088" s="128" t="inlineStr">
        <is>
          <t>BALAMURUGAN</t>
        </is>
      </c>
      <c r="D1088" s="127" t="inlineStr">
        <is>
          <t>PRODUCTION</t>
        </is>
      </c>
      <c r="E1088" s="129" t="inlineStr">
        <is>
          <t>BAND BUILDING-P1</t>
        </is>
      </c>
      <c r="F1088" s="130" t="n">
        <v>45684</v>
      </c>
      <c r="G1088" s="131">
        <f>NOW()-F1088</f>
        <v/>
      </c>
      <c r="H1088" s="104" t="inlineStr">
        <is>
          <t>L</t>
        </is>
      </c>
      <c r="I1088" s="104" t="inlineStr">
        <is>
          <t>L</t>
        </is>
      </c>
      <c r="J1088" s="104" t="n">
        <v>3</v>
      </c>
      <c r="K1088" s="104" t="n">
        <v>3</v>
      </c>
      <c r="L1088" s="104" t="n">
        <v>4</v>
      </c>
      <c r="M1088" s="104" t="n">
        <v>3</v>
      </c>
      <c r="N1088" s="104" t="n"/>
      <c r="O1088" s="104">
        <f>SUM(J1088:N1088)</f>
        <v/>
      </c>
      <c r="P1088" s="12">
        <f>O1088/IF(H1088="L",20,IF(H1088="U",30,IF(H1088="O",40,IF(H1088="I",20,""))))</f>
        <v/>
      </c>
      <c r="Q1088" s="132">
        <f>IF(AND(H1088="L", P1088&gt;=50%), "Pass",
IF(AND(H1088="U", P1088&gt;=60%), "Pass",
IF(AND(H1088="O", P1088&gt;=75%), "Pass", "Fail")))</f>
        <v/>
      </c>
      <c r="R1088" s="104" t="n"/>
      <c r="S1088" s="104" t="n">
        <v>17</v>
      </c>
      <c r="T1088" s="104" t="n">
        <v>11</v>
      </c>
      <c r="U1088" s="104">
        <f>SUM(S1088:T1088)</f>
        <v/>
      </c>
      <c r="V1088" s="12">
        <f>U1088/IF(H1088="L",35,IF(H1088="U",35,IF(H1088="O",35,IF(H1088="I",35,""))))</f>
        <v/>
      </c>
      <c r="W1088" s="132">
        <f>IF(AND(H1088="L", V1088&gt;=50%), "Pass",
IF(AND(H1088="U", V1088&gt;=60%), "Pass",
IF(AND(H1088="O", V1088&gt;=75%), "Pass", "Fail")))</f>
        <v/>
      </c>
      <c r="X1088" s="132">
        <f>IF(AND(Q1088="Pass", W1088="Pass"), "Pass", "Fail")</f>
        <v/>
      </c>
      <c r="Y1088" s="15">
        <f>IF($X1088="Pass",$H1088,
IF(H1088="L","I",
IF(H1088="U","L",
IF(H1088="O","U",
"I"))))</f>
        <v/>
      </c>
    </row>
    <row r="1089">
      <c r="A1089" s="147">
        <f>ROW()-2</f>
        <v/>
      </c>
      <c r="B1089" s="127" t="inlineStr">
        <is>
          <t>KK1479</t>
        </is>
      </c>
      <c r="C1089" s="128" t="inlineStr">
        <is>
          <t>MANIKANDAN</t>
        </is>
      </c>
      <c r="D1089" s="127" t="inlineStr">
        <is>
          <t>PRODUCTION</t>
        </is>
      </c>
      <c r="E1089" s="129" t="inlineStr">
        <is>
          <t>TYRE BUILDING-P3</t>
        </is>
      </c>
      <c r="F1089" s="130" t="n">
        <v>45684</v>
      </c>
      <c r="G1089" s="131">
        <f>NOW()-F1089</f>
        <v/>
      </c>
      <c r="H1089" s="104" t="inlineStr">
        <is>
          <t>L</t>
        </is>
      </c>
      <c r="I1089" s="104" t="inlineStr">
        <is>
          <t>L</t>
        </is>
      </c>
      <c r="J1089" s="104" t="n">
        <v>4</v>
      </c>
      <c r="K1089" s="104" t="n">
        <v>5</v>
      </c>
      <c r="L1089" s="104" t="n">
        <v>4</v>
      </c>
      <c r="M1089" s="104" t="n">
        <v>5</v>
      </c>
      <c r="N1089" s="104" t="n"/>
      <c r="O1089" s="104">
        <f>SUM(J1089:N1089)</f>
        <v/>
      </c>
      <c r="P1089" s="12">
        <f>O1089/IF(H1089="L",20,IF(H1089="U",30,IF(H1089="O",40,IF(H1089="I",20,""))))</f>
        <v/>
      </c>
      <c r="Q1089" s="132">
        <f>IF(AND(H1089="L", P1089&gt;=50%), "Pass",
IF(AND(H1089="U", P1089&gt;=60%), "Pass",
IF(AND(H1089="O", P1089&gt;=75%), "Pass", "Fail")))</f>
        <v/>
      </c>
      <c r="R1089" s="104" t="n"/>
      <c r="S1089" s="104" t="n">
        <v>19</v>
      </c>
      <c r="T1089" s="104" t="n">
        <v>12</v>
      </c>
      <c r="U1089" s="104">
        <f>SUM(S1089:T1089)</f>
        <v/>
      </c>
      <c r="V1089" s="12">
        <f>U1089/IF(H1089="L",35,IF(H1089="U",35,IF(H1089="O",35,IF(H1089="I",35,""))))</f>
        <v/>
      </c>
      <c r="W1089" s="132">
        <f>IF(AND(H1089="L", V1089&gt;=50%), "Pass",
IF(AND(H1089="U", V1089&gt;=60%), "Pass",
IF(AND(H1089="O", V1089&gt;=75%), "Pass", "Fail")))</f>
        <v/>
      </c>
      <c r="X1089" s="132">
        <f>IF(AND(Q1089="Pass", W1089="Pass"), "Pass", "Fail")</f>
        <v/>
      </c>
      <c r="Y1089" s="15">
        <f>IF($X1089="Pass",$H1089,
IF(H1089="L","I",
IF(H1089="U","L",
IF(H1089="O","U",
"I"))))</f>
        <v/>
      </c>
    </row>
    <row r="1090">
      <c r="A1090" s="147">
        <f>ROW()-2</f>
        <v/>
      </c>
      <c r="B1090" s="127" t="inlineStr">
        <is>
          <t>PK1534</t>
        </is>
      </c>
      <c r="C1090" s="128" t="inlineStr">
        <is>
          <t>MUTHUGANESH ARIVUDAI NAMBI</t>
        </is>
      </c>
      <c r="D1090" s="127" t="inlineStr">
        <is>
          <t>PRODUCTION</t>
        </is>
      </c>
      <c r="E1090" s="129" t="inlineStr">
        <is>
          <t>3 ROLL-P2</t>
        </is>
      </c>
      <c r="F1090" s="130" t="n">
        <v>45684</v>
      </c>
      <c r="G1090" s="131">
        <f>NOW()-F1090</f>
        <v/>
      </c>
      <c r="H1090" s="104" t="inlineStr">
        <is>
          <t>L</t>
        </is>
      </c>
      <c r="I1090" s="104" t="inlineStr">
        <is>
          <t>L</t>
        </is>
      </c>
      <c r="J1090" s="104" t="n">
        <v>4</v>
      </c>
      <c r="K1090" s="104" t="n">
        <v>1</v>
      </c>
      <c r="L1090" s="104" t="n">
        <v>2</v>
      </c>
      <c r="M1090" s="104" t="n">
        <v>3</v>
      </c>
      <c r="N1090" s="104" t="n"/>
      <c r="O1090" s="104">
        <f>SUM(J1090:N1090)</f>
        <v/>
      </c>
      <c r="P1090" s="12">
        <f>O1090/IF(H1090="L",20,IF(H1090="U",30,IF(H1090="O",40,IF(H1090="I",20,""))))</f>
        <v/>
      </c>
      <c r="Q1090" s="132">
        <f>IF(AND(H1090="L", P1090&gt;=50%), "Pass",
IF(AND(H1090="U", P1090&gt;=60%), "Pass",
IF(AND(H1090="O", P1090&gt;=75%), "Pass", "Fail")))</f>
        <v/>
      </c>
      <c r="R1090" s="104" t="n"/>
      <c r="S1090" s="104" t="n">
        <v>13</v>
      </c>
      <c r="T1090" s="104" t="n">
        <v>11</v>
      </c>
      <c r="U1090" s="104">
        <f>SUM(S1090:T1090)</f>
        <v/>
      </c>
      <c r="V1090" s="12">
        <f>U1090/IF(H1090="L",35,IF(H1090="U",35,IF(H1090="O",35,IF(H1090="I",35,""))))</f>
        <v/>
      </c>
      <c r="W1090" s="132">
        <f>IF(AND(H1090="L", V1090&gt;=50%), "Pass",
IF(AND(H1090="U", V1090&gt;=60%), "Pass",
IF(AND(H1090="O", V1090&gt;=75%), "Pass", "Fail")))</f>
        <v/>
      </c>
      <c r="X1090" s="132">
        <f>IF(AND(Q1090="Pass", W1090="Pass"), "Pass", "Fail")</f>
        <v/>
      </c>
      <c r="Y1090" s="15">
        <f>IF($X1090="Pass",$H1090,
IF(H1090="L","I",
IF(H1090="U","L",
IF(H1090="O","U",
"I"))))</f>
        <v/>
      </c>
    </row>
    <row r="1091">
      <c r="A1091" s="147">
        <f>ROW()-2</f>
        <v/>
      </c>
      <c r="B1091" s="127" t="inlineStr">
        <is>
          <t>SK3591</t>
        </is>
      </c>
      <c r="C1091" s="128" t="inlineStr">
        <is>
          <t>SHREERAM M S</t>
        </is>
      </c>
      <c r="D1091" s="127" t="inlineStr">
        <is>
          <t>PRODUCTION</t>
        </is>
      </c>
      <c r="E1091" s="129" t="inlineStr">
        <is>
          <t>TYRE BUILDING-P2</t>
        </is>
      </c>
      <c r="F1091" s="130" t="n">
        <v>45684</v>
      </c>
      <c r="G1091" s="131">
        <f>NOW()-F1091</f>
        <v/>
      </c>
      <c r="H1091" s="104" t="inlineStr">
        <is>
          <t>L</t>
        </is>
      </c>
      <c r="I1091" s="104" t="inlineStr">
        <is>
          <t>I</t>
        </is>
      </c>
      <c r="J1091" s="104" t="n">
        <v>1</v>
      </c>
      <c r="K1091" s="104" t="n">
        <v>4</v>
      </c>
      <c r="L1091" s="104" t="n">
        <v>2</v>
      </c>
      <c r="M1091" s="104" t="n">
        <v>4</v>
      </c>
      <c r="N1091" s="104" t="n"/>
      <c r="O1091" s="104">
        <f>SUM(J1091:N1091)</f>
        <v/>
      </c>
      <c r="P1091" s="12">
        <f>O1091/IF(H1091="L",20,IF(H1091="U",30,IF(H1091="O",40,IF(H1091="I",20,""))))</f>
        <v/>
      </c>
      <c r="Q1091" s="132">
        <f>IF(AND(H1091="L", P1091&gt;=50%), "Pass",
 IF(AND(H1091="U", P1091&gt;=60%), "Pass",
 IF(AND(H1091="O", P1091&gt;=75%), "Pass", "Fail")))</f>
        <v/>
      </c>
      <c r="R1091" s="104" t="n"/>
      <c r="S1091" s="104" t="n">
        <v>5</v>
      </c>
      <c r="T1091" s="104" t="n">
        <v>4</v>
      </c>
      <c r="U1091" s="104">
        <f>SUM(S1091:T1091)</f>
        <v/>
      </c>
      <c r="V1091" s="12">
        <f>U1091/IF(H1091="L",35,IF(H1091="U",35,IF(H1091="O",35,IF(H1091="I",35,""))))</f>
        <v/>
      </c>
      <c r="W1091" s="132">
        <f>IF(AND(H1091="L", V1091&gt;=50%), "Pass",
 IF(AND(H1091="U", V1091&gt;=60%), "Pass",
 IF(AND(H1091="O", V1091&gt;=75%), "Pass", "Fail")))</f>
        <v/>
      </c>
      <c r="X1091" s="132">
        <f>IF(AND(Q1091="Pass", W1091="Pass"), "Pass", "Fail")</f>
        <v/>
      </c>
      <c r="Y1091" s="15">
        <f>IF($X1091="Pass",$H1091,
IF(H1091="L","I",
IF(H1091="U","L",
IF(H1091="O","U",
"I"))))</f>
        <v/>
      </c>
    </row>
    <row r="1092">
      <c r="A1092" s="147">
        <f>ROW()-2</f>
        <v/>
      </c>
      <c r="B1092" s="133" t="inlineStr">
        <is>
          <t>SK3593</t>
        </is>
      </c>
      <c r="C1092" s="148" t="inlineStr">
        <is>
          <t>RAMU ORAON</t>
        </is>
      </c>
      <c r="D1092" s="127" t="inlineStr">
        <is>
          <t>PRODUCTION</t>
        </is>
      </c>
      <c r="E1092" s="148" t="inlineStr">
        <is>
          <t>TYRE CURING</t>
        </is>
      </c>
      <c r="F1092" s="136" t="n">
        <v>45684</v>
      </c>
      <c r="G1092" s="131">
        <f>NOW()-F1092</f>
        <v/>
      </c>
      <c r="H1092" s="104" t="inlineStr">
        <is>
          <t>L</t>
        </is>
      </c>
      <c r="I1092" s="104" t="inlineStr">
        <is>
          <t>I</t>
        </is>
      </c>
      <c r="J1092" s="104" t="n">
        <v>3</v>
      </c>
      <c r="K1092" s="104" t="n">
        <v>3</v>
      </c>
      <c r="L1092" s="104" t="n">
        <v>4</v>
      </c>
      <c r="M1092" s="104" t="n">
        <v>4</v>
      </c>
      <c r="N1092" s="104" t="n">
        <v>2</v>
      </c>
      <c r="O1092" s="104">
        <f>SUM(J1092:N1092)</f>
        <v/>
      </c>
      <c r="P1092" s="12">
        <f>O1092/IF(H1092="L",20,IF(H1092="U",30,IF(H1092="O",40,IF(H1092="I",20,""))))</f>
        <v/>
      </c>
      <c r="Q1092" s="132">
        <f>IF(AND(H1092="L", P1092&gt;=50%), "Pass",
IF(AND(H1092="U", P1092&gt;=60%), "Pass",
IF(AND(H1092="O", P1092&gt;=75%), "Pass", "Fail")))</f>
        <v/>
      </c>
      <c r="R1092" s="104" t="n"/>
      <c r="S1092" s="104" t="n">
        <v>10</v>
      </c>
      <c r="T1092" s="104" t="n">
        <v>8</v>
      </c>
      <c r="U1092" s="104">
        <f>SUM(S1092:T1092)</f>
        <v/>
      </c>
      <c r="V1092" s="12">
        <f>U1092/IF(H1092="L",35,IF(H1092="U",35,IF(H1092="O",35,IF(H1092="I",35,""))))</f>
        <v/>
      </c>
      <c r="W1092" s="132">
        <f>IF(AND(H1092="L", V1092&gt;=50%), "Pass",
IF(AND(H1092="U", V1092&gt;=60%), "Pass",
IF(AND(H1092="O", V1092&gt;=75%), "Pass", "Fail")))</f>
        <v/>
      </c>
      <c r="X1092" s="132">
        <f>IF(AND(Q1092="Pass", W1092="Pass"), "Pass", "Fail")</f>
        <v/>
      </c>
      <c r="Y1092" s="15">
        <f>IF($X1092="Pass",$H1092,
IF(H1092="L","I",
IF(H1092="U","L",
IF(H1092="O","U",
"I"))))</f>
        <v/>
      </c>
    </row>
    <row r="1093">
      <c r="A1093" s="147">
        <f>ROW()-2</f>
        <v/>
      </c>
      <c r="B1093" s="127" t="inlineStr">
        <is>
          <t>SK3599</t>
        </is>
      </c>
      <c r="C1093" s="128" t="inlineStr">
        <is>
          <t>KALIRAJ KALIYAPPAN</t>
        </is>
      </c>
      <c r="D1093" s="127" t="inlineStr">
        <is>
          <t>PRODUCTION</t>
        </is>
      </c>
      <c r="E1093" s="129" t="inlineStr">
        <is>
          <t>BAND BUILDING-P1</t>
        </is>
      </c>
      <c r="F1093" s="130" t="n">
        <v>45684</v>
      </c>
      <c r="G1093" s="131">
        <f>NOW()-F1093</f>
        <v/>
      </c>
      <c r="H1093" s="104" t="inlineStr">
        <is>
          <t>L</t>
        </is>
      </c>
      <c r="I1093" s="104" t="inlineStr">
        <is>
          <t>I</t>
        </is>
      </c>
      <c r="J1093" s="104" t="n">
        <v>5</v>
      </c>
      <c r="K1093" s="104" t="n">
        <v>2</v>
      </c>
      <c r="L1093" s="104" t="n">
        <v>4</v>
      </c>
      <c r="M1093" s="104" t="n">
        <v>4</v>
      </c>
      <c r="N1093" s="104" t="n"/>
      <c r="O1093" s="104">
        <f>SUM(J1093:N1093)</f>
        <v/>
      </c>
      <c r="P1093" s="12">
        <f>O1093/IF(H1093="L",20,IF(H1093="U",30,IF(H1093="O",40,IF(H1093="I",20,""))))</f>
        <v/>
      </c>
      <c r="Q1093" s="132">
        <f>IF(AND(H1093="L", P1093&gt;=50%), "Pass",
IF(AND(H1093="U", P1093&gt;=60%), "Pass",
IF(AND(H1093="O", P1093&gt;=75%), "Pass", "Fail")))</f>
        <v/>
      </c>
      <c r="R1093" s="104" t="n"/>
      <c r="S1093" s="104" t="n">
        <v>16</v>
      </c>
      <c r="T1093" s="104" t="n">
        <v>10</v>
      </c>
      <c r="U1093" s="104">
        <f>SUM(S1093:T1093)</f>
        <v/>
      </c>
      <c r="V1093" s="12">
        <f>U1093/IF(H1093="L",35,IF(H1093="U",35,IF(H1093="O",35,IF(H1093="I",35,""))))</f>
        <v/>
      </c>
      <c r="W1093" s="132">
        <f>IF(AND(H1093="L", V1093&gt;=50%), "Pass",
IF(AND(H1093="U", V1093&gt;=60%), "Pass",
IF(AND(H1093="O", V1093&gt;=75%), "Pass", "Fail")))</f>
        <v/>
      </c>
      <c r="X1093" s="132">
        <f>IF(AND(Q1093="Pass", W1093="Pass"), "Pass", "Fail")</f>
        <v/>
      </c>
      <c r="Y1093" s="15">
        <f>IF($X1093="Pass",$H1093,
IF(H1093="L","I",
IF(H1093="U","L",
IF(H1093="O","U",
"I"))))</f>
        <v/>
      </c>
    </row>
    <row r="1094">
      <c r="A1094" s="147">
        <f>ROW()-2</f>
        <v/>
      </c>
      <c r="B1094" s="127" t="inlineStr">
        <is>
          <t>SK3600</t>
        </is>
      </c>
      <c r="C1094" s="128" t="inlineStr">
        <is>
          <t>KARTHIK P</t>
        </is>
      </c>
      <c r="D1094" s="127" t="inlineStr">
        <is>
          <t>PRODUCTION</t>
        </is>
      </c>
      <c r="E1094" s="129" t="inlineStr">
        <is>
          <t>BIAS CUTTING-2</t>
        </is>
      </c>
      <c r="F1094" s="130" t="n">
        <v>45684</v>
      </c>
      <c r="G1094" s="131">
        <f>NOW()-F1094</f>
        <v/>
      </c>
      <c r="H1094" s="104" t="inlineStr">
        <is>
          <t>L</t>
        </is>
      </c>
      <c r="I1094" s="104" t="inlineStr">
        <is>
          <t>I</t>
        </is>
      </c>
      <c r="J1094" s="104" t="n">
        <v>4</v>
      </c>
      <c r="K1094" s="104" t="n">
        <v>1</v>
      </c>
      <c r="L1094" s="104" t="n">
        <v>0</v>
      </c>
      <c r="M1094" s="104" t="n">
        <v>1</v>
      </c>
      <c r="N1094" s="104" t="n"/>
      <c r="O1094" s="104">
        <f>SUM(J1094:N1094)</f>
        <v/>
      </c>
      <c r="P1094" s="12">
        <f>O1094/IF(H1094="L",20,IF(H1094="U",30,IF(H1094="O",40,IF(H1094="I",20,""))))</f>
        <v/>
      </c>
      <c r="Q1094" s="132">
        <f>IF(AND(H1094="L", P1094&gt;=50%), "Pass",
IF(AND(H1094="U", P1094&gt;=60%), "Pass",
IF(AND(H1094="O", P1094&gt;=75%), "Pass", "Fail")))</f>
        <v/>
      </c>
      <c r="R1094" s="104" t="n"/>
      <c r="S1094" s="104" t="n">
        <v>13</v>
      </c>
      <c r="T1094" s="104" t="n">
        <v>11</v>
      </c>
      <c r="U1094" s="104">
        <f>SUM(S1094:T1094)</f>
        <v/>
      </c>
      <c r="V1094" s="12">
        <f>U1094/IF(H1094="L",35,IF(H1094="U",35,IF(H1094="O",35,IF(H1094="I",35,""))))</f>
        <v/>
      </c>
      <c r="W1094" s="132">
        <f>IF(AND(H1094="L", V1094&gt;=50%), "Pass",
IF(AND(H1094="U", V1094&gt;=60%), "Pass",
IF(AND(H1094="O", V1094&gt;=75%), "Pass", "Fail")))</f>
        <v/>
      </c>
      <c r="X1094" s="132">
        <f>IF(AND(Q1094="Pass", W1094="Pass"), "Pass", "Fail")</f>
        <v/>
      </c>
      <c r="Y1094" s="15">
        <f>IF($X1094="Pass",$H1094,
IF(H1094="L","I",
IF(H1094="U","L",
IF(H1094="O","U",
"I"))))</f>
        <v/>
      </c>
      <c r="Z1094" s="82">
        <f>V1094-75%</f>
        <v/>
      </c>
    </row>
    <row r="1095">
      <c r="A1095" s="147">
        <f>ROW()-2</f>
        <v/>
      </c>
      <c r="B1095" s="127" t="inlineStr">
        <is>
          <t>SR1430</t>
        </is>
      </c>
      <c r="C1095" s="128" t="inlineStr">
        <is>
          <t>MANIKKAM R</t>
        </is>
      </c>
      <c r="D1095" s="127" t="inlineStr">
        <is>
          <t>PRODUCTION</t>
        </is>
      </c>
      <c r="E1095" s="129" t="inlineStr">
        <is>
          <t>BIAS MARANGONI&amp;BESTRY</t>
        </is>
      </c>
      <c r="F1095" s="130" t="n">
        <v>45684</v>
      </c>
      <c r="G1095" s="131">
        <f>NOW()-F1095</f>
        <v/>
      </c>
      <c r="H1095" s="104" t="inlineStr">
        <is>
          <t>L</t>
        </is>
      </c>
      <c r="I1095" s="104" t="inlineStr">
        <is>
          <t>L</t>
        </is>
      </c>
      <c r="J1095" s="104" t="n">
        <v>2</v>
      </c>
      <c r="K1095" s="104" t="n">
        <v>2</v>
      </c>
      <c r="L1095" s="104" t="n">
        <v>3</v>
      </c>
      <c r="M1095" s="104" t="n">
        <v>3</v>
      </c>
      <c r="N1095" s="104" t="n"/>
      <c r="O1095" s="104">
        <f>SUM(J1095:N1095)</f>
        <v/>
      </c>
      <c r="P1095" s="12">
        <f>O1095/IF(H1095="L",20,IF(H1095="U",30,IF(H1095="O",40,IF(H1095="I",20,""))))</f>
        <v/>
      </c>
      <c r="Q1095" s="132">
        <f>IF(AND(H1095="L", P1095&gt;=50%), "Pass",
IF(AND(H1095="U", P1095&gt;=60%), "Pass",
IF(AND(H1095="O", P1095&gt;=75%), "Pass", "Fail")))</f>
        <v/>
      </c>
      <c r="R1095" s="104" t="n"/>
      <c r="S1095" s="104" t="n">
        <v>13</v>
      </c>
      <c r="T1095" s="104" t="n">
        <v>11</v>
      </c>
      <c r="U1095" s="104">
        <f>SUM(S1095:T1095)</f>
        <v/>
      </c>
      <c r="V1095" s="12">
        <f>U1095/IF(H1095="L",35,IF(H1095="U",35,IF(H1095="O",35,IF(H1095="I",35,""))))</f>
        <v/>
      </c>
      <c r="W1095" s="132">
        <f>IF(AND(H1095="L", V1095&gt;=50%), "Pass",
IF(AND(H1095="U", V1095&gt;=60%), "Pass",
IF(AND(H1095="O", V1095&gt;=75%), "Pass", "Fail")))</f>
        <v/>
      </c>
      <c r="X1095" s="132">
        <f>IF(AND(Q1095="Pass", W1095="Pass"), "Pass", "Fail")</f>
        <v/>
      </c>
      <c r="Y1095" s="15">
        <f>IF($X1095="Pass",$H1095,
IF(H1095="L","I",
IF(H1095="U","L",
IF(H1095="O","U",
"I"))))</f>
        <v/>
      </c>
    </row>
    <row r="1096">
      <c r="A1096" s="147">
        <f>ROW()-2</f>
        <v/>
      </c>
      <c r="B1096" s="133" t="inlineStr">
        <is>
          <t>SR1431</t>
        </is>
      </c>
      <c r="C1096" s="148" t="inlineStr">
        <is>
          <t>SURESH T</t>
        </is>
      </c>
      <c r="D1096" s="127" t="inlineStr">
        <is>
          <t>PRODUCTION</t>
        </is>
      </c>
      <c r="E1096" s="135" t="inlineStr">
        <is>
          <t>TYRE BUILDING-P3</t>
        </is>
      </c>
      <c r="F1096" s="136" t="n">
        <v>45684</v>
      </c>
      <c r="G1096" s="131">
        <f>NOW()-F1096</f>
        <v/>
      </c>
      <c r="H1096" s="104" t="inlineStr">
        <is>
          <t>L</t>
        </is>
      </c>
      <c r="I1096" s="104" t="inlineStr">
        <is>
          <t>I</t>
        </is>
      </c>
      <c r="J1096" s="104" t="n">
        <v>5</v>
      </c>
      <c r="K1096" s="104" t="n">
        <v>4</v>
      </c>
      <c r="L1096" s="104" t="n">
        <v>4</v>
      </c>
      <c r="M1096" s="104" t="n">
        <v>5</v>
      </c>
      <c r="N1096" s="104" t="n"/>
      <c r="O1096" s="104">
        <f>SUM(J1096:N1096)</f>
        <v/>
      </c>
      <c r="P1096" s="12">
        <f>O1096/IF(H1096="L",20,IF(H1096="U",30,IF(H1096="O",40,IF(H1096="I",20,""))))</f>
        <v/>
      </c>
      <c r="Q1096" s="132">
        <f>IF(AND(H1096="L", P1096&gt;=50%), "Pass",
IF(AND(H1096="U", P1096&gt;=60%), "Pass",
IF(AND(H1096="O", P1096&gt;=75%), "Pass", "Fail")))</f>
        <v/>
      </c>
      <c r="R1096" s="104" t="n"/>
      <c r="S1096" s="104" t="n">
        <v>18</v>
      </c>
      <c r="T1096" s="104" t="n">
        <v>15</v>
      </c>
      <c r="U1096" s="104">
        <f>SUM(S1096:T1096)</f>
        <v/>
      </c>
      <c r="V1096" s="12">
        <f>U1096/IF(H1096="L",35,IF(H1096="U",35,IF(H1096="O",35,IF(H1096="I",35,""))))</f>
        <v/>
      </c>
      <c r="W1096" s="132">
        <f>IF(AND(H1096="L", V1096&gt;=50%), "Pass",
IF(AND(H1096="U", V1096&gt;=60%), "Pass",
IF(AND(H1096="O", V1096&gt;=75%), "Pass", "Fail")))</f>
        <v/>
      </c>
      <c r="X1096" s="132">
        <f>IF(AND(Q1096="Pass", W1096="Pass"), "Pass", "Fail")</f>
        <v/>
      </c>
      <c r="Y1096" s="15">
        <f>IF($X1096="Pass",$H1096,
IF(H1096="L","I",
IF(H1096="U","L",
IF(H1096="O","U",
"I"))))</f>
        <v/>
      </c>
    </row>
    <row r="1097">
      <c r="A1097" s="147">
        <f>ROW()-2</f>
        <v/>
      </c>
      <c r="B1097" s="127" t="inlineStr">
        <is>
          <t>SR1433</t>
        </is>
      </c>
      <c r="C1097" s="128" t="inlineStr">
        <is>
          <t>GANESAMOORTHY C</t>
        </is>
      </c>
      <c r="D1097" s="127" t="inlineStr">
        <is>
          <t>PRODUCTION</t>
        </is>
      </c>
      <c r="E1097" s="129" t="inlineStr">
        <is>
          <t>EXTRUDER</t>
        </is>
      </c>
      <c r="F1097" s="130" t="n">
        <v>45684</v>
      </c>
      <c r="G1097" s="131">
        <f>NOW()-F1097</f>
        <v/>
      </c>
      <c r="H1097" s="104" t="inlineStr">
        <is>
          <t>L</t>
        </is>
      </c>
      <c r="I1097" s="104" t="inlineStr">
        <is>
          <t>I</t>
        </is>
      </c>
      <c r="J1097" s="104" t="n">
        <v>3</v>
      </c>
      <c r="K1097" s="104" t="n">
        <v>4</v>
      </c>
      <c r="L1097" s="104" t="n">
        <v>2</v>
      </c>
      <c r="M1097" s="104" t="n">
        <v>2</v>
      </c>
      <c r="N1097" s="104" t="n"/>
      <c r="O1097" s="104">
        <f>SUM(J1097:N1097)</f>
        <v/>
      </c>
      <c r="P1097" s="12">
        <f>O1097/IF(H1097="L",20,IF(H1097="U",30,IF(H1097="O",40,IF(H1097="I",20,""))))</f>
        <v/>
      </c>
      <c r="Q1097" s="132">
        <f>IF(AND(H1097="L", P1097&gt;=50%), "Pass",
IF(AND(H1097="U", P1097&gt;=60%), "Pass",
IF(AND(H1097="O", P1097&gt;=75%), "Pass", "Fail")))</f>
        <v/>
      </c>
      <c r="R1097" s="104" t="n"/>
      <c r="S1097" s="104" t="n">
        <v>11</v>
      </c>
      <c r="T1097" s="104" t="n">
        <v>10</v>
      </c>
      <c r="U1097" s="104">
        <f>SUM(S1097:T1097)</f>
        <v/>
      </c>
      <c r="V1097" s="12">
        <f>U1097/IF(H1097="L",35,IF(H1097="U",35,IF(H1097="O",35,IF(H1097="I",35,""))))</f>
        <v/>
      </c>
      <c r="W1097" s="132">
        <f>IF(AND(H1097="L", V1097&gt;=50%), "Pass",
IF(AND(H1097="U", V1097&gt;=60%), "Pass",
IF(AND(H1097="O", V1097&gt;=75%), "Pass", "Fail")))</f>
        <v/>
      </c>
      <c r="X1097" s="132">
        <f>IF(AND(Q1097="Pass", W1097="Pass"), "Pass", "Fail")</f>
        <v/>
      </c>
      <c r="Y1097" s="15">
        <f>IF($X1097="Pass",$H1097,
IF(H1097="L","I",
IF(H1097="U","L",
IF(H1097="O","U",
"I"))))</f>
        <v/>
      </c>
    </row>
    <row r="1098">
      <c r="A1098" s="147">
        <f>ROW()-2</f>
        <v/>
      </c>
      <c r="B1098" s="133" t="inlineStr">
        <is>
          <t>PK1549</t>
        </is>
      </c>
      <c r="C1098" s="148" t="inlineStr">
        <is>
          <t>SHANKAR ORAON</t>
        </is>
      </c>
      <c r="D1098" s="127" t="inlineStr">
        <is>
          <t>PRODUCTION</t>
        </is>
      </c>
      <c r="E1098" s="135" t="inlineStr">
        <is>
          <t>MIXING</t>
        </is>
      </c>
      <c r="F1098" s="136" t="n">
        <v>45686</v>
      </c>
      <c r="G1098" s="131">
        <f>NOW()-F1098</f>
        <v/>
      </c>
      <c r="H1098" s="104" t="inlineStr">
        <is>
          <t>L</t>
        </is>
      </c>
      <c r="I1098" s="104" t="inlineStr">
        <is>
          <t>L</t>
        </is>
      </c>
      <c r="J1098" s="104" t="inlineStr">
        <is>
          <t>NIL</t>
        </is>
      </c>
      <c r="K1098" s="104" t="n"/>
      <c r="L1098" s="104" t="n"/>
      <c r="M1098" s="104" t="n"/>
      <c r="N1098" s="104" t="n"/>
      <c r="O1098" s="104" t="n"/>
      <c r="P1098" s="12">
        <f>O1098/IF(H1098="L",20,IF(H1098="U",30,IF(H1098="O",40,IF(H1098="I",20,""))))</f>
        <v/>
      </c>
      <c r="Q1098" s="132">
        <f>IF(AND(H1098="L", P1098&gt;=50%), "Pass",
IF(AND(H1098="U", P1098&gt;=60%), "Pass",
IF(AND(H1098="O", P1098&gt;=75%), "Pass", "Fail")))</f>
        <v/>
      </c>
      <c r="R1098" s="104" t="n"/>
      <c r="S1098" s="104" t="n">
        <v>12</v>
      </c>
      <c r="T1098" s="104" t="n">
        <v>11</v>
      </c>
      <c r="U1098" s="104">
        <f>SUM(S1098:T1098)</f>
        <v/>
      </c>
      <c r="V1098" s="12">
        <f>U1098/IF(H1098="L",35,IF(H1098="U",35,IF(H1098="O",35,IF(H1098="I",35,""))))</f>
        <v/>
      </c>
      <c r="W1098" s="132">
        <f>IF(AND(H1098="L", V1098&gt;=50%), "Pass",
IF(AND(H1098="U", V1098&gt;=60%), "Pass",
IF(AND(H1098="O", V1098&gt;=75%), "Pass", "Fail")))</f>
        <v/>
      </c>
      <c r="X1098" s="132">
        <f>IF(AND(Q1098="Pass", W1098="Pass"), "Pass", "Fail")</f>
        <v/>
      </c>
      <c r="Y1098" s="15">
        <f>IF($X1098="Pass",$H1098,
IF(H1098="L","I",
IF(H1098="U","L",
IF(H1098="O","U",
"I"))))</f>
        <v/>
      </c>
    </row>
    <row r="1099">
      <c r="A1099" s="147">
        <f>ROW()-2</f>
        <v/>
      </c>
      <c r="B1099" s="133" t="inlineStr">
        <is>
          <t>SK3609</t>
        </is>
      </c>
      <c r="C1099" s="148" t="inlineStr">
        <is>
          <t>DHANI ORAON</t>
        </is>
      </c>
      <c r="D1099" s="127" t="inlineStr">
        <is>
          <t>PRODUCTION</t>
        </is>
      </c>
      <c r="E1099" s="135" t="inlineStr">
        <is>
          <t>TYRE BUILDING-P2</t>
        </is>
      </c>
      <c r="F1099" s="136" t="n">
        <v>45686</v>
      </c>
      <c r="G1099" s="131">
        <f>NOW()-F1099</f>
        <v/>
      </c>
      <c r="H1099" s="104" t="inlineStr">
        <is>
          <t>L</t>
        </is>
      </c>
      <c r="I1099" s="104" t="inlineStr">
        <is>
          <t>I</t>
        </is>
      </c>
      <c r="J1099" s="104" t="n">
        <v>1</v>
      </c>
      <c r="K1099" s="104" t="n">
        <v>0</v>
      </c>
      <c r="L1099" s="104" t="n">
        <v>1</v>
      </c>
      <c r="M1099" s="104" t="n">
        <v>2</v>
      </c>
      <c r="N1099" s="104" t="n"/>
      <c r="O1099" s="104">
        <f>SUM(J1099:N1099)</f>
        <v/>
      </c>
      <c r="P1099" s="12">
        <f>O1099/IF(H1099="L",20,IF(H1099="U",30,IF(H1099="O",40,IF(H1099="I",20,""))))</f>
        <v/>
      </c>
      <c r="Q1099" s="132">
        <f>IF(AND(H1099="L", P1099&gt;=50%), "Pass",
IF(AND(H1099="U", P1099&gt;=60%), "Pass",
IF(AND(H1099="O", P1099&gt;=75%), "Pass", "Fail")))</f>
        <v/>
      </c>
      <c r="R1099" s="104" t="n"/>
      <c r="S1099" s="104" t="n">
        <v>7</v>
      </c>
      <c r="T1099" s="104" t="n">
        <v>5</v>
      </c>
      <c r="U1099" s="104">
        <f>SUM(S1099:T1099)</f>
        <v/>
      </c>
      <c r="V1099" s="12">
        <f>U1099/IF(H1099="L",35,IF(H1099="U",35,IF(H1099="O",35,IF(H1099="I",35,""))))</f>
        <v/>
      </c>
      <c r="W1099" s="132">
        <f>IF(AND(H1099="L", V1099&gt;=50%), "Pass",
IF(AND(H1099="U", V1099&gt;=60%), "Pass",
IF(AND(H1099="O", V1099&gt;=75%), "Pass", "Fail")))</f>
        <v/>
      </c>
      <c r="X1099" s="132">
        <f>IF(AND(Q1099="Pass", W1099="Pass"), "Pass", "Fail")</f>
        <v/>
      </c>
      <c r="Y1099" s="15">
        <f>IF($X1099="Pass",$H1099,
IF(H1099="L","I",
IF(H1099="U","L",
IF(H1099="O","U",
"I"))))</f>
        <v/>
      </c>
    </row>
    <row r="1100">
      <c r="A1100" s="147">
        <f>ROW()-2</f>
        <v/>
      </c>
      <c r="B1100" s="127" t="inlineStr">
        <is>
          <t>PK1554</t>
        </is>
      </c>
      <c r="C1100" s="128" t="inlineStr">
        <is>
          <t>NITIN SINGH</t>
        </is>
      </c>
      <c r="D1100" s="127" t="inlineStr">
        <is>
          <t>PRODUCTION</t>
        </is>
      </c>
      <c r="E1100" s="129" t="inlineStr">
        <is>
          <t>TYRE BUILDING-P2</t>
        </is>
      </c>
      <c r="F1100" s="130" t="n">
        <v>45692</v>
      </c>
      <c r="G1100" s="131">
        <f>NOW()-F1100</f>
        <v/>
      </c>
      <c r="H1100" s="104" t="inlineStr">
        <is>
          <t>L</t>
        </is>
      </c>
      <c r="I1100" s="104" t="inlineStr">
        <is>
          <t>I</t>
        </is>
      </c>
      <c r="J1100" s="104" t="n">
        <v>4</v>
      </c>
      <c r="K1100" s="104" t="n">
        <v>3</v>
      </c>
      <c r="L1100" s="104" t="n">
        <v>3</v>
      </c>
      <c r="M1100" s="104" t="n">
        <v>3</v>
      </c>
      <c r="N1100" s="104" t="n"/>
      <c r="O1100" s="104">
        <f>SUM(J1100:N1100)</f>
        <v/>
      </c>
      <c r="P1100" s="12">
        <f>O1100/IF(H1100="L",20,IF(H1100="U",30,IF(H1100="O",40,IF(H1100="I",20,""))))</f>
        <v/>
      </c>
      <c r="Q1100" s="132">
        <f>IF(AND(H1100="L", P1100&gt;=50%), "Pass",
IF(AND(H1100="U", P1100&gt;=60%), "Pass",
IF(AND(H1100="O", P1100&gt;=75%), "Pass", "Fail")))</f>
        <v/>
      </c>
      <c r="R1100" s="104" t="n"/>
      <c r="S1100" s="104" t="n">
        <v>7</v>
      </c>
      <c r="T1100" s="104" t="n">
        <v>5</v>
      </c>
      <c r="U1100" s="104">
        <f>SUM(S1100:T1100)</f>
        <v/>
      </c>
      <c r="V1100" s="12">
        <f>U1100/IF(H1100="L",35,IF(H1100="U",35,IF(H1100="O",35,IF(H1100="I",35,""))))</f>
        <v/>
      </c>
      <c r="W1100" s="132">
        <f>IF(AND(H1100="L", V1100&gt;=50%), "Pass",
IF(AND(H1100="U", V1100&gt;=60%), "Pass",
IF(AND(H1100="O", V1100&gt;=75%), "Pass", "Fail")))</f>
        <v/>
      </c>
      <c r="X1100" s="132">
        <f>IF(AND(Q1100="Pass", W1100="Pass"), "Pass", "Fail")</f>
        <v/>
      </c>
      <c r="Y1100" s="15">
        <f>IF($X1100="Pass",$H1100,
IF(H1100="L","I",
IF(H1100="U","L",
IF(H1100="O","U",
"I"))))</f>
        <v/>
      </c>
    </row>
    <row r="1101">
      <c r="A1101" s="147">
        <f>ROW()-2</f>
        <v/>
      </c>
      <c r="B1101" s="127" t="inlineStr">
        <is>
          <t>SK3614</t>
        </is>
      </c>
      <c r="C1101" s="128" t="inlineStr">
        <is>
          <t>MITTHULAL BHALAVI</t>
        </is>
      </c>
      <c r="D1101" s="127" t="inlineStr">
        <is>
          <t>PRODUCTION</t>
        </is>
      </c>
      <c r="E1101" s="129" t="inlineStr">
        <is>
          <t>TYRE BUILDING-P2</t>
        </is>
      </c>
      <c r="F1101" s="130" t="n">
        <v>45692</v>
      </c>
      <c r="G1101" s="131">
        <f>NOW()-F1101</f>
        <v/>
      </c>
      <c r="H1101" s="104" t="inlineStr">
        <is>
          <t>L</t>
        </is>
      </c>
      <c r="I1101" s="104" t="inlineStr">
        <is>
          <t>I</t>
        </is>
      </c>
      <c r="J1101" s="104" t="n">
        <v>4</v>
      </c>
      <c r="K1101" s="104" t="n">
        <v>4</v>
      </c>
      <c r="L1101" s="104" t="n">
        <v>3</v>
      </c>
      <c r="M1101" s="104" t="n">
        <v>5</v>
      </c>
      <c r="N1101" s="104" t="n"/>
      <c r="O1101" s="104">
        <f>SUM(J1101:N1101)</f>
        <v/>
      </c>
      <c r="P1101" s="12">
        <f>O1101/IF(H1101="L",20,IF(H1101="U",30,IF(H1101="O",40,IF(H1101="I",20,""))))</f>
        <v/>
      </c>
      <c r="Q1101" s="132">
        <f>IF(AND(H1101="L", P1101&gt;=50%), "Pass",
IF(AND(H1101="U", P1101&gt;=60%), "Pass",
IF(AND(H1101="O", P1101&gt;=75%), "Pass", "Fail")))</f>
        <v/>
      </c>
      <c r="R1101" s="104" t="n"/>
      <c r="S1101" s="104" t="n">
        <v>9</v>
      </c>
      <c r="T1101" s="104" t="n">
        <v>7</v>
      </c>
      <c r="U1101" s="104">
        <f>SUM(S1101:T1101)</f>
        <v/>
      </c>
      <c r="V1101" s="12">
        <f>U1101/IF(H1101="L",35,IF(H1101="U",35,IF(H1101="O",35,IF(H1101="I",35,""))))</f>
        <v/>
      </c>
      <c r="W1101" s="132">
        <f>IF(AND(H1101="L", V1101&gt;=50%), "Pass",
IF(AND(H1101="U", V1101&gt;=60%), "Pass",
IF(AND(H1101="O", V1101&gt;=75%), "Pass", "Fail")))</f>
        <v/>
      </c>
      <c r="X1101" s="132">
        <f>IF(AND(Q1101="Pass", W1101="Pass"), "Pass", "Fail")</f>
        <v/>
      </c>
      <c r="Y1101" s="15">
        <f>IF($X1101="Pass",$H1101,
IF(H1101="L","I",
IF(H1101="U","L",
IF(H1101="O","U",
"I"))))</f>
        <v/>
      </c>
    </row>
    <row r="1102">
      <c r="A1102" s="147">
        <f>ROW()-2</f>
        <v/>
      </c>
      <c r="B1102" s="127" t="inlineStr">
        <is>
          <t>SK3617</t>
        </is>
      </c>
      <c r="C1102" s="128" t="inlineStr">
        <is>
          <t>MAHENDRAN CHANDRASEKARAN</t>
        </is>
      </c>
      <c r="D1102" s="127" t="inlineStr">
        <is>
          <t>PRODUCTION</t>
        </is>
      </c>
      <c r="E1102" s="129" t="inlineStr">
        <is>
          <t>SOLID TYRE</t>
        </is>
      </c>
      <c r="F1102" s="130" t="n">
        <v>45692</v>
      </c>
      <c r="G1102" s="131">
        <f>NOW()-F1102</f>
        <v/>
      </c>
      <c r="H1102" s="104" t="inlineStr">
        <is>
          <t>L</t>
        </is>
      </c>
      <c r="I1102" s="104" t="inlineStr">
        <is>
          <t>L</t>
        </is>
      </c>
      <c r="J1102" s="104" t="n">
        <v>3</v>
      </c>
      <c r="K1102" s="104" t="n">
        <v>5</v>
      </c>
      <c r="L1102" s="104" t="n">
        <v>4</v>
      </c>
      <c r="M1102" s="104" t="n">
        <v>1</v>
      </c>
      <c r="N1102" s="104" t="n"/>
      <c r="O1102" s="104">
        <f>SUM(J1102:N1102)</f>
        <v/>
      </c>
      <c r="P1102" s="12">
        <f>O1102/IF(H1102="L",20,IF(H1102="U",30,IF(H1102="O",40,IF(H1102="I",20,""))))</f>
        <v/>
      </c>
      <c r="Q1102" s="132">
        <f>IF(AND(H1102="L", P1102&gt;=50%), "Pass",
IF(AND(H1102="U", P1102&gt;=60%), "Pass",
IF(AND(H1102="O", P1102&gt;=75%), "Pass", "Fail")))</f>
        <v/>
      </c>
      <c r="R1102" s="104" t="n"/>
      <c r="S1102" s="104" t="n">
        <v>15</v>
      </c>
      <c r="T1102" s="104" t="n">
        <v>11</v>
      </c>
      <c r="U1102" s="104">
        <f>SUM(S1102:T1102)</f>
        <v/>
      </c>
      <c r="V1102" s="12">
        <f>U1102/IF(H1102="L",35,IF(H1102="U",35,IF(H1102="O",35,IF(H1102="I",35,""))))</f>
        <v/>
      </c>
      <c r="W1102" s="132">
        <f>IF(AND(H1102="L", V1102&gt;=50%), "Pass",
IF(AND(H1102="U", V1102&gt;=60%), "Pass",
IF(AND(H1102="O", V1102&gt;=75%), "Pass", "Fail")))</f>
        <v/>
      </c>
      <c r="X1102" s="132">
        <f>IF(AND(Q1102="Pass", W1102="Pass"), "Pass", "Fail")</f>
        <v/>
      </c>
      <c r="Y1102" s="15">
        <f>IF($X1102="Pass",$H1102,
IF(H1102="L","I",
IF(H1102="U","L",
IF(H1102="O","U",
"I"))))</f>
        <v/>
      </c>
    </row>
    <row r="1103">
      <c r="A1103" s="147">
        <f>ROW()-2</f>
        <v/>
      </c>
      <c r="B1103" s="127" t="inlineStr">
        <is>
          <t>PK1556</t>
        </is>
      </c>
      <c r="C1103" s="128" t="inlineStr">
        <is>
          <t>ARUN PRASATH M</t>
        </is>
      </c>
      <c r="D1103" s="127" t="inlineStr">
        <is>
          <t>PRODUCTION</t>
        </is>
      </c>
      <c r="E1103" s="129" t="inlineStr">
        <is>
          <t>BIAS MARANGONI&amp;BESTRY</t>
        </is>
      </c>
      <c r="F1103" s="130" t="n">
        <v>45696</v>
      </c>
      <c r="G1103" s="131">
        <f>NOW()-F1103</f>
        <v/>
      </c>
      <c r="H1103" s="104" t="inlineStr">
        <is>
          <t>L</t>
        </is>
      </c>
      <c r="I1103" s="104" t="inlineStr">
        <is>
          <t>L</t>
        </is>
      </c>
      <c r="J1103" s="104" t="n">
        <v>3</v>
      </c>
      <c r="K1103" s="104" t="n">
        <v>4</v>
      </c>
      <c r="L1103" s="104" t="n">
        <v>3</v>
      </c>
      <c r="M1103" s="104" t="n">
        <v>3</v>
      </c>
      <c r="N1103" s="104" t="n"/>
      <c r="O1103" s="104">
        <f>SUM(J1103:N1103)</f>
        <v/>
      </c>
      <c r="P1103" s="12">
        <f>O1103/IF(H1103="L",20,IF(H1103="U",30,IF(H1103="O",40,IF(H1103="I",20,""))))</f>
        <v/>
      </c>
      <c r="Q1103" s="132">
        <f>IF(AND(H1103="L", P1103&gt;=50%), "Pass",
IF(AND(H1103="U", P1103&gt;=60%), "Pass",
IF(AND(H1103="O", P1103&gt;=75%), "Pass", "Fail")))</f>
        <v/>
      </c>
      <c r="R1103" s="104" t="n"/>
      <c r="S1103" s="104" t="n">
        <v>13</v>
      </c>
      <c r="T1103" s="104" t="n">
        <v>11</v>
      </c>
      <c r="U1103" s="104">
        <f>SUM(S1103:T1103)</f>
        <v/>
      </c>
      <c r="V1103" s="12">
        <f>U1103/IF(H1103="L",35,IF(H1103="U",35,IF(H1103="O",35,IF(H1103="I",35,""))))</f>
        <v/>
      </c>
      <c r="W1103" s="132">
        <f>IF(AND(H1103="L", V1103&gt;=50%), "Pass",
IF(AND(H1103="U", V1103&gt;=60%), "Pass",
IF(AND(H1103="O", V1103&gt;=75%), "Pass", "Fail")))</f>
        <v/>
      </c>
      <c r="X1103" s="132">
        <f>IF(AND(Q1103="Pass", W1103="Pass"), "Pass", "Fail")</f>
        <v/>
      </c>
      <c r="Y1103" s="15">
        <f>IF($X1103="Pass",$H1103,
IF(H1103="L","I",
IF(H1103="U","L",
IF(H1103="O","U",
"I"))))</f>
        <v/>
      </c>
    </row>
    <row r="1104">
      <c r="A1104" s="147">
        <f>ROW()-2</f>
        <v/>
      </c>
      <c r="B1104" s="133" t="inlineStr">
        <is>
          <t>SK3627</t>
        </is>
      </c>
      <c r="C1104" s="148" t="inlineStr">
        <is>
          <t>AKASH K</t>
        </is>
      </c>
      <c r="D1104" s="127" t="inlineStr">
        <is>
          <t>PRODUCTION</t>
        </is>
      </c>
      <c r="E1104" s="135" t="inlineStr">
        <is>
          <t>MIXING</t>
        </is>
      </c>
      <c r="F1104" s="136" t="n">
        <v>45702</v>
      </c>
      <c r="G1104" s="131">
        <f>NOW()-F1104</f>
        <v/>
      </c>
      <c r="H1104" s="104" t="inlineStr">
        <is>
          <t>L</t>
        </is>
      </c>
      <c r="I1104" s="104" t="inlineStr">
        <is>
          <t>L</t>
        </is>
      </c>
      <c r="J1104" s="104" t="inlineStr">
        <is>
          <t>NIL</t>
        </is>
      </c>
      <c r="K1104" s="104" t="n"/>
      <c r="L1104" s="104" t="n"/>
      <c r="M1104" s="104" t="n"/>
      <c r="N1104" s="104" t="n"/>
      <c r="O1104" s="104" t="n"/>
      <c r="P1104" s="12">
        <f>O1104/IF(H1104="L",20,IF(H1104="U",30,IF(H1104="O",40,IF(H1104="I",20,""))))</f>
        <v/>
      </c>
      <c r="Q1104" s="132">
        <f>IF(AND(H1104="L", P1104&gt;=50%), "Pass",
IF(AND(H1104="U", P1104&gt;=60%), "Pass",
IF(AND(H1104="O", P1104&gt;=75%), "Pass", "Fail")))</f>
        <v/>
      </c>
      <c r="R1104" s="104" t="n"/>
      <c r="S1104" s="104" t="n">
        <v>13</v>
      </c>
      <c r="T1104" s="104" t="n">
        <v>11</v>
      </c>
      <c r="U1104" s="104">
        <f>SUM(S1104:T1104)</f>
        <v/>
      </c>
      <c r="V1104" s="12">
        <f>U1104/IF(H1104="L",35,IF(H1104="U",35,IF(H1104="O",35,IF(H1104="I",35,""))))</f>
        <v/>
      </c>
      <c r="W1104" s="132">
        <f>IF(AND(H1104="L", V1104&gt;=50%), "Pass",
IF(AND(H1104="U", V1104&gt;=60%), "Pass",
IF(AND(H1104="O", V1104&gt;=75%), "Pass", "Fail")))</f>
        <v/>
      </c>
      <c r="X1104" s="132">
        <f>IF(AND(Q1104="Pass", W1104="Pass"), "Pass", "Fail")</f>
        <v/>
      </c>
      <c r="Y1104" s="15">
        <f>IF($X1104="Pass",$H1104,
IF(H1104="L","I",
IF(H1104="U","L",
IF(H1104="O","U",
"I"))))</f>
        <v/>
      </c>
    </row>
    <row r="1105">
      <c r="A1105" s="147">
        <f>ROW()-2</f>
        <v/>
      </c>
      <c r="B1105" s="127" t="inlineStr">
        <is>
          <t>SK3628</t>
        </is>
      </c>
      <c r="C1105" s="128" t="inlineStr">
        <is>
          <t>GOVINDAN M</t>
        </is>
      </c>
      <c r="D1105" s="127" t="inlineStr">
        <is>
          <t>PRODUCTION</t>
        </is>
      </c>
      <c r="E1105" s="129" t="inlineStr">
        <is>
          <t>SOLID TYRE</t>
        </is>
      </c>
      <c r="F1105" s="130" t="n">
        <v>45702</v>
      </c>
      <c r="G1105" s="131">
        <f>NOW()-F1105</f>
        <v/>
      </c>
      <c r="H1105" s="104" t="inlineStr">
        <is>
          <t>L</t>
        </is>
      </c>
      <c r="I1105" s="104" t="inlineStr">
        <is>
          <t>L</t>
        </is>
      </c>
      <c r="J1105" s="104" t="n">
        <v>2</v>
      </c>
      <c r="K1105" s="104" t="n">
        <v>3</v>
      </c>
      <c r="L1105" s="104" t="n">
        <v>4</v>
      </c>
      <c r="M1105" s="104" t="n">
        <v>2</v>
      </c>
      <c r="N1105" s="104" t="n"/>
      <c r="O1105" s="104">
        <f>SUM(J1105:N1105)</f>
        <v/>
      </c>
      <c r="P1105" s="12">
        <f>O1105/IF(H1105="L",20,IF(H1105="U",30,IF(H1105="O",40,IF(H1105="I",20,""))))</f>
        <v/>
      </c>
      <c r="Q1105" s="132">
        <f>IF(AND(H1105="L", P1105&gt;=50%), "Pass",
IF(AND(H1105="U", P1105&gt;=60%), "Pass",
IF(AND(H1105="O", P1105&gt;=75%), "Pass", "Fail")))</f>
        <v/>
      </c>
      <c r="R1105" s="104" t="n"/>
      <c r="S1105" s="104" t="n">
        <v>14</v>
      </c>
      <c r="T1105" s="104" t="n">
        <v>13</v>
      </c>
      <c r="U1105" s="104">
        <f>SUM(S1105:T1105)</f>
        <v/>
      </c>
      <c r="V1105" s="12">
        <f>U1105/IF(H1105="L",35,IF(H1105="U",35,IF(H1105="O",35,IF(H1105="I",35,""))))</f>
        <v/>
      </c>
      <c r="W1105" s="132">
        <f>IF(AND(H1105="L", V1105&gt;=50%), "Pass",
IF(AND(H1105="U", V1105&gt;=60%), "Pass",
IF(AND(H1105="O", V1105&gt;=75%), "Pass", "Fail")))</f>
        <v/>
      </c>
      <c r="X1105" s="132">
        <f>IF(AND(Q1105="Pass", W1105="Pass"), "Pass", "Fail")</f>
        <v/>
      </c>
      <c r="Y1105" s="15">
        <f>IF($X1105="Pass",$H1105,
IF(H1105="L","I",
IF(H1105="U","L",
IF(H1105="O","U",
"I"))))</f>
        <v/>
      </c>
    </row>
    <row r="1106">
      <c r="A1106" s="147">
        <f>ROW()-2</f>
        <v/>
      </c>
      <c r="B1106" s="127" t="inlineStr">
        <is>
          <t>LN0795</t>
        </is>
      </c>
      <c r="C1106" s="128" t="inlineStr">
        <is>
          <t>LENIN S</t>
        </is>
      </c>
      <c r="D1106" s="127" t="inlineStr">
        <is>
          <t>PRODUCTION</t>
        </is>
      </c>
      <c r="E1106" s="129" t="inlineStr">
        <is>
          <t>BEAD WINDING</t>
        </is>
      </c>
      <c r="F1106" s="130" t="n">
        <v>45754</v>
      </c>
      <c r="G1106" s="131">
        <f>NOW()-F1106</f>
        <v/>
      </c>
      <c r="H1106" s="104" t="inlineStr">
        <is>
          <t>L</t>
        </is>
      </c>
      <c r="I1106" s="104" t="inlineStr">
        <is>
          <t>I</t>
        </is>
      </c>
      <c r="J1106" s="104" t="n">
        <v>2</v>
      </c>
      <c r="K1106" s="104" t="n">
        <v>4</v>
      </c>
      <c r="L1106" s="104" t="n">
        <v>4</v>
      </c>
      <c r="M1106" s="104" t="n">
        <v>3</v>
      </c>
      <c r="N1106" s="104" t="n"/>
      <c r="O1106" s="104">
        <f>SUM(J1106:N1106)</f>
        <v/>
      </c>
      <c r="P1106" s="12">
        <f>O1106/IF(H1106="L",20,IF(H1106="U",30,IF(H1106="O",40,IF(H1106="I",20,""))))</f>
        <v/>
      </c>
      <c r="Q1106" s="132">
        <f>IF(AND(H1106="L", P1106&gt;=50%), "Pass",
IF(AND(H1106="U", P1106&gt;=60%), "Pass",
IF(AND(H1106="O", P1106&gt;=75%), "Pass", "Fail")))</f>
        <v/>
      </c>
      <c r="R1106" s="104" t="n"/>
      <c r="S1106" s="104" t="n">
        <v>10</v>
      </c>
      <c r="T1106" s="104" t="n">
        <v>8</v>
      </c>
      <c r="U1106" s="104">
        <f>SUM(S1106:T1106)</f>
        <v/>
      </c>
      <c r="V1106" s="12">
        <f>U1106/IF(H1106="L",35,IF(H1106="U",35,IF(H1106="O",35,IF(H1106="I",35,""))))</f>
        <v/>
      </c>
      <c r="W1106" s="132">
        <f>IF(AND(H1106="L", V1106&gt;=50%), "Pass",
IF(AND(H1106="U", V1106&gt;=60%), "Pass",
IF(AND(H1106="O", V1106&gt;=75%), "Pass", "Fail")))</f>
        <v/>
      </c>
      <c r="X1106" s="132">
        <f>IF(AND(Q1106="Pass", W1106="Pass"), "Pass", "Fail")</f>
        <v/>
      </c>
      <c r="Y1106" s="15">
        <f>IF($X1106="Pass",$H1106,
IF(H1106="L","I",
IF(H1106="U","L",
IF(H1106="O","U",
"I"))))</f>
        <v/>
      </c>
    </row>
    <row r="1107">
      <c r="A1107" s="147">
        <f>ROW()-2</f>
        <v/>
      </c>
      <c r="B1107" s="127" t="inlineStr">
        <is>
          <t>LN0803</t>
        </is>
      </c>
      <c r="C1107" s="128" t="inlineStr">
        <is>
          <t>VENGADESH G</t>
        </is>
      </c>
      <c r="D1107" s="127" t="inlineStr">
        <is>
          <t>PRODUCTION</t>
        </is>
      </c>
      <c r="E1107" s="129" t="inlineStr">
        <is>
          <t>BIAS CUTTING-2</t>
        </is>
      </c>
      <c r="F1107" s="130" t="n">
        <v>45754</v>
      </c>
      <c r="G1107" s="131">
        <f>NOW()-F1107</f>
        <v/>
      </c>
      <c r="H1107" s="104" t="inlineStr">
        <is>
          <t>L</t>
        </is>
      </c>
      <c r="I1107" s="104" t="inlineStr">
        <is>
          <t>I</t>
        </is>
      </c>
      <c r="J1107" s="104" t="n">
        <v>5</v>
      </c>
      <c r="K1107" s="104" t="n">
        <v>2</v>
      </c>
      <c r="L1107" s="104" t="n">
        <v>5</v>
      </c>
      <c r="M1107" s="104" t="n">
        <v>4</v>
      </c>
      <c r="N1107" s="104" t="n"/>
      <c r="O1107" s="104">
        <f>SUM(J1107:N1107)</f>
        <v/>
      </c>
      <c r="P1107" s="12">
        <f>O1107/IF(H1107="L",20,IF(H1107="U",30,IF(H1107="O",40,IF(H1107="I",20,""))))</f>
        <v/>
      </c>
      <c r="Q1107" s="132">
        <f>IF(AND(H1107="L", P1107&gt;=50%), "Pass",
IF(AND(H1107="U", P1107&gt;=60%), "Pass",
IF(AND(H1107="O", P1107&gt;=75%), "Pass", "Fail")))</f>
        <v/>
      </c>
      <c r="R1107" s="104" t="n"/>
      <c r="S1107" s="104" t="n">
        <v>15</v>
      </c>
      <c r="T1107" s="104" t="n">
        <v>12</v>
      </c>
      <c r="U1107" s="104">
        <f>SUM(S1107:T1107)</f>
        <v/>
      </c>
      <c r="V1107" s="12">
        <f>U1107/IF(H1107="L",35,IF(H1107="U",35,IF(H1107="O",35,IF(H1107="I",35,""))))</f>
        <v/>
      </c>
      <c r="W1107" s="132">
        <f>IF(AND(H1107="L", V1107&gt;=50%), "Pass",
IF(AND(H1107="U", V1107&gt;=60%), "Pass",
IF(AND(H1107="O", V1107&gt;=75%), "Pass", "Fail")))</f>
        <v/>
      </c>
      <c r="X1107" s="132">
        <f>IF(AND(Q1107="Pass", W1107="Pass"), "Pass", "Fail")</f>
        <v/>
      </c>
      <c r="Y1107" s="15">
        <f>IF($X1107="Pass",$H1107,
IF(H1107="L","I",
IF(H1107="U","L",
IF(H1107="O","U",
"I"))))</f>
        <v/>
      </c>
    </row>
    <row r="1108">
      <c r="A1108" s="147">
        <f>ROW()-2</f>
        <v/>
      </c>
      <c r="B1108" s="127" t="inlineStr">
        <is>
          <t>LN0811</t>
        </is>
      </c>
      <c r="C1108" s="128" t="inlineStr">
        <is>
          <t>SELVAMANICKAM A</t>
        </is>
      </c>
      <c r="D1108" s="127" t="inlineStr">
        <is>
          <t>PRODUCTION</t>
        </is>
      </c>
      <c r="E1108" s="129" t="inlineStr">
        <is>
          <t>STEELASTIC</t>
        </is>
      </c>
      <c r="F1108" s="130" t="n">
        <v>45755</v>
      </c>
      <c r="G1108" s="131">
        <f>NOW()-F1108</f>
        <v/>
      </c>
      <c r="H1108" s="104" t="inlineStr">
        <is>
          <t>L</t>
        </is>
      </c>
      <c r="I1108" s="104" t="inlineStr">
        <is>
          <t>I</t>
        </is>
      </c>
      <c r="J1108" s="104" t="n">
        <v>5</v>
      </c>
      <c r="K1108" s="104" t="n">
        <v>3</v>
      </c>
      <c r="L1108" s="104" t="n">
        <v>3</v>
      </c>
      <c r="M1108" s="104" t="n">
        <v>5</v>
      </c>
      <c r="N1108" s="104" t="n"/>
      <c r="O1108" s="104">
        <f>SUM(J1108:N1108)</f>
        <v/>
      </c>
      <c r="P1108" s="12">
        <f>O1108/IF(H1108="L",20,IF(H1108="U",30,IF(H1108="O",40,IF(H1108="I",20,""))))</f>
        <v/>
      </c>
      <c r="Q1108" s="132">
        <f>IF(AND(H1108="L", P1108&gt;=50%), "Pass",
IF(AND(H1108="U", P1108&gt;=60%), "Pass",
IF(AND(H1108="O", P1108&gt;=75%), "Pass", "Fail")))</f>
        <v/>
      </c>
      <c r="R1108" s="104" t="n"/>
      <c r="S1108" s="104" t="n">
        <v>10</v>
      </c>
      <c r="T1108" s="104" t="n">
        <v>9</v>
      </c>
      <c r="U1108" s="104">
        <f>SUM(S1108:T1108)</f>
        <v/>
      </c>
      <c r="V1108" s="12">
        <f>U1108/IF(H1108="L",35,IF(H1108="U",35,IF(H1108="O",35,IF(H1108="I",35,""))))</f>
        <v/>
      </c>
      <c r="W1108" s="132">
        <f>IF(AND(H1108="L", V1108&gt;=50%), "Pass",
IF(AND(H1108="U", V1108&gt;=60%), "Pass",
IF(AND(H1108="O", V1108&gt;=75%), "Pass", "Fail")))</f>
        <v/>
      </c>
      <c r="X1108" s="132">
        <f>IF(AND(Q1108="Pass", W1108="Pass"), "Pass", "Fail")</f>
        <v/>
      </c>
      <c r="Y1108" s="15">
        <f>IF($X1108="Pass",$H1108,
IF(H1108="L","I",
IF(H1108="U","L",
IF(H1108="O","U",
"I"))))</f>
        <v/>
      </c>
    </row>
    <row r="1109">
      <c r="A1109" s="147">
        <f>ROW()-2</f>
        <v/>
      </c>
      <c r="B1109" s="127" t="inlineStr">
        <is>
          <t>LN0842</t>
        </is>
      </c>
      <c r="C1109" s="128" t="inlineStr">
        <is>
          <t>SEETHARAMAN</t>
        </is>
      </c>
      <c r="D1109" s="127" t="inlineStr">
        <is>
          <t>PRODUCTION</t>
        </is>
      </c>
      <c r="E1109" s="129" t="inlineStr">
        <is>
          <t>TYRE CURING</t>
        </is>
      </c>
      <c r="F1109" s="130" t="n">
        <v>45770</v>
      </c>
      <c r="G1109" s="131">
        <f>NOW()-F1109</f>
        <v/>
      </c>
      <c r="H1109" s="104" t="inlineStr">
        <is>
          <t>L</t>
        </is>
      </c>
      <c r="I1109" s="104" t="inlineStr">
        <is>
          <t>I</t>
        </is>
      </c>
      <c r="J1109" s="104" t="n">
        <v>4</v>
      </c>
      <c r="K1109" s="104" t="n">
        <v>2</v>
      </c>
      <c r="L1109" s="104" t="n">
        <v>1</v>
      </c>
      <c r="M1109" s="104" t="n">
        <v>2</v>
      </c>
      <c r="N1109" s="104" t="n">
        <v>2</v>
      </c>
      <c r="O1109" s="104">
        <f>SUM(J1109:N1109)</f>
        <v/>
      </c>
      <c r="P1109" s="12">
        <f>O1109/IF(H1109="L",20,IF(H1109="U",30,IF(H1109="O",40,IF(H1109="I",20,""))))</f>
        <v/>
      </c>
      <c r="Q1109" s="132">
        <f>IF(AND(H1109="L", P1109&gt;=50%), "Pass",
IF(AND(H1109="U", P1109&gt;=60%), "Pass",
IF(AND(H1109="O", P1109&gt;=75%), "Pass", "Fail")))</f>
        <v/>
      </c>
      <c r="R1109" s="104" t="n"/>
      <c r="S1109" s="104" t="n">
        <v>13</v>
      </c>
      <c r="T1109" s="104" t="n">
        <v>10</v>
      </c>
      <c r="U1109" s="104">
        <f>SUM(S1109:T1109)</f>
        <v/>
      </c>
      <c r="V1109" s="12">
        <f>U1109/IF(H1109="L",35,IF(H1109="U",35,IF(H1109="O",35,IF(H1109="I",35,""))))</f>
        <v/>
      </c>
      <c r="W1109" s="132">
        <f>IF(AND(H1109="L", V1109&gt;=50%), "Pass",
IF(AND(H1109="U", V1109&gt;=60%), "Pass",
IF(AND(H1109="O", V1109&gt;=75%), "Pass", "Fail")))</f>
        <v/>
      </c>
      <c r="X1109" s="132">
        <f>IF(AND(Q1109="Pass", W1109="Pass"), "Pass", "Fail")</f>
        <v/>
      </c>
      <c r="Y1109" s="15">
        <f>IF($X1109="Pass",$H1109,
IF(H1109="L","I",
IF(H1109="U","L",
IF(H1109="O","U",
"I"))))</f>
        <v/>
      </c>
      <c r="Z1109" s="82">
        <f>V1109-75%</f>
        <v/>
      </c>
    </row>
    <row r="1110">
      <c r="A1110" s="147">
        <f>ROW()-2</f>
        <v/>
      </c>
      <c r="B1110" s="133" t="inlineStr">
        <is>
          <t>LN0849</t>
        </is>
      </c>
      <c r="C1110" s="148" t="inlineStr">
        <is>
          <t>PRIYA G</t>
        </is>
      </c>
      <c r="D1110" s="127" t="inlineStr">
        <is>
          <t>PRODUCTION</t>
        </is>
      </c>
      <c r="E1110" s="135" t="inlineStr">
        <is>
          <t>SOLID TYRE</t>
        </is>
      </c>
      <c r="F1110" s="136" t="n">
        <v>45770</v>
      </c>
      <c r="G1110" s="131">
        <f>NOW()-F1110</f>
        <v/>
      </c>
      <c r="H1110" s="104" t="inlineStr">
        <is>
          <t>L</t>
        </is>
      </c>
      <c r="I1110" s="104" t="inlineStr">
        <is>
          <t>I</t>
        </is>
      </c>
      <c r="J1110" s="104" t="n">
        <v>4</v>
      </c>
      <c r="K1110" s="104" t="n">
        <v>5</v>
      </c>
      <c r="L1110" s="104" t="n">
        <v>5</v>
      </c>
      <c r="M1110" s="104" t="n">
        <v>3</v>
      </c>
      <c r="N1110" s="104" t="n"/>
      <c r="O1110" s="104">
        <f>SUM(J1110:N1110)</f>
        <v/>
      </c>
      <c r="P1110" s="12">
        <f>O1110/IF(H1110="L",20,IF(H1110="U",30,IF(H1110="O",40,IF(H1110="I",20,""))))</f>
        <v/>
      </c>
      <c r="Q1110" s="132">
        <f>IF(AND(H1110="L", P1110&gt;=50%), "Pass",
IF(AND(H1110="U", P1110&gt;=60%), "Pass",
IF(AND(H1110="O", P1110&gt;=75%), "Pass", "Fail")))</f>
        <v/>
      </c>
      <c r="R1110" s="104" t="n"/>
      <c r="S1110" s="104" t="n">
        <v>16</v>
      </c>
      <c r="T1110" s="104" t="n">
        <v>12</v>
      </c>
      <c r="U1110" s="104">
        <f>SUM(S1110:T1110)</f>
        <v/>
      </c>
      <c r="V1110" s="12">
        <f>U1110/IF(H1110="L",35,IF(H1110="U",35,IF(H1110="O",35,IF(H1110="I",35,""))))</f>
        <v/>
      </c>
      <c r="W1110" s="132">
        <f>IF(AND(H1110="L", V1110&gt;=50%), "Pass",
IF(AND(H1110="U", V1110&gt;=60%), "Pass",
IF(AND(H1110="O", V1110&gt;=75%), "Pass", "Fail")))</f>
        <v/>
      </c>
      <c r="X1110" s="132">
        <f>IF(AND(Q1110="Pass", W1110="Pass"), "Pass", "Fail")</f>
        <v/>
      </c>
      <c r="Y1110" s="15">
        <f>IF($X1110="Pass",$H1110,
IF(H1110="L","I",
IF(H1110="U","L",
IF(H1110="O","U",
"I"))))</f>
        <v/>
      </c>
    </row>
    <row r="1111">
      <c r="A1111" s="147">
        <f>ROW()-2</f>
        <v/>
      </c>
      <c r="B1111" s="127" t="inlineStr">
        <is>
          <t>LN0881</t>
        </is>
      </c>
      <c r="C1111" s="128" t="inlineStr">
        <is>
          <t>AZHAGUMANIKANDAN</t>
        </is>
      </c>
      <c r="D1111" s="127" t="inlineStr">
        <is>
          <t>PRODUCTION</t>
        </is>
      </c>
      <c r="E1111" s="129" t="inlineStr">
        <is>
          <t>SOLID TYRE</t>
        </is>
      </c>
      <c r="F1111" s="130" t="n">
        <v>45783</v>
      </c>
      <c r="G1111" s="131">
        <f>NOW()-F1111</f>
        <v/>
      </c>
      <c r="H1111" s="104" t="inlineStr">
        <is>
          <t>L</t>
        </is>
      </c>
      <c r="I1111" s="104" t="inlineStr">
        <is>
          <t>I</t>
        </is>
      </c>
      <c r="J1111" s="104" t="n">
        <v>5</v>
      </c>
      <c r="K1111" s="104" t="n">
        <v>5</v>
      </c>
      <c r="L1111" s="104" t="n">
        <v>3</v>
      </c>
      <c r="M1111" s="104" t="n">
        <v>3</v>
      </c>
      <c r="N1111" s="104" t="n"/>
      <c r="O1111" s="104">
        <f>SUM(J1111:N1111)</f>
        <v/>
      </c>
      <c r="P1111" s="12">
        <f>O1111/IF(H1111="L",20,IF(H1111="U",30,IF(H1111="O",40,IF(H1111="I",20,""))))</f>
        <v/>
      </c>
      <c r="Q1111" s="132">
        <f>IF(AND(H1111="L", P1111&gt;=50%), "Pass",
IF(AND(H1111="U", P1111&gt;=60%), "Pass",
IF(AND(H1111="O", P1111&gt;=75%), "Pass", "Fail")))</f>
        <v/>
      </c>
      <c r="R1111" s="104" t="n"/>
      <c r="S1111" s="104" t="n">
        <v>18</v>
      </c>
      <c r="T1111" s="104" t="n">
        <v>13</v>
      </c>
      <c r="U1111" s="104">
        <f>SUM(S1111:T1111)</f>
        <v/>
      </c>
      <c r="V1111" s="12">
        <f>U1111/IF(H1111="L",35,IF(H1111="U",35,IF(H1111="O",35,IF(H1111="I",35,""))))</f>
        <v/>
      </c>
      <c r="W1111" s="132">
        <f>IF(AND(H1111="L", V1111&gt;=50%), "Pass",
IF(AND(H1111="U", V1111&gt;=60%), "Pass",
IF(AND(H1111="O", V1111&gt;=75%), "Pass", "Fail")))</f>
        <v/>
      </c>
      <c r="X1111" s="132">
        <f>IF(AND(Q1111="Pass", W1111="Pass"), "Pass", "Fail")</f>
        <v/>
      </c>
      <c r="Y1111" s="15">
        <f>IF($X1111="Pass",$H1111,
IF(H1111="L","I",
IF(H1111="U","L",
IF(H1111="O","U",
"I"))))</f>
        <v/>
      </c>
    </row>
    <row r="1112">
      <c r="A1112" s="147">
        <f>ROW()-2</f>
        <v/>
      </c>
      <c r="B1112" s="127" t="inlineStr">
        <is>
          <t>AK1185</t>
        </is>
      </c>
      <c r="C1112" s="128" t="inlineStr">
        <is>
          <t>NITHISHKUMAR A</t>
        </is>
      </c>
      <c r="D1112" s="127" t="inlineStr">
        <is>
          <t>PRODUCTION</t>
        </is>
      </c>
      <c r="E1112" s="129" t="inlineStr">
        <is>
          <t>SOLID TYRE</t>
        </is>
      </c>
      <c r="F1112" s="130" t="n">
        <v>45789</v>
      </c>
      <c r="G1112" s="131">
        <f>NOW()-F1112</f>
        <v/>
      </c>
      <c r="H1112" s="104" t="inlineStr">
        <is>
          <t>L</t>
        </is>
      </c>
      <c r="I1112" s="104" t="inlineStr">
        <is>
          <t>I</t>
        </is>
      </c>
      <c r="J1112" s="104" t="n">
        <v>5</v>
      </c>
      <c r="K1112" s="104" t="n">
        <v>5</v>
      </c>
      <c r="L1112" s="104" t="n">
        <v>5</v>
      </c>
      <c r="M1112" s="104" t="n">
        <v>4</v>
      </c>
      <c r="N1112" s="104" t="n"/>
      <c r="O1112" s="104">
        <f>SUM(J1112:N1112)</f>
        <v/>
      </c>
      <c r="P1112" s="12">
        <f>O1112/IF(H1112="L",20,IF(H1112="U",30,IF(H1112="O",40,IF(H1112="I",20,""))))</f>
        <v/>
      </c>
      <c r="Q1112" s="132">
        <f>IF(AND(H1112="L", P1112&gt;=50%), "Pass",
IF(AND(H1112="U", P1112&gt;=60%), "Pass",
IF(AND(H1112="O", P1112&gt;=75%), "Pass", "Fail")))</f>
        <v/>
      </c>
      <c r="R1112" s="104" t="n"/>
      <c r="S1112" s="104" t="n">
        <v>18</v>
      </c>
      <c r="T1112" s="104" t="n">
        <v>15</v>
      </c>
      <c r="U1112" s="104">
        <f>SUM(S1112:T1112)</f>
        <v/>
      </c>
      <c r="V1112" s="12">
        <f>U1112/IF(H1112="L",35,IF(H1112="U",35,IF(H1112="O",35,IF(H1112="I",35,""))))</f>
        <v/>
      </c>
      <c r="W1112" s="132">
        <f>IF(AND(H1112="L", V1112&gt;=50%), "Pass",
IF(AND(H1112="U", V1112&gt;=60%), "Pass",
IF(AND(H1112="O", V1112&gt;=75%), "Pass", "Fail")))</f>
        <v/>
      </c>
      <c r="X1112" s="132">
        <f>IF(AND(Q1112="Pass", W1112="Pass"), "Pass", "Fail")</f>
        <v/>
      </c>
      <c r="Y1112" s="15">
        <f>IF($X1112="Pass",$H1112,
IF(H1112="L","I",
IF(H1112="U","L",
IF(H1112="O","U",
"I"))))</f>
        <v/>
      </c>
    </row>
    <row r="1113">
      <c r="A1113" s="147">
        <f>ROW()-2</f>
        <v/>
      </c>
      <c r="B1113" s="127" t="inlineStr">
        <is>
          <t>KK1490</t>
        </is>
      </c>
      <c r="C1113" s="128" t="inlineStr">
        <is>
          <t>SUDALAIMANI</t>
        </is>
      </c>
      <c r="D1113" s="127" t="inlineStr">
        <is>
          <t>PRODUCTION</t>
        </is>
      </c>
      <c r="E1113" s="129" t="inlineStr">
        <is>
          <t>BAND BUILDING-P2</t>
        </is>
      </c>
      <c r="F1113" s="130" t="n">
        <v>45789</v>
      </c>
      <c r="G1113" s="131">
        <f>NOW()-F1113</f>
        <v/>
      </c>
      <c r="H1113" s="104" t="inlineStr">
        <is>
          <t>L</t>
        </is>
      </c>
      <c r="I1113" s="104" t="inlineStr">
        <is>
          <t>I</t>
        </is>
      </c>
      <c r="J1113" s="104" t="n">
        <v>5</v>
      </c>
      <c r="K1113" s="104" t="n">
        <v>2</v>
      </c>
      <c r="L1113" s="104" t="n">
        <v>5</v>
      </c>
      <c r="M1113" s="104" t="n">
        <v>1</v>
      </c>
      <c r="N1113" s="104" t="n"/>
      <c r="O1113" s="104">
        <f>SUM(J1113:N1113)</f>
        <v/>
      </c>
      <c r="P1113" s="12">
        <f>O1113/IF(H1113="L",20,IF(H1113="U",30,IF(H1113="O",40,IF(H1113="I",20,""))))</f>
        <v/>
      </c>
      <c r="Q1113" s="132">
        <f>IF(AND(H1113="L", P1113&gt;=50%), "Pass",
IF(AND(H1113="U", P1113&gt;=60%), "Pass",
IF(AND(H1113="O", P1113&gt;=75%), "Pass", "Fail")))</f>
        <v/>
      </c>
      <c r="R1113" s="104" t="n"/>
      <c r="S1113" s="104" t="n">
        <v>12</v>
      </c>
      <c r="T1113" s="104" t="n">
        <v>6</v>
      </c>
      <c r="U1113" s="104">
        <f>SUM(S1113:T1113)</f>
        <v/>
      </c>
      <c r="V1113" s="12">
        <f>U1113/IF(H1113="L",35,IF(H1113="U",35,IF(H1113="O",35,IF(H1113="I",35,""))))</f>
        <v/>
      </c>
      <c r="W1113" s="132">
        <f>IF(AND(H1113="L", V1113&gt;=50%), "Pass",
IF(AND(H1113="U", V1113&gt;=60%), "Pass",
IF(AND(H1113="O", V1113&gt;=75%), "Pass", "Fail")))</f>
        <v/>
      </c>
      <c r="X1113" s="132">
        <f>IF(AND(Q1113="Pass", W1113="Pass"), "Pass", "Fail")</f>
        <v/>
      </c>
      <c r="Y1113" s="15">
        <f>IF($X1113="Pass",$H1113,
IF(H1113="L","I",
IF(H1113="U","L",
IF(H1113="O","U",
"I"))))</f>
        <v/>
      </c>
    </row>
    <row r="1114">
      <c r="A1114" s="147">
        <f>ROW()-2</f>
        <v/>
      </c>
      <c r="B1114" s="127" t="inlineStr">
        <is>
          <t>PK1582</t>
        </is>
      </c>
      <c r="C1114" s="128" t="inlineStr">
        <is>
          <t>SUNIL ORAON</t>
        </is>
      </c>
      <c r="D1114" s="127" t="inlineStr">
        <is>
          <t>PRODUCTION</t>
        </is>
      </c>
      <c r="E1114" s="129" t="inlineStr">
        <is>
          <t>TYRE BUILDING-P3</t>
        </is>
      </c>
      <c r="F1114" s="130" t="n">
        <v>45789</v>
      </c>
      <c r="G1114" s="131">
        <f>NOW()-F1114</f>
        <v/>
      </c>
      <c r="H1114" s="104" t="inlineStr">
        <is>
          <t>L</t>
        </is>
      </c>
      <c r="I1114" s="104" t="inlineStr">
        <is>
          <t>I</t>
        </is>
      </c>
      <c r="J1114" s="104" t="n">
        <v>5</v>
      </c>
      <c r="K1114" s="104" t="n">
        <v>4</v>
      </c>
      <c r="L1114" s="104" t="n">
        <v>4</v>
      </c>
      <c r="M1114" s="104" t="n">
        <v>5</v>
      </c>
      <c r="N1114" s="104" t="n"/>
      <c r="O1114" s="104">
        <f>SUM(J1114:N1114)</f>
        <v/>
      </c>
      <c r="P1114" s="12">
        <f>O1114/IF(H1114="L",20,IF(H1114="U",30,IF(H1114="O",40,IF(H1114="I",20,""))))</f>
        <v/>
      </c>
      <c r="Q1114" s="132">
        <f>IF(AND(H1114="L", P1114&gt;=50%), "Pass",
IF(AND(H1114="U", P1114&gt;=60%), "Pass",
IF(AND(H1114="O", P1114&gt;=75%), "Pass", "Fail")))</f>
        <v/>
      </c>
      <c r="R1114" s="104" t="n"/>
      <c r="S1114" s="104" t="n">
        <v>17</v>
      </c>
      <c r="T1114" s="104" t="n">
        <v>14</v>
      </c>
      <c r="U1114" s="104">
        <f>SUM(S1114:T1114)</f>
        <v/>
      </c>
      <c r="V1114" s="12">
        <f>U1114/IF(H1114="L",35,IF(H1114="U",35,IF(H1114="O",35,IF(H1114="I",35,""))))</f>
        <v/>
      </c>
      <c r="W1114" s="132">
        <f>IF(AND(H1114="L", V1114&gt;=50%), "Pass",
IF(AND(H1114="U", V1114&gt;=60%), "Pass",
IF(AND(H1114="O", V1114&gt;=75%), "Pass", "Fail")))</f>
        <v/>
      </c>
      <c r="X1114" s="132">
        <f>IF(AND(Q1114="Pass", W1114="Pass"), "Pass", "Fail")</f>
        <v/>
      </c>
      <c r="Y1114" s="15">
        <f>IF($X1114="Pass",$H1114,
IF(H1114="L","I",
IF(H1114="U","L",
IF(H1114="O","U",
"I"))))</f>
        <v/>
      </c>
      <c r="Z1114" s="82" t="n"/>
    </row>
    <row r="1115">
      <c r="A1115" s="147">
        <f>ROW()-2</f>
        <v/>
      </c>
      <c r="B1115" s="127" t="inlineStr">
        <is>
          <t>SK3637</t>
        </is>
      </c>
      <c r="C1115" s="128" t="inlineStr">
        <is>
          <t>ERAVIN</t>
        </is>
      </c>
      <c r="D1115" s="127" t="inlineStr">
        <is>
          <t>PRODUCTION</t>
        </is>
      </c>
      <c r="E1115" s="129" t="inlineStr">
        <is>
          <t>TYRE BUILDING-P3</t>
        </is>
      </c>
      <c r="F1115" s="130" t="n">
        <v>45789</v>
      </c>
      <c r="G1115" s="131">
        <f>NOW()-F1115</f>
        <v/>
      </c>
      <c r="H1115" s="104" t="inlineStr">
        <is>
          <t>L</t>
        </is>
      </c>
      <c r="I1115" s="104" t="inlineStr">
        <is>
          <t>I</t>
        </is>
      </c>
      <c r="J1115" s="104" t="n">
        <v>5</v>
      </c>
      <c r="K1115" s="104" t="n">
        <v>5</v>
      </c>
      <c r="L1115" s="104" t="n">
        <v>3</v>
      </c>
      <c r="M1115" s="104" t="n">
        <v>1</v>
      </c>
      <c r="N1115" s="104" t="n"/>
      <c r="O1115" s="104">
        <f>SUM(J1115:N1115)</f>
        <v/>
      </c>
      <c r="P1115" s="12">
        <f>O1115/IF(H1115="L",20,IF(H1115="U",30,IF(H1115="O",40,IF(H1115="I",20,""))))</f>
        <v/>
      </c>
      <c r="Q1115" s="132">
        <f>IF(AND(H1115="L", P1115&gt;=50%), "Pass",
IF(AND(H1115="U", P1115&gt;=60%), "Pass",
IF(AND(H1115="O", P1115&gt;=75%), "Pass", "Fail")))</f>
        <v/>
      </c>
      <c r="R1115" s="104" t="n"/>
      <c r="S1115" s="104" t="n">
        <v>19</v>
      </c>
      <c r="T1115" s="104" t="n">
        <v>14</v>
      </c>
      <c r="U1115" s="104">
        <f>SUM(S1115:T1115)</f>
        <v/>
      </c>
      <c r="V1115" s="12">
        <f>U1115/IF(H1115="L",35,IF(H1115="U",35,IF(H1115="O",35,IF(H1115="I",35,""))))</f>
        <v/>
      </c>
      <c r="W1115" s="132">
        <f>IF(AND(H1115="L", V1115&gt;=50%), "Pass",
IF(AND(H1115="U", V1115&gt;=60%), "Pass",
IF(AND(H1115="O", V1115&gt;=75%), "Pass", "Fail")))</f>
        <v/>
      </c>
      <c r="X1115" s="132">
        <f>IF(AND(Q1115="Pass", W1115="Pass"), "Pass", "Fail")</f>
        <v/>
      </c>
      <c r="Y1115" s="15">
        <f>IF($X1115="Pass",$H1115,
IF(H1115="L","I",
IF(H1115="U","L",
IF(H1115="O","U",
"I"))))</f>
        <v/>
      </c>
    </row>
    <row r="1116">
      <c r="A1116" s="147">
        <f>ROW()-2</f>
        <v/>
      </c>
      <c r="B1116" s="127" t="inlineStr">
        <is>
          <t>SK3638</t>
        </is>
      </c>
      <c r="C1116" s="128" t="inlineStr">
        <is>
          <t>MAHESH</t>
        </is>
      </c>
      <c r="D1116" s="127" t="inlineStr">
        <is>
          <t>PRODUCTION</t>
        </is>
      </c>
      <c r="E1116" s="129" t="inlineStr">
        <is>
          <t>BAND BUILDING-P1</t>
        </is>
      </c>
      <c r="F1116" s="130" t="n">
        <v>45789</v>
      </c>
      <c r="G1116" s="131">
        <f>NOW()-F1116</f>
        <v/>
      </c>
      <c r="H1116" s="104" t="inlineStr">
        <is>
          <t>L</t>
        </is>
      </c>
      <c r="I1116" s="104" t="inlineStr">
        <is>
          <t>I</t>
        </is>
      </c>
      <c r="J1116" s="104" t="n">
        <v>5</v>
      </c>
      <c r="K1116" s="104" t="n">
        <v>1</v>
      </c>
      <c r="L1116" s="104" t="n">
        <v>3</v>
      </c>
      <c r="M1116" s="104" t="n">
        <v>2</v>
      </c>
      <c r="N1116" s="104" t="n"/>
      <c r="O1116" s="104">
        <f>SUM(J1116:N1116)</f>
        <v/>
      </c>
      <c r="P1116" s="12">
        <f>O1116/IF(H1116="L",20,IF(H1116="U",30,IF(H1116="O",40,IF(H1116="I",20,""))))</f>
        <v/>
      </c>
      <c r="Q1116" s="132">
        <f>IF(AND(H1116="L", P1116&gt;=50%), "Pass",
IF(AND(H1116="U", P1116&gt;=60%), "Pass",
IF(AND(H1116="O", P1116&gt;=75%), "Pass", "Fail")))</f>
        <v/>
      </c>
      <c r="R1116" s="104" t="n"/>
      <c r="S1116" s="104" t="n">
        <v>16</v>
      </c>
      <c r="T1116" s="104" t="n">
        <v>11</v>
      </c>
      <c r="U1116" s="104">
        <f>SUM(S1116:T1116)</f>
        <v/>
      </c>
      <c r="V1116" s="12">
        <f>U1116/IF(H1116="L",35,IF(H1116="U",35,IF(H1116="O",35,IF(H1116="I",35,""))))</f>
        <v/>
      </c>
      <c r="W1116" s="132">
        <f>IF(AND(H1116="L", V1116&gt;=50%), "Pass",
IF(AND(H1116="U", V1116&gt;=60%), "Pass",
IF(AND(H1116="O", V1116&gt;=75%), "Pass", "Fail")))</f>
        <v/>
      </c>
      <c r="X1116" s="132">
        <f>IF(AND(Q1116="Pass", W1116="Pass"), "Pass", "Fail")</f>
        <v/>
      </c>
      <c r="Y1116" s="15">
        <f>IF($X1116="Pass",$H1116,
IF(H1116="L","I",
IF(H1116="U","L",
IF(H1116="O","U",
"I"))))</f>
        <v/>
      </c>
      <c r="Z1116" s="82">
        <f>V1116-75%</f>
        <v/>
      </c>
    </row>
    <row r="1117">
      <c r="A1117" s="147">
        <f>ROW()-2</f>
        <v/>
      </c>
      <c r="B1117" s="127" t="inlineStr">
        <is>
          <t>SK3639</t>
        </is>
      </c>
      <c r="C1117" s="128" t="inlineStr">
        <is>
          <t>BALAMURUGAN M</t>
        </is>
      </c>
      <c r="D1117" s="127" t="inlineStr">
        <is>
          <t>PRODUCTION</t>
        </is>
      </c>
      <c r="E1117" s="129" t="inlineStr">
        <is>
          <t>TYRE BUILDING-P1</t>
        </is>
      </c>
      <c r="F1117" s="130" t="n">
        <v>45789</v>
      </c>
      <c r="G1117" s="131">
        <f>NOW()-F1117</f>
        <v/>
      </c>
      <c r="H1117" s="104" t="inlineStr">
        <is>
          <t>L</t>
        </is>
      </c>
      <c r="I1117" s="104" t="inlineStr">
        <is>
          <t>I</t>
        </is>
      </c>
      <c r="J1117" s="104" t="n">
        <v>1</v>
      </c>
      <c r="K1117" s="104" t="n">
        <v>2</v>
      </c>
      <c r="L1117" s="104" t="n">
        <v>5</v>
      </c>
      <c r="M1117" s="104" t="n">
        <v>2</v>
      </c>
      <c r="N1117" s="104" t="n"/>
      <c r="O1117" s="104">
        <f>SUM(J1117:N1117)</f>
        <v/>
      </c>
      <c r="P1117" s="12">
        <f>O1117/IF(H1117="L",20,IF(H1117="U",30,IF(H1117="O",40,IF(H1117="I",20,""))))</f>
        <v/>
      </c>
      <c r="Q1117" s="132">
        <f>IF(AND(H1117="L", P1117&gt;=50%), "Pass",
IF(AND(H1117="U", P1117&gt;=60%), "Pass",
IF(AND(H1117="O", P1117&gt;=75%), "Pass", "Fail")))</f>
        <v/>
      </c>
      <c r="R1117" s="104" t="n"/>
      <c r="S1117" s="104" t="n">
        <v>14</v>
      </c>
      <c r="T1117" s="104" t="n">
        <v>15</v>
      </c>
      <c r="U1117" s="104">
        <f>SUM(S1117:T1117)</f>
        <v/>
      </c>
      <c r="V1117" s="12">
        <f>U1117/IF(H1117="L",35,IF(H1117="U",35,IF(H1117="O",35,IF(H1117="I",35,""))))</f>
        <v/>
      </c>
      <c r="W1117" s="132">
        <f>IF(AND(H1117="L", V1117&gt;=50%), "Pass",
IF(AND(H1117="U", V1117&gt;=60%), "Pass",
IF(AND(H1117="O", V1117&gt;=75%), "Pass", "Fail")))</f>
        <v/>
      </c>
      <c r="X1117" s="132">
        <f>IF(AND(Q1117="Pass", W1117="Pass"), "Pass", "Fail")</f>
        <v/>
      </c>
      <c r="Y1117" s="15">
        <f>IF($X1117="Pass",$H1117,
IF(H1117="L","I",
IF(H1117="U","L",
IF(H1117="O","U",
"I"))))</f>
        <v/>
      </c>
    </row>
    <row r="1118">
      <c r="A1118" s="147">
        <f>ROW()-2</f>
        <v/>
      </c>
      <c r="B1118" s="127" t="inlineStr">
        <is>
          <t>PK1586</t>
        </is>
      </c>
      <c r="C1118" s="128" t="inlineStr">
        <is>
          <t>SATHISH GUPTA</t>
        </is>
      </c>
      <c r="D1118" s="127" t="inlineStr">
        <is>
          <t>PRODUCTION</t>
        </is>
      </c>
      <c r="E1118" s="129" t="inlineStr">
        <is>
          <t>TYRE BUILDING-P3</t>
        </is>
      </c>
      <c r="F1118" s="130" t="n">
        <v>45796</v>
      </c>
      <c r="G1118" s="131">
        <f>NOW()-F1118</f>
        <v/>
      </c>
      <c r="H1118" s="104" t="inlineStr">
        <is>
          <t>L</t>
        </is>
      </c>
      <c r="I1118" s="104" t="inlineStr">
        <is>
          <t>I</t>
        </is>
      </c>
      <c r="J1118" s="104" t="n">
        <v>5</v>
      </c>
      <c r="K1118" s="104" t="n">
        <v>4</v>
      </c>
      <c r="L1118" s="104" t="n">
        <v>4</v>
      </c>
      <c r="M1118" s="104" t="n">
        <v>5</v>
      </c>
      <c r="N1118" s="104" t="n"/>
      <c r="O1118" s="104">
        <f>SUM(J1118:N1118)</f>
        <v/>
      </c>
      <c r="P1118" s="12">
        <f>O1118/IF(H1118="L",20,IF(H1118="U",30,IF(H1118="O",40,IF(H1118="I",20,""))))</f>
        <v/>
      </c>
      <c r="Q1118" s="132">
        <f>IF(AND(H1118="L", P1118&gt;=50%), "Pass",
IF(AND(H1118="U", P1118&gt;=60%), "Pass",
IF(AND(H1118="O", P1118&gt;=75%), "Pass", "Fail")))</f>
        <v/>
      </c>
      <c r="R1118" s="104" t="n"/>
      <c r="S1118" s="104" t="n">
        <v>18</v>
      </c>
      <c r="T1118" s="104" t="n">
        <v>14</v>
      </c>
      <c r="U1118" s="104">
        <f>SUM(S1118:T1118)</f>
        <v/>
      </c>
      <c r="V1118" s="12">
        <f>U1118/IF(H1118="L",35,IF(H1118="U",35,IF(H1118="O",35,IF(H1118="I",35,""))))</f>
        <v/>
      </c>
      <c r="W1118" s="132">
        <f>IF(AND(H1118="L", V1118&gt;=50%), "Pass",
IF(AND(H1118="U", V1118&gt;=60%), "Pass",
IF(AND(H1118="O", V1118&gt;=75%), "Pass", "Fail")))</f>
        <v/>
      </c>
      <c r="X1118" s="132">
        <f>IF(AND(Q1118="Pass", W1118="Pass"), "Pass", "Fail")</f>
        <v/>
      </c>
      <c r="Y1118" s="15">
        <f>IF($X1118="Pass",$H1118,
IF(H1118="L","I",
IF(H1118="U","L",
IF(H1118="O","U",
"I"))))</f>
        <v/>
      </c>
    </row>
    <row r="1119">
      <c r="A1119" s="147">
        <f>ROW()-2</f>
        <v/>
      </c>
      <c r="B1119" s="127" t="inlineStr">
        <is>
          <t>SK3645</t>
        </is>
      </c>
      <c r="C1119" s="128" t="inlineStr">
        <is>
          <t>MOORTHY G</t>
        </is>
      </c>
      <c r="D1119" s="127" t="inlineStr">
        <is>
          <t>PRODUCTION</t>
        </is>
      </c>
      <c r="E1119" s="129" t="inlineStr">
        <is>
          <t>TYRE BUILDING-P1</t>
        </is>
      </c>
      <c r="F1119" s="130" t="n">
        <v>45796</v>
      </c>
      <c r="G1119" s="131">
        <f>NOW()-F1119</f>
        <v/>
      </c>
      <c r="H1119" s="104" t="inlineStr">
        <is>
          <t>L</t>
        </is>
      </c>
      <c r="I1119" s="104" t="inlineStr">
        <is>
          <t>I</t>
        </is>
      </c>
      <c r="J1119" s="104" t="n">
        <v>5</v>
      </c>
      <c r="K1119" s="104" t="n">
        <v>3</v>
      </c>
      <c r="L1119" s="104" t="n">
        <v>4</v>
      </c>
      <c r="M1119" s="104" t="n">
        <v>5</v>
      </c>
      <c r="N1119" s="104" t="n"/>
      <c r="O1119" s="104">
        <f>SUM(J1119:N1119)</f>
        <v/>
      </c>
      <c r="P1119" s="12">
        <f>O1119/IF(H1119="L",20,IF(H1119="U",30,IF(H1119="O",40,IF(H1119="I",20,""))))</f>
        <v/>
      </c>
      <c r="Q1119" s="132">
        <f>IF(AND(H1119="L", P1119&gt;=50%), "Pass",
IF(AND(H1119="U", P1119&gt;=60%), "Pass",
IF(AND(H1119="O", P1119&gt;=75%), "Pass", "Fail")))</f>
        <v/>
      </c>
      <c r="R1119" s="104" t="n"/>
      <c r="S1119" s="104" t="n">
        <v>12</v>
      </c>
      <c r="T1119" s="104" t="n">
        <v>13</v>
      </c>
      <c r="U1119" s="104">
        <f>SUM(S1119:T1119)</f>
        <v/>
      </c>
      <c r="V1119" s="12">
        <f>U1119/IF(H1119="L",35,IF(H1119="U",35,IF(H1119="O",35,IF(H1119="I",35,""))))</f>
        <v/>
      </c>
      <c r="W1119" s="132">
        <f>IF(AND(H1119="L", V1119&gt;=50%), "Pass",
IF(AND(H1119="U", V1119&gt;=60%), "Pass",
IF(AND(H1119="O", V1119&gt;=75%), "Pass", "Fail")))</f>
        <v/>
      </c>
      <c r="X1119" s="132">
        <f>IF(AND(Q1119="Pass", W1119="Pass"), "Pass", "Fail")</f>
        <v/>
      </c>
      <c r="Y1119" s="15">
        <f>IF($X1119="Pass",$H1119,
IF(H1119="L","I",
IF(H1119="U","L",
IF(H1119="O","U",
"I"))))</f>
        <v/>
      </c>
    </row>
    <row r="1120">
      <c r="A1120" s="147">
        <f>ROW()-2</f>
        <v/>
      </c>
      <c r="B1120" s="127" t="inlineStr">
        <is>
          <t>SK3648</t>
        </is>
      </c>
      <c r="C1120" s="128" t="inlineStr">
        <is>
          <t>SARAVANAN P</t>
        </is>
      </c>
      <c r="D1120" s="127" t="inlineStr">
        <is>
          <t>PRODUCTION</t>
        </is>
      </c>
      <c r="E1120" s="129" t="inlineStr">
        <is>
          <t>TYRE BUILDING-P3</t>
        </is>
      </c>
      <c r="F1120" s="130" t="n">
        <v>45796</v>
      </c>
      <c r="G1120" s="131">
        <f>NOW()-F1120</f>
        <v/>
      </c>
      <c r="H1120" s="104" t="inlineStr">
        <is>
          <t>L</t>
        </is>
      </c>
      <c r="I1120" s="104" t="inlineStr">
        <is>
          <t>I</t>
        </is>
      </c>
      <c r="J1120" s="104" t="n">
        <v>5</v>
      </c>
      <c r="K1120" s="104" t="n">
        <v>5</v>
      </c>
      <c r="L1120" s="104" t="n">
        <v>5</v>
      </c>
      <c r="M1120" s="104" t="n">
        <v>4</v>
      </c>
      <c r="N1120" s="104" t="n"/>
      <c r="O1120" s="104">
        <f>SUM(J1120:N1120)</f>
        <v/>
      </c>
      <c r="P1120" s="12">
        <f>O1120/IF(H1120="L",20,IF(H1120="U",30,IF(H1120="O",40,IF(H1120="I",20,""))))</f>
        <v/>
      </c>
      <c r="Q1120" s="132">
        <f>IF(AND(H1120="L", P1120&gt;=50%), "Pass",
IF(AND(H1120="U", P1120&gt;=60%), "Pass",
IF(AND(H1120="O", P1120&gt;=75%), "Pass", "Fail")))</f>
        <v/>
      </c>
      <c r="R1120" s="104" t="n"/>
      <c r="S1120" s="104" t="n">
        <v>19</v>
      </c>
      <c r="T1120" s="104" t="n">
        <v>13</v>
      </c>
      <c r="U1120" s="104">
        <f>SUM(S1120:T1120)</f>
        <v/>
      </c>
      <c r="V1120" s="12">
        <f>U1120/IF(H1120="L",35,IF(H1120="U",35,IF(H1120="O",35,IF(H1120="I",35,""))))</f>
        <v/>
      </c>
      <c r="W1120" s="132">
        <f>IF(AND(H1120="L", V1120&gt;=50%), "Pass",
IF(AND(H1120="U", V1120&gt;=60%), "Pass",
IF(AND(H1120="O", V1120&gt;=75%), "Pass", "Fail")))</f>
        <v/>
      </c>
      <c r="X1120" s="132">
        <f>IF(AND(Q1120="Pass", W1120="Pass"), "Pass", "Fail")</f>
        <v/>
      </c>
      <c r="Y1120" s="15">
        <f>IF($X1120="Pass",$H1120,
IF(H1120="L","I",
IF(H1120="U","L",
IF(H1120="O","U",
"I"))))</f>
        <v/>
      </c>
    </row>
    <row r="1121">
      <c r="A1121" s="147">
        <f>ROW()-2</f>
        <v/>
      </c>
      <c r="B1121" s="133" t="inlineStr">
        <is>
          <t>SK3712</t>
        </is>
      </c>
      <c r="C1121" s="148" t="inlineStr">
        <is>
          <t>PRINCE KUMAR</t>
        </is>
      </c>
      <c r="D1121" s="127" t="inlineStr">
        <is>
          <t>PRODUCTION</t>
        </is>
      </c>
      <c r="E1121" s="135" t="inlineStr">
        <is>
          <t>TYRE BUILDING-P3</t>
        </is>
      </c>
      <c r="F1121" s="136" t="n">
        <v>45796</v>
      </c>
      <c r="G1121" s="131">
        <f>NOW()-F1121</f>
        <v/>
      </c>
      <c r="H1121" s="104" t="inlineStr">
        <is>
          <t>L</t>
        </is>
      </c>
      <c r="I1121" s="104" t="inlineStr">
        <is>
          <t>I</t>
        </is>
      </c>
      <c r="J1121" s="104" t="n">
        <v>4</v>
      </c>
      <c r="K1121" s="104" t="n">
        <v>4</v>
      </c>
      <c r="L1121" s="104" t="n">
        <v>4</v>
      </c>
      <c r="M1121" s="104" t="n">
        <v>5</v>
      </c>
      <c r="N1121" s="104" t="n"/>
      <c r="O1121" s="104">
        <f>SUM(J1121:N1121)</f>
        <v/>
      </c>
      <c r="P1121" s="12">
        <f>O1121/IF(H1121="L",20,IF(H1121="U",30,IF(H1121="O",40,IF(H1121="I",20,""))))</f>
        <v/>
      </c>
      <c r="Q1121" s="132">
        <f>IF(AND(H1121="L", P1121&gt;=50%), "Pass",
IF(AND(H1121="U", P1121&gt;=60%), "Pass",
IF(AND(H1121="O", P1121&gt;=75%), "Pass", "Fail")))</f>
        <v/>
      </c>
      <c r="R1121" s="104" t="n"/>
      <c r="S1121" s="104" t="n">
        <v>17</v>
      </c>
      <c r="T1121" s="104" t="n">
        <v>13</v>
      </c>
      <c r="U1121" s="104">
        <f>SUM(S1121:T1121)</f>
        <v/>
      </c>
      <c r="V1121" s="12">
        <f>U1121/IF(H1121="L",35,IF(H1121="U",35,IF(H1121="O",35,IF(H1121="I",35,""))))</f>
        <v/>
      </c>
      <c r="W1121" s="132">
        <f>IF(AND(H1121="L", V1121&gt;=50%), "Pass",
IF(AND(H1121="U", V1121&gt;=60%), "Pass",
IF(AND(H1121="O", V1121&gt;=75%), "Pass", "Fail")))</f>
        <v/>
      </c>
      <c r="X1121" s="132">
        <f>IF(AND(Q1121="Pass", W1121="Pass"), "Pass", "Fail")</f>
        <v/>
      </c>
      <c r="Y1121" s="15">
        <f>IF($X1121="Pass",$H1121,
IF(H1121="L","I",
IF(H1121="U","L",
IF(H1121="O","U",
"I"))))</f>
        <v/>
      </c>
    </row>
    <row r="1122">
      <c r="A1122" s="147">
        <f>ROW()-2</f>
        <v/>
      </c>
      <c r="B1122" s="137" t="inlineStr">
        <is>
          <t>SK3653</t>
        </is>
      </c>
      <c r="C1122" s="138" t="inlineStr">
        <is>
          <t>DEEPAK ORAON</t>
        </is>
      </c>
      <c r="D1122" s="127" t="inlineStr">
        <is>
          <t>PRODUCTION</t>
        </is>
      </c>
      <c r="E1122" s="129" t="inlineStr">
        <is>
          <t>TYRE BUILDING-P3</t>
        </is>
      </c>
      <c r="F1122" s="130" t="n">
        <v>45799</v>
      </c>
      <c r="G1122" s="131">
        <f>NOW()-F1122</f>
        <v/>
      </c>
      <c r="H1122" s="104" t="inlineStr">
        <is>
          <t>L</t>
        </is>
      </c>
      <c r="I1122" s="104" t="inlineStr">
        <is>
          <t>I</t>
        </is>
      </c>
      <c r="J1122" s="104" t="n">
        <v>5</v>
      </c>
      <c r="K1122" s="104" t="n">
        <v>5</v>
      </c>
      <c r="L1122" s="104" t="n">
        <v>2</v>
      </c>
      <c r="M1122" s="104" t="n">
        <v>1</v>
      </c>
      <c r="N1122" s="104" t="n"/>
      <c r="O1122" s="104">
        <f>SUM(J1122:N1122)</f>
        <v/>
      </c>
      <c r="P1122" s="12">
        <f>O1122/IF(H1122="L",20,IF(H1122="U",30,IF(H1122="O",40,IF(H1122="I",20,""))))</f>
        <v/>
      </c>
      <c r="Q1122" s="132">
        <f>IF(AND(H1122="L", P1122&gt;=50%), "Pass",
IF(AND(H1122="U", P1122&gt;=60%), "Pass",
IF(AND(H1122="O", P1122&gt;=75%), "Pass", "Fail")))</f>
        <v/>
      </c>
      <c r="R1122" s="104" t="n"/>
      <c r="S1122" s="104" t="n">
        <v>17</v>
      </c>
      <c r="T1122" s="104" t="n">
        <v>14</v>
      </c>
      <c r="U1122" s="104">
        <f>SUM(S1122:T1122)</f>
        <v/>
      </c>
      <c r="V1122" s="12">
        <f>U1122/IF(H1122="L",35,IF(H1122="U",35,IF(H1122="O",35,IF(H1122="I",35,""))))</f>
        <v/>
      </c>
      <c r="W1122" s="132">
        <f>IF(AND(H1122="L", V1122&gt;=50%), "Pass",
IF(AND(H1122="U", V1122&gt;=60%), "Pass",
IF(AND(H1122="O", V1122&gt;=75%), "Pass", "Fail")))</f>
        <v/>
      </c>
      <c r="X1122" s="132">
        <f>IF(AND(Q1122="Pass", W1122="Pass"), "Pass", "Fail")</f>
        <v/>
      </c>
      <c r="Y1122" s="15">
        <f>IF($X1122="Pass",$H1122,
IF(H1122="L","I",
IF(H1122="U","L",
IF(H1122="O","U",
"I"))))</f>
        <v/>
      </c>
    </row>
    <row r="1123">
      <c r="A1123" s="147">
        <f>ROW()-2</f>
        <v/>
      </c>
      <c r="B1123" s="137" t="inlineStr">
        <is>
          <t>SK3654</t>
        </is>
      </c>
      <c r="C1123" s="138" t="inlineStr">
        <is>
          <t>BUDHWA ORAON</t>
        </is>
      </c>
      <c r="D1123" s="127" t="inlineStr">
        <is>
          <t>PRODUCTION</t>
        </is>
      </c>
      <c r="E1123" s="129" t="inlineStr">
        <is>
          <t>TYRE BUILDING-P3</t>
        </is>
      </c>
      <c r="F1123" s="130" t="n">
        <v>45799</v>
      </c>
      <c r="G1123" s="131">
        <f>NOW()-F1123</f>
        <v/>
      </c>
      <c r="H1123" s="104" t="inlineStr">
        <is>
          <t>L</t>
        </is>
      </c>
      <c r="I1123" s="104" t="inlineStr">
        <is>
          <t>I</t>
        </is>
      </c>
      <c r="J1123" s="104" t="n">
        <v>2</v>
      </c>
      <c r="K1123" s="104" t="n">
        <v>2</v>
      </c>
      <c r="L1123" s="104" t="n">
        <v>3</v>
      </c>
      <c r="M1123" s="104" t="n">
        <v>1</v>
      </c>
      <c r="N1123" s="104" t="n"/>
      <c r="O1123" s="104">
        <f>SUM(J1123:N1123)</f>
        <v/>
      </c>
      <c r="P1123" s="12">
        <f>O1123/IF(H1123="L",20,IF(H1123="U",30,IF(H1123="O",40,IF(H1123="I",20,""))))</f>
        <v/>
      </c>
      <c r="Q1123" s="132">
        <f>IF(AND(H1123="L", P1123&gt;=50%), "Pass",
 IF(AND(H1123="U", P1123&gt;=60%), "Pass",
 IF(AND(H1123="O", P1123&gt;=75%), "Pass", "Fail")))</f>
        <v/>
      </c>
      <c r="R1123" s="104" t="n"/>
      <c r="S1123" s="104" t="n">
        <v>17</v>
      </c>
      <c r="T1123" s="104" t="n">
        <v>14</v>
      </c>
      <c r="U1123" s="104">
        <f>SUM(S1123:T1123)</f>
        <v/>
      </c>
      <c r="V1123" s="12">
        <f>U1123/IF(H1123="L",35,IF(H1123="U",35,IF(H1123="O",35,IF(H1123="I",35,""))))</f>
        <v/>
      </c>
      <c r="W1123" s="132">
        <f>IF(AND(H1123="L", V1123&gt;=50%), "Pass",
 IF(AND(H1123="U", V1123&gt;=60%), "Pass",
 IF(AND(H1123="O", V1123&gt;=75%), "Pass", "Fail")))</f>
        <v/>
      </c>
      <c r="X1123" s="132">
        <f>IF(AND(Q1123="Pass", W1123="Pass"), "Pass", "Fail")</f>
        <v/>
      </c>
      <c r="Y1123" s="15">
        <f>IF($X1123="Pass",$H1123,
IF(H1123="L","I",
IF(H1123="U","L",
IF(H1123="O","U",
"I"))))</f>
        <v/>
      </c>
    </row>
    <row r="1124">
      <c r="A1124" s="147">
        <f>ROW()-2</f>
        <v/>
      </c>
      <c r="B1124" s="137" t="inlineStr">
        <is>
          <t>SK3656</t>
        </is>
      </c>
      <c r="C1124" s="138" t="inlineStr">
        <is>
          <t>ASHISH ORAON</t>
        </is>
      </c>
      <c r="D1124" s="127" t="inlineStr">
        <is>
          <t>PRODUCTION</t>
        </is>
      </c>
      <c r="E1124" s="129" t="inlineStr">
        <is>
          <t>TYRE BUILDING-P3</t>
        </is>
      </c>
      <c r="F1124" s="130" t="n">
        <v>45799</v>
      </c>
      <c r="G1124" s="131">
        <f>NOW()-F1124</f>
        <v/>
      </c>
      <c r="H1124" s="104" t="inlineStr">
        <is>
          <t>L</t>
        </is>
      </c>
      <c r="I1124" s="104" t="inlineStr">
        <is>
          <t>I</t>
        </is>
      </c>
      <c r="J1124" s="104" t="n">
        <v>1</v>
      </c>
      <c r="K1124" s="104" t="n">
        <v>1</v>
      </c>
      <c r="L1124" s="104" t="n">
        <v>1</v>
      </c>
      <c r="M1124" s="104" t="n">
        <v>1</v>
      </c>
      <c r="N1124" s="104" t="n"/>
      <c r="O1124" s="104">
        <f>SUM(J1124:N1124)</f>
        <v/>
      </c>
      <c r="P1124" s="12">
        <f>O1124/IF(H1124="L",20,IF(H1124="U",30,IF(H1124="O",40,IF(H1124="I",20,""))))</f>
        <v/>
      </c>
      <c r="Q1124" s="132">
        <f>IF(AND(H1124="L", P1124&gt;=50%), "Pass",
IF(AND(H1124="U", P1124&gt;=60%), "Pass",
IF(AND(H1124="O", P1124&gt;=75%), "Pass", "Fail")))</f>
        <v/>
      </c>
      <c r="R1124" s="104" t="n"/>
      <c r="S1124" s="104" t="n">
        <v>18</v>
      </c>
      <c r="T1124" s="104" t="n">
        <v>14</v>
      </c>
      <c r="U1124" s="104">
        <f>SUM(S1124:T1124)</f>
        <v/>
      </c>
      <c r="V1124" s="12">
        <f>U1124/IF(H1124="L",35,IF(H1124="U",35,IF(H1124="O",35,IF(H1124="I",35,""))))</f>
        <v/>
      </c>
      <c r="W1124" s="132">
        <f>IF(AND(H1124="L", V1124&gt;=50%), "Pass",
IF(AND(H1124="U", V1124&gt;=60%), "Pass",
IF(AND(H1124="O", V1124&gt;=75%), "Pass", "Fail")))</f>
        <v/>
      </c>
      <c r="X1124" s="132">
        <f>IF(AND(Q1124="Pass", W1124="Pass"), "Pass", "Fail")</f>
        <v/>
      </c>
      <c r="Y1124" s="15">
        <f>IF($X1124="Pass",$H1124,
IF(H1124="L","I",
IF(H1124="U","L",
IF(H1124="O","U",
"I"))))</f>
        <v/>
      </c>
    </row>
    <row r="1125">
      <c r="A1125" s="147">
        <f>ROW()-2</f>
        <v/>
      </c>
      <c r="B1125" s="137" t="inlineStr">
        <is>
          <t>SK3665</t>
        </is>
      </c>
      <c r="C1125" s="138" t="inlineStr">
        <is>
          <t>HIMANSHU MAURYA</t>
        </is>
      </c>
      <c r="D1125" s="127" t="inlineStr">
        <is>
          <t>PRODUCTION</t>
        </is>
      </c>
      <c r="E1125" s="129" t="inlineStr">
        <is>
          <t>TYRE BUILDING-P3</t>
        </is>
      </c>
      <c r="F1125" s="130" t="n">
        <v>45803</v>
      </c>
      <c r="G1125" s="131">
        <f>NOW()-F1125</f>
        <v/>
      </c>
      <c r="H1125" s="104" t="inlineStr">
        <is>
          <t>L</t>
        </is>
      </c>
      <c r="I1125" s="104" t="inlineStr">
        <is>
          <t>I</t>
        </is>
      </c>
      <c r="J1125" s="104" t="n">
        <v>5</v>
      </c>
      <c r="K1125" s="104" t="n">
        <v>4</v>
      </c>
      <c r="L1125" s="104" t="n">
        <v>1</v>
      </c>
      <c r="M1125" s="104" t="n">
        <v>2</v>
      </c>
      <c r="N1125" s="104" t="n"/>
      <c r="O1125" s="104">
        <f>SUM(J1125:N1125)</f>
        <v/>
      </c>
      <c r="P1125" s="12">
        <f>O1125/IF(H1125="L",20,IF(H1125="U",30,IF(H1125="O",40,IF(H1125="I",20,""))))</f>
        <v/>
      </c>
      <c r="Q1125" s="132">
        <f>IF(AND(H1125="L", P1125&gt;=50%), "Pass",
IF(AND(H1125="U", P1125&gt;=60%), "Pass",
IF(AND(H1125="O", P1125&gt;=75%), "Pass", "Fail")))</f>
        <v/>
      </c>
      <c r="R1125" s="104" t="n"/>
      <c r="S1125" s="104" t="n">
        <v>18</v>
      </c>
      <c r="T1125" s="104" t="n">
        <v>14</v>
      </c>
      <c r="U1125" s="104">
        <f>SUM(S1125:T1125)</f>
        <v/>
      </c>
      <c r="V1125" s="12">
        <f>U1125/IF(H1125="L",35,IF(H1125="U",35,IF(H1125="O",35,IF(H1125="I",35,""))))</f>
        <v/>
      </c>
      <c r="W1125" s="132">
        <f>IF(AND(H1125="L", V1125&gt;=50%), "Pass",
IF(AND(H1125="U", V1125&gt;=60%), "Pass",
IF(AND(H1125="O", V1125&gt;=75%), "Pass", "Fail")))</f>
        <v/>
      </c>
      <c r="X1125" s="132">
        <f>IF(AND(Q1125="Pass", W1125="Pass"), "Pass", "Fail")</f>
        <v/>
      </c>
      <c r="Y1125" s="15">
        <f>IF($X1125="Pass",$H1125,
IF(H1125="L","I",
IF(H1125="U","L",
IF(H1125="O","U",
"I"))))</f>
        <v/>
      </c>
    </row>
    <row r="1126">
      <c r="A1126" s="147">
        <f>ROW()-2</f>
        <v/>
      </c>
      <c r="B1126" s="127" t="inlineStr">
        <is>
          <t>PK1597</t>
        </is>
      </c>
      <c r="C1126" s="128" t="inlineStr">
        <is>
          <t>LALIT ORAON</t>
        </is>
      </c>
      <c r="D1126" s="127" t="inlineStr">
        <is>
          <t>PRODUCTION</t>
        </is>
      </c>
      <c r="E1126" s="129" t="inlineStr">
        <is>
          <t>TYRE BUILDING-P2</t>
        </is>
      </c>
      <c r="F1126" s="130" t="n">
        <v>45810</v>
      </c>
      <c r="G1126" s="131">
        <f>NOW()-F1126</f>
        <v/>
      </c>
      <c r="H1126" s="104" t="inlineStr">
        <is>
          <t>L</t>
        </is>
      </c>
      <c r="I1126" s="104" t="inlineStr">
        <is>
          <t>I</t>
        </is>
      </c>
      <c r="J1126" s="104" t="n">
        <v>5</v>
      </c>
      <c r="K1126" s="104" t="n">
        <v>4</v>
      </c>
      <c r="L1126" s="104" t="n">
        <v>4</v>
      </c>
      <c r="M1126" s="104" t="n">
        <v>5</v>
      </c>
      <c r="N1126" s="104" t="n"/>
      <c r="O1126" s="104">
        <f>SUM(J1126:N1126)</f>
        <v/>
      </c>
      <c r="P1126" s="12">
        <f>O1126/IF(H1126="L",20,IF(H1126="U",30,IF(H1126="O",40,IF(H1126="I",20,""))))</f>
        <v/>
      </c>
      <c r="Q1126" s="132">
        <f>IF(AND(H1126="L", P1126&gt;=50%), "Pass",
IF(AND(H1126="U", P1126&gt;=60%), "Pass",
IF(AND(H1126="O", P1126&gt;=75%), "Pass", "Fail")))</f>
        <v/>
      </c>
      <c r="R1126" s="104" t="n"/>
      <c r="S1126" s="104" t="n">
        <v>8</v>
      </c>
      <c r="T1126" s="104" t="n">
        <v>7</v>
      </c>
      <c r="U1126" s="104">
        <f>SUM(S1126:T1126)</f>
        <v/>
      </c>
      <c r="V1126" s="12">
        <f>U1126/IF(H1126="L",35,IF(H1126="U",35,IF(H1126="O",35,IF(H1126="I",35,""))))</f>
        <v/>
      </c>
      <c r="W1126" s="132">
        <f>IF(AND(H1126="L", V1126&gt;=50%), "Pass",
IF(AND(H1126="U", V1126&gt;=60%), "Pass",
IF(AND(H1126="O", V1126&gt;=75%), "Pass", "Fail")))</f>
        <v/>
      </c>
      <c r="X1126" s="132">
        <f>IF(AND(Q1126="Pass", W1126="Pass"), "Pass", "Fail")</f>
        <v/>
      </c>
      <c r="Y1126" s="15">
        <f>IF($X1126="Pass",$H1126,
IF(H1126="L","I",
IF(H1126="U","L",
IF(H1126="O","U",
"I"))))</f>
        <v/>
      </c>
    </row>
    <row r="1127">
      <c r="A1127" s="147">
        <f>ROW()-2</f>
        <v/>
      </c>
      <c r="B1127" s="127" t="inlineStr">
        <is>
          <t>PK1599</t>
        </is>
      </c>
      <c r="C1127" s="128" t="inlineStr">
        <is>
          <t>BASKAR</t>
        </is>
      </c>
      <c r="D1127" s="127" t="inlineStr">
        <is>
          <t>PRODUCTION</t>
        </is>
      </c>
      <c r="E1127" s="129" t="inlineStr">
        <is>
          <t>TYRE BUILDING-P3</t>
        </is>
      </c>
      <c r="F1127" s="130" t="n">
        <v>45810</v>
      </c>
      <c r="G1127" s="131">
        <f>NOW()-F1127</f>
        <v/>
      </c>
      <c r="H1127" s="104" t="inlineStr">
        <is>
          <t>L</t>
        </is>
      </c>
      <c r="I1127" s="104" t="inlineStr">
        <is>
          <t>I</t>
        </is>
      </c>
      <c r="J1127" s="104" t="n">
        <v>3</v>
      </c>
      <c r="K1127" s="104" t="n">
        <v>5</v>
      </c>
      <c r="L1127" s="104" t="n">
        <v>4</v>
      </c>
      <c r="M1127" s="104" t="n">
        <v>3</v>
      </c>
      <c r="N1127" s="104" t="n"/>
      <c r="O1127" s="104">
        <f>SUM(J1127:N1127)</f>
        <v/>
      </c>
      <c r="P1127" s="12">
        <f>O1127/IF(H1127="L",20,IF(H1127="U",30,IF(H1127="O",40,IF(H1127="I",20,""))))</f>
        <v/>
      </c>
      <c r="Q1127" s="132">
        <f>IF(AND(H1127="L", P1127&gt;=50%), "Pass",
IF(AND(H1127="U", P1127&gt;=60%), "Pass",
IF(AND(H1127="O", P1127&gt;=75%), "Pass", "Fail")))</f>
        <v/>
      </c>
      <c r="R1127" s="104" t="n"/>
      <c r="S1127" s="104" t="n">
        <v>18</v>
      </c>
      <c r="T1127" s="104" t="n">
        <v>13</v>
      </c>
      <c r="U1127" s="104">
        <f>SUM(S1127:T1127)</f>
        <v/>
      </c>
      <c r="V1127" s="12">
        <f>U1127/IF(H1127="L",35,IF(H1127="U",35,IF(H1127="O",35,IF(H1127="I",35,""))))</f>
        <v/>
      </c>
      <c r="W1127" s="132">
        <f>IF(AND(H1127="L", V1127&gt;=50%), "Pass",
IF(AND(H1127="U", V1127&gt;=60%), "Pass",
IF(AND(H1127="O", V1127&gt;=75%), "Pass", "Fail")))</f>
        <v/>
      </c>
      <c r="X1127" s="132">
        <f>IF(AND(Q1127="Pass", W1127="Pass"), "Pass", "Fail")</f>
        <v/>
      </c>
      <c r="Y1127" s="15">
        <f>IF($X1127="Pass",$H1127,
IF(H1127="L","I",
IF(H1127="U","L",
IF(H1127="O","U",
"I"))))</f>
        <v/>
      </c>
    </row>
    <row r="1128">
      <c r="A1128" s="147">
        <f>ROW()-2</f>
        <v/>
      </c>
      <c r="B1128" s="127" t="inlineStr">
        <is>
          <t>LN0895</t>
        </is>
      </c>
      <c r="C1128" s="128" t="inlineStr">
        <is>
          <t>JOHAN D</t>
        </is>
      </c>
      <c r="D1128" s="127" t="inlineStr">
        <is>
          <t>PRODUCTION</t>
        </is>
      </c>
      <c r="E1128" s="129" t="inlineStr">
        <is>
          <t>EXTRUDER</t>
        </is>
      </c>
      <c r="F1128" s="130" t="n">
        <v>45811</v>
      </c>
      <c r="G1128" s="131">
        <f>NOW()-F1128</f>
        <v/>
      </c>
      <c r="H1128" s="104" t="inlineStr">
        <is>
          <t>L</t>
        </is>
      </c>
      <c r="I1128" s="104" t="inlineStr">
        <is>
          <t>I</t>
        </is>
      </c>
      <c r="J1128" s="104" t="n">
        <v>5</v>
      </c>
      <c r="K1128" s="104" t="n">
        <v>2</v>
      </c>
      <c r="L1128" s="104" t="n">
        <v>2</v>
      </c>
      <c r="M1128" s="104" t="n">
        <v>1</v>
      </c>
      <c r="N1128" s="104" t="n"/>
      <c r="O1128" s="104">
        <f>SUM(J1128:N1128)</f>
        <v/>
      </c>
      <c r="P1128" s="12">
        <f>O1128/IF(H1128="L",20,IF(H1128="U",30,IF(H1128="O",40,IF(H1128="I",20,""))))</f>
        <v/>
      </c>
      <c r="Q1128" s="132">
        <f>IF(AND(H1128="L", P1128&gt;=50%), "Pass",
IF(AND(H1128="U", P1128&gt;=60%), "Pass",
IF(AND(H1128="O", P1128&gt;=75%), "Pass", "Fail")))</f>
        <v/>
      </c>
      <c r="R1128" s="104" t="n"/>
      <c r="S1128" s="104" t="n">
        <v>8</v>
      </c>
      <c r="T1128" s="104" t="n">
        <v>6</v>
      </c>
      <c r="U1128" s="104">
        <f>SUM(S1128:T1128)</f>
        <v/>
      </c>
      <c r="V1128" s="12">
        <f>U1128/IF(H1128="L",35,IF(H1128="U",35,IF(H1128="O",35,IF(H1128="I",35,""))))</f>
        <v/>
      </c>
      <c r="W1128" s="132">
        <f>IF(AND(H1128="L", V1128&gt;=50%), "Pass",
IF(AND(H1128="U", V1128&gt;=60%), "Pass",
IF(AND(H1128="O", V1128&gt;=75%), "Pass", "Fail")))</f>
        <v/>
      </c>
      <c r="X1128" s="132">
        <f>IF(AND(Q1128="Pass", W1128="Pass"), "Pass", "Fail")</f>
        <v/>
      </c>
      <c r="Y1128" s="15">
        <f>IF($X1128="Pass",$H1128,
IF(H1128="L","I",
IF(H1128="U","L",
IF(H1128="O","U",
"I"))))</f>
        <v/>
      </c>
    </row>
    <row r="1129">
      <c r="A1129" s="147">
        <f>ROW()-2</f>
        <v/>
      </c>
      <c r="B1129" s="127" t="inlineStr">
        <is>
          <t>LN0904</t>
        </is>
      </c>
      <c r="C1129" s="128" t="inlineStr">
        <is>
          <t>MARIAPPAN</t>
        </is>
      </c>
      <c r="D1129" s="127" t="inlineStr">
        <is>
          <t>PRODUCTION</t>
        </is>
      </c>
      <c r="E1129" s="129" t="inlineStr">
        <is>
          <t>TYRE CURING</t>
        </is>
      </c>
      <c r="F1129" s="130" t="n">
        <v>45817</v>
      </c>
      <c r="G1129" s="131">
        <f>NOW()-F1129</f>
        <v/>
      </c>
      <c r="H1129" s="104" t="inlineStr">
        <is>
          <t>L</t>
        </is>
      </c>
      <c r="I1129" s="104" t="inlineStr">
        <is>
          <t>I</t>
        </is>
      </c>
      <c r="J1129" s="104" t="n">
        <v>4</v>
      </c>
      <c r="K1129" s="104" t="n">
        <v>4</v>
      </c>
      <c r="L1129" s="104" t="n">
        <v>4</v>
      </c>
      <c r="M1129" s="104" t="n">
        <v>4</v>
      </c>
      <c r="N1129" s="104" t="n">
        <v>3</v>
      </c>
      <c r="O1129" s="104">
        <f>SUM(J1129:N1129)</f>
        <v/>
      </c>
      <c r="P1129" s="12">
        <f>O1129/IF(H1129="L",20,IF(H1129="U",30,IF(H1129="O",40,IF(H1129="I",20,""))))</f>
        <v/>
      </c>
      <c r="Q1129" s="132">
        <f>IF(AND(H1129="L", P1129&gt;=50%), "Pass",
IF(AND(H1129="U", P1129&gt;=60%), "Pass",
IF(AND(H1129="O", P1129&gt;=75%), "Pass", "Fail")))</f>
        <v/>
      </c>
      <c r="R1129" s="104" t="n"/>
      <c r="S1129" s="104" t="n">
        <v>15</v>
      </c>
      <c r="T1129" s="104" t="n">
        <v>10</v>
      </c>
      <c r="U1129" s="104">
        <f>SUM(S1129:T1129)</f>
        <v/>
      </c>
      <c r="V1129" s="12">
        <f>U1129/IF(H1129="L",35,IF(H1129="U",35,IF(H1129="O",35,IF(H1129="I",35,""))))</f>
        <v/>
      </c>
      <c r="W1129" s="132">
        <f>IF(AND(H1129="L", V1129&gt;=50%), "Pass",
IF(AND(H1129="U", V1129&gt;=60%), "Pass",
IF(AND(H1129="O", V1129&gt;=75%), "Pass", "Fail")))</f>
        <v/>
      </c>
      <c r="X1129" s="132">
        <f>IF(AND(Q1129="Pass", W1129="Pass"), "Pass", "Fail")</f>
        <v/>
      </c>
      <c r="Y1129" s="15">
        <f>IF($X1129="Pass",$H1129,
IF(H1129="L","I",
IF(H1129="U","L",
IF(H1129="O","U",
"I"))))</f>
        <v/>
      </c>
      <c r="Z1129" s="81">
        <f>V1129-75%</f>
        <v/>
      </c>
    </row>
    <row r="1130">
      <c r="A1130" s="147">
        <f>ROW()-2</f>
        <v/>
      </c>
      <c r="B1130" s="127" t="inlineStr">
        <is>
          <t>SK3681</t>
        </is>
      </c>
      <c r="C1130" s="128" t="inlineStr">
        <is>
          <t>PRITESH BHAGAT</t>
        </is>
      </c>
      <c r="D1130" s="127" t="inlineStr">
        <is>
          <t>PRODUCTION</t>
        </is>
      </c>
      <c r="E1130" s="129" t="inlineStr">
        <is>
          <t>TYRE BUILDING-P1</t>
        </is>
      </c>
      <c r="F1130" s="130" t="n">
        <v>45817</v>
      </c>
      <c r="G1130" s="131">
        <f>NOW()-F1130</f>
        <v/>
      </c>
      <c r="H1130" s="104" t="inlineStr">
        <is>
          <t>L</t>
        </is>
      </c>
      <c r="I1130" s="104" t="inlineStr">
        <is>
          <t>I</t>
        </is>
      </c>
      <c r="J1130" s="104" t="n">
        <v>4</v>
      </c>
      <c r="K1130" s="104" t="n">
        <v>5</v>
      </c>
      <c r="L1130" s="104" t="n">
        <v>4</v>
      </c>
      <c r="M1130" s="104" t="n">
        <v>4</v>
      </c>
      <c r="N1130" s="104" t="n"/>
      <c r="O1130" s="104">
        <f>SUM(J1130:N1130)</f>
        <v/>
      </c>
      <c r="P1130" s="12">
        <f>O1130/IF(H1130="L",20,IF(H1130="U",30,IF(H1130="O",40,IF(H1130="I",20,""))))</f>
        <v/>
      </c>
      <c r="Q1130" s="132">
        <f>IF(AND(H1130="L", P1130&gt;=50%), "Pass",
IF(AND(H1130="U", P1130&gt;=60%), "Pass",
IF(AND(H1130="O", P1130&gt;=75%), "Pass", "Fail")))</f>
        <v/>
      </c>
      <c r="R1130" s="104" t="n"/>
      <c r="S1130" s="104" t="n">
        <v>9</v>
      </c>
      <c r="T1130" s="104" t="n">
        <v>6</v>
      </c>
      <c r="U1130" s="104">
        <f>SUM(S1130:T1130)</f>
        <v/>
      </c>
      <c r="V1130" s="12">
        <f>U1130/IF(H1130="L",35,IF(H1130="U",35,IF(H1130="O",35,IF(H1130="I",35,""))))</f>
        <v/>
      </c>
      <c r="W1130" s="132">
        <f>IF(AND(H1130="L", V1130&gt;=50%), "Pass",
IF(AND(H1130="U", V1130&gt;=60%), "Pass",
IF(AND(H1130="O", V1130&gt;=75%), "Pass", "Fail")))</f>
        <v/>
      </c>
      <c r="X1130" s="132">
        <f>IF(AND(Q1130="Pass", W1130="Pass"), "Pass", "Fail")</f>
        <v/>
      </c>
      <c r="Y1130" s="15">
        <f>IF($X1130="Pass",$H1130,
IF(H1130="L","I",
IF(H1130="U","L",
IF(H1130="O","U",
"I"))))</f>
        <v/>
      </c>
    </row>
    <row r="1131">
      <c r="A1131" s="147">
        <f>ROW()-2</f>
        <v/>
      </c>
      <c r="B1131" s="127" t="inlineStr">
        <is>
          <t>SR1488</t>
        </is>
      </c>
      <c r="C1131" s="128" t="inlineStr">
        <is>
          <t>MURUGESAN S</t>
        </is>
      </c>
      <c r="D1131" s="127" t="inlineStr">
        <is>
          <t>PRODUCTION</t>
        </is>
      </c>
      <c r="E1131" s="129" t="inlineStr">
        <is>
          <t>TYRE CURING</t>
        </is>
      </c>
      <c r="F1131" s="130" t="n">
        <v>45820</v>
      </c>
      <c r="G1131" s="131">
        <f>NOW()-F1131</f>
        <v/>
      </c>
      <c r="H1131" s="104" t="inlineStr">
        <is>
          <t>L</t>
        </is>
      </c>
      <c r="I1131" s="104" t="inlineStr">
        <is>
          <t>I</t>
        </is>
      </c>
      <c r="J1131" s="104" t="n">
        <v>4</v>
      </c>
      <c r="K1131" s="104" t="n">
        <v>3</v>
      </c>
      <c r="L1131" s="104" t="n">
        <v>4</v>
      </c>
      <c r="M1131" s="104" t="n">
        <v>4</v>
      </c>
      <c r="N1131" s="104" t="n">
        <v>2</v>
      </c>
      <c r="O1131" s="104">
        <f>SUM(J1131:N1131)</f>
        <v/>
      </c>
      <c r="P1131" s="12">
        <f>O1131/IF(H1131="L",20,IF(H1131="U",30,IF(H1131="O",40,IF(H1131="I",20,""))))</f>
        <v/>
      </c>
      <c r="Q1131" s="132">
        <f>IF(AND(H1131="L", P1131&gt;=50%), "Pass",
IF(AND(H1131="U", P1131&gt;=60%), "Pass",
IF(AND(H1131="O", P1131&gt;=75%), "Pass", "Fail")))</f>
        <v/>
      </c>
      <c r="R1131" s="104" t="n"/>
      <c r="S1131" s="104" t="n">
        <v>13</v>
      </c>
      <c r="T1131" s="104" t="n">
        <v>12</v>
      </c>
      <c r="U1131" s="104">
        <f>SUM(S1131:T1131)</f>
        <v/>
      </c>
      <c r="V1131" s="12">
        <f>U1131/IF(H1131="L",35,IF(H1131="U",35,IF(H1131="O",35,IF(H1131="I",35,""))))</f>
        <v/>
      </c>
      <c r="W1131" s="132">
        <f>IF(AND(H1131="L", V1131&gt;=50%), "Pass",
IF(AND(H1131="U", V1131&gt;=60%), "Pass",
IF(AND(H1131="O", V1131&gt;=75%), "Pass", "Fail")))</f>
        <v/>
      </c>
      <c r="X1131" s="132">
        <f>IF(AND(Q1131="Pass", W1131="Pass"), "Pass", "Fail")</f>
        <v/>
      </c>
      <c r="Y1131" s="15">
        <f>IF($X1131="Pass",$H1131,
IF(H1131="L","I",
IF(H1131="U","L",
IF(H1131="O","U",
"I"))))</f>
        <v/>
      </c>
    </row>
    <row r="1132">
      <c r="A1132" s="147">
        <f>ROW()-2</f>
        <v/>
      </c>
      <c r="B1132" s="127" t="inlineStr">
        <is>
          <t>PK1633</t>
        </is>
      </c>
      <c r="C1132" s="128" t="inlineStr">
        <is>
          <t xml:space="preserve">KALLATHIYAN </t>
        </is>
      </c>
      <c r="D1132" s="127" t="inlineStr">
        <is>
          <t>PRODUCTION</t>
        </is>
      </c>
      <c r="E1132" s="129" t="inlineStr">
        <is>
          <t>TYRE BUILDING-P2</t>
        </is>
      </c>
      <c r="F1132" s="130" t="n">
        <v>45832</v>
      </c>
      <c r="G1132" s="131">
        <f>NOW()-F1132</f>
        <v/>
      </c>
      <c r="H1132" s="104" t="inlineStr">
        <is>
          <t>L</t>
        </is>
      </c>
      <c r="I1132" s="104" t="inlineStr">
        <is>
          <t>I</t>
        </is>
      </c>
      <c r="J1132" s="104" t="n">
        <v>5</v>
      </c>
      <c r="K1132" s="104" t="n">
        <v>5</v>
      </c>
      <c r="L1132" s="104" t="n">
        <v>3</v>
      </c>
      <c r="M1132" s="104" t="n">
        <v>5</v>
      </c>
      <c r="N1132" s="104" t="n"/>
      <c r="O1132" s="104">
        <f>SUM(J1132:N1132)</f>
        <v/>
      </c>
      <c r="P1132" s="12">
        <f>O1132/IF(H1132="L",20,IF(H1132="U",30,IF(H1132="O",40,IF(H1132="I",20,""))))</f>
        <v/>
      </c>
      <c r="Q1132" s="132">
        <f>IF(AND(H1132="L", P1132&gt;=50%), "Pass",
IF(AND(H1132="U", P1132&gt;=60%), "Pass",
IF(AND(H1132="O", P1132&gt;=75%), "Pass", "Fail")))</f>
        <v/>
      </c>
      <c r="R1132" s="104" t="n"/>
      <c r="S1132" s="104" t="n">
        <v>7</v>
      </c>
      <c r="T1132" s="104" t="n">
        <v>4</v>
      </c>
      <c r="U1132" s="104">
        <f>SUM(S1132:T1132)</f>
        <v/>
      </c>
      <c r="V1132" s="12">
        <f>U1132/IF(H1132="L",35,IF(H1132="U",35,IF(H1132="O",35,IF(H1132="I",35,""))))</f>
        <v/>
      </c>
      <c r="W1132" s="132">
        <f>IF(AND(H1132="L", V1132&gt;=50%), "Pass",
IF(AND(H1132="U", V1132&gt;=60%), "Pass",
IF(AND(H1132="O", V1132&gt;=75%), "Pass", "Fail")))</f>
        <v/>
      </c>
      <c r="X1132" s="132">
        <f>IF(AND(Q1132="Pass", W1132="Pass"), "Pass", "Fail")</f>
        <v/>
      </c>
      <c r="Y1132" s="15">
        <f>IF($X1132="Pass",$H1132,
IF(H1132="L","I",
IF(H1132="U","L",
IF(H1132="O","U",
"I"))))</f>
        <v/>
      </c>
    </row>
    <row r="1133">
      <c r="A1133" s="147">
        <f>ROW()-2</f>
        <v/>
      </c>
      <c r="B1133" s="133" t="inlineStr">
        <is>
          <t>SK3698</t>
        </is>
      </c>
      <c r="C1133" s="148" t="inlineStr">
        <is>
          <t>NAGENDRASINGH</t>
        </is>
      </c>
      <c r="D1133" s="127" t="inlineStr">
        <is>
          <t>PRODUCTION</t>
        </is>
      </c>
      <c r="E1133" s="135" t="inlineStr">
        <is>
          <t>TYRE BUILDING-P2</t>
        </is>
      </c>
      <c r="F1133" s="136" t="n">
        <v>45845</v>
      </c>
      <c r="G1133" s="131">
        <f>NOW()-F1133</f>
        <v/>
      </c>
      <c r="H1133" s="104" t="inlineStr">
        <is>
          <t>L</t>
        </is>
      </c>
      <c r="I1133" s="104" t="inlineStr">
        <is>
          <t>I</t>
        </is>
      </c>
      <c r="J1133" s="104" t="n">
        <v>3</v>
      </c>
      <c r="K1133" s="104" t="n">
        <v>4</v>
      </c>
      <c r="L1133" s="104" t="n">
        <v>4</v>
      </c>
      <c r="M1133" s="104" t="n">
        <v>5</v>
      </c>
      <c r="N1133" s="104" t="n"/>
      <c r="O1133" s="104">
        <f>SUM(J1133:N1133)</f>
        <v/>
      </c>
      <c r="P1133" s="12">
        <f>O1133/IF(H1133="L",20,IF(H1133="U",30,IF(H1133="O",40,IF(H1133="I",20,""))))</f>
        <v/>
      </c>
      <c r="Q1133" s="132">
        <f>IF(AND(H1133="L", P1133&gt;=50%), "Pass",
IF(AND(H1133="U", P1133&gt;=60%), "Pass",
IF(AND(H1133="O", P1133&gt;=75%), "Pass", "Fail")))</f>
        <v/>
      </c>
      <c r="R1133" s="104" t="n"/>
      <c r="S1133" s="104" t="n">
        <v>8</v>
      </c>
      <c r="T1133" s="104" t="n">
        <v>7</v>
      </c>
      <c r="U1133" s="104">
        <f>SUM(S1133:T1133)</f>
        <v/>
      </c>
      <c r="V1133" s="12">
        <f>U1133/IF(H1133="L",35,IF(H1133="U",35,IF(H1133="O",35,IF(H1133="I",35,""))))</f>
        <v/>
      </c>
      <c r="W1133" s="132">
        <f>IF(AND(H1133="L", V1133&gt;=50%), "Pass",
IF(AND(H1133="U", V1133&gt;=60%), "Pass",
IF(AND(H1133="O", V1133&gt;=75%), "Pass", "Fail")))</f>
        <v/>
      </c>
      <c r="X1133" s="132">
        <f>IF(AND(Q1133="Pass", W1133="Pass"), "Pass", "Fail")</f>
        <v/>
      </c>
      <c r="Y1133" s="15">
        <f>IF($X1133="Pass",$H1133,
IF(H1133="L","I",
IF(H1133="U","L",
IF(H1133="O","U",
"I"))))</f>
        <v/>
      </c>
    </row>
    <row r="1134">
      <c r="A1134" s="147">
        <f>ROW()-2</f>
        <v/>
      </c>
      <c r="B1134" s="133" t="inlineStr">
        <is>
          <t>SK3699</t>
        </is>
      </c>
      <c r="C1134" s="148" t="inlineStr">
        <is>
          <t>CHOTTU SINGH</t>
        </is>
      </c>
      <c r="D1134" s="127" t="inlineStr">
        <is>
          <t>PRODUCTION</t>
        </is>
      </c>
      <c r="E1134" s="135" t="inlineStr">
        <is>
          <t>TYRE BUILDING-P2</t>
        </is>
      </c>
      <c r="F1134" s="136" t="n">
        <v>45845</v>
      </c>
      <c r="G1134" s="131">
        <f>NOW()-F1134</f>
        <v/>
      </c>
      <c r="H1134" s="104" t="inlineStr">
        <is>
          <t>L</t>
        </is>
      </c>
      <c r="I1134" s="104" t="inlineStr">
        <is>
          <t>I</t>
        </is>
      </c>
      <c r="J1134" s="104" t="n">
        <v>3</v>
      </c>
      <c r="K1134" s="104" t="n">
        <v>3</v>
      </c>
      <c r="L1134" s="104" t="n">
        <v>1</v>
      </c>
      <c r="M1134" s="104" t="n">
        <v>5</v>
      </c>
      <c r="N1134" s="104" t="n"/>
      <c r="O1134" s="104">
        <f>SUM(J1134:N1134)</f>
        <v/>
      </c>
      <c r="P1134" s="12">
        <f>O1134/IF(H1134="L",20,IF(H1134="U",30,IF(H1134="O",40,IF(H1134="I",20,""))))</f>
        <v/>
      </c>
      <c r="Q1134" s="132">
        <f>IF(AND(H1134="L", P1134&gt;=50%), "Pass",
IF(AND(H1134="U", P1134&gt;=60%), "Pass",
IF(AND(H1134="O", P1134&gt;=75%), "Pass", "Fail")))</f>
        <v/>
      </c>
      <c r="R1134" s="104" t="n"/>
      <c r="S1134" s="104" t="n">
        <v>8</v>
      </c>
      <c r="T1134" s="104" t="n">
        <v>5</v>
      </c>
      <c r="U1134" s="104">
        <f>SUM(S1134:T1134)</f>
        <v/>
      </c>
      <c r="V1134" s="12">
        <f>U1134/IF(H1134="L",35,IF(H1134="U",35,IF(H1134="O",35,IF(H1134="I",35,""))))</f>
        <v/>
      </c>
      <c r="W1134" s="132">
        <f>IF(AND(H1134="L", V1134&gt;=50%), "Pass",
IF(AND(H1134="U", V1134&gt;=60%), "Pass",
IF(AND(H1134="O", V1134&gt;=75%), "Pass", "Fail")))</f>
        <v/>
      </c>
      <c r="X1134" s="132">
        <f>IF(AND(Q1134="Pass", W1134="Pass"), "Pass", "Fail")</f>
        <v/>
      </c>
      <c r="Y1134" s="15">
        <f>IF($X1134="Pass",$H1134,
IF(H1134="L","I",
IF(H1134="U","L",
IF(H1134="O","U",
"I"))))</f>
        <v/>
      </c>
      <c r="Z1134" s="82">
        <f>V1134-75%</f>
        <v/>
      </c>
    </row>
    <row r="1135">
      <c r="A1135" s="147">
        <f>ROW()-2</f>
        <v/>
      </c>
      <c r="B1135" s="133" t="inlineStr">
        <is>
          <t>SK3704</t>
        </is>
      </c>
      <c r="C1135" s="148" t="inlineStr">
        <is>
          <t>NARAYAN ORAN</t>
        </is>
      </c>
      <c r="D1135" s="127" t="inlineStr">
        <is>
          <t>PRODUCTION</t>
        </is>
      </c>
      <c r="E1135" s="135" t="inlineStr">
        <is>
          <t>TYRE CURING</t>
        </is>
      </c>
      <c r="F1135" s="136" t="n">
        <v>45854</v>
      </c>
      <c r="G1135" s="131">
        <f>NOW()-F1135</f>
        <v/>
      </c>
      <c r="H1135" s="104" t="inlineStr">
        <is>
          <t>L</t>
        </is>
      </c>
      <c r="I1135" s="104" t="inlineStr">
        <is>
          <t>I</t>
        </is>
      </c>
      <c r="J1135" s="104" t="n">
        <v>4</v>
      </c>
      <c r="K1135" s="104" t="n">
        <v>4</v>
      </c>
      <c r="L1135" s="104" t="n">
        <v>4</v>
      </c>
      <c r="M1135" s="104" t="n">
        <v>4</v>
      </c>
      <c r="N1135" s="104" t="n">
        <v>2</v>
      </c>
      <c r="O1135" s="104">
        <f>SUM(J1135:N1135)</f>
        <v/>
      </c>
      <c r="P1135" s="12">
        <f>O1135/IF(H1135="L",20,IF(H1135="U",30,IF(H1135="O",40,IF(H1135="I",20,""))))</f>
        <v/>
      </c>
      <c r="Q1135" s="132">
        <f>IF(AND(H1135="L", P1135&gt;=50%), "Pass",
IF(AND(H1135="U", P1135&gt;=60%), "Pass",
IF(AND(H1135="O", P1135&gt;=75%), "Pass", "Fail")))</f>
        <v/>
      </c>
      <c r="R1135" s="104" t="n"/>
      <c r="S1135" s="104" t="n">
        <v>11</v>
      </c>
      <c r="T1135" s="104" t="n">
        <v>8</v>
      </c>
      <c r="U1135" s="104">
        <f>SUM(S1135:T1135)</f>
        <v/>
      </c>
      <c r="V1135" s="12">
        <f>U1135/IF(H1135="L",35,IF(H1135="U",35,IF(H1135="O",35,IF(H1135="I",35,""))))</f>
        <v/>
      </c>
      <c r="W1135" s="132">
        <f>IF(AND(H1135="L", V1135&gt;=50%), "Pass",
IF(AND(H1135="U", V1135&gt;=60%), "Pass",
IF(AND(H1135="O", V1135&gt;=75%), "Pass", "Fail")))</f>
        <v/>
      </c>
      <c r="X1135" s="132">
        <f>IF(AND(Q1135="Pass", W1135="Pass"), "Pass", "Fail")</f>
        <v/>
      </c>
      <c r="Y1135" s="15">
        <f>IF($X1135="Pass",$H1135,
IF(H1135="L","I",
IF(H1135="U","L",
IF(H1135="O","U",
"I"))))</f>
        <v/>
      </c>
    </row>
    <row r="1136">
      <c r="A1136" s="147">
        <f>ROW()-2</f>
        <v/>
      </c>
      <c r="B1136" s="133" t="inlineStr">
        <is>
          <t>LN0944</t>
        </is>
      </c>
      <c r="C1136" s="148" t="inlineStr">
        <is>
          <t>SHANTHI S</t>
        </is>
      </c>
      <c r="D1136" s="127" t="inlineStr">
        <is>
          <t>PRODUCTION</t>
        </is>
      </c>
      <c r="E1136" s="135" t="inlineStr">
        <is>
          <t>AUTO BIASCUTTER</t>
        </is>
      </c>
      <c r="F1136" s="136" t="n">
        <v>45909</v>
      </c>
      <c r="G1136" s="131">
        <f>NOW()-F1136</f>
        <v/>
      </c>
      <c r="H1136" s="104" t="inlineStr">
        <is>
          <t>L</t>
        </is>
      </c>
      <c r="I1136" s="104" t="inlineStr">
        <is>
          <t>I</t>
        </is>
      </c>
      <c r="J1136" s="104" t="n">
        <v>5</v>
      </c>
      <c r="K1136" s="104" t="n">
        <v>2</v>
      </c>
      <c r="L1136" s="104" t="n">
        <v>4</v>
      </c>
      <c r="M1136" s="104" t="n">
        <v>4</v>
      </c>
      <c r="N1136" s="104" t="n"/>
      <c r="O1136" s="104">
        <f>SUM(J1136:N1136)</f>
        <v/>
      </c>
      <c r="P1136" s="12">
        <f>O1136/IF(H1136="L",20,IF(H1136="U",30,IF(H1136="O",40,IF(H1136="I",20,""))))</f>
        <v/>
      </c>
      <c r="Q1136" s="132">
        <f>IF(AND(H1136="L", P1136&gt;=50%), "Pass",
IF(AND(H1136="U", P1136&gt;=60%), "Pass",
IF(AND(H1136="O", P1136&gt;=75%), "Pass", "Fail")))</f>
        <v/>
      </c>
      <c r="R1136" s="104" t="n"/>
      <c r="S1136" s="104" t="n">
        <v>13</v>
      </c>
      <c r="T1136" s="104" t="n">
        <v>9</v>
      </c>
      <c r="U1136" s="104">
        <f>SUM(S1136:T1136)</f>
        <v/>
      </c>
      <c r="V1136" s="12">
        <f>U1136/IF(H1136="L",35,IF(H1136="U",35,IF(H1136="O",35,IF(H1136="I",35,""))))</f>
        <v/>
      </c>
      <c r="W1136" s="132">
        <f>IF(AND(H1136="L", V1136&gt;=50%), "Pass",
IF(AND(H1136="U", V1136&gt;=60%), "Pass",
IF(AND(H1136="O", V1136&gt;=75%), "Pass", "Fail")))</f>
        <v/>
      </c>
      <c r="X1136" s="132">
        <f>IF(AND(Q1136="Pass", W1136="Pass"), "Pass", "Fail")</f>
        <v/>
      </c>
      <c r="Y1136" s="15">
        <f>IF($X1136="Pass",$H1136,
IF(H1136="L","I",
IF(H1136="U","L",
IF(H1136="O","U",
"I"))))</f>
        <v/>
      </c>
    </row>
    <row r="1137">
      <c r="A1137" s="147">
        <f>ROW()-2</f>
        <v/>
      </c>
      <c r="B1137" s="133" t="inlineStr">
        <is>
          <t>LN0948</t>
        </is>
      </c>
      <c r="C1137" s="148" t="inlineStr">
        <is>
          <t>ANUSIYA</t>
        </is>
      </c>
      <c r="D1137" s="127" t="inlineStr">
        <is>
          <t>PRODUCTION</t>
        </is>
      </c>
      <c r="E1137" s="135" t="inlineStr">
        <is>
          <t>AUTO BIASCUTTER</t>
        </is>
      </c>
      <c r="F1137" s="136" t="n">
        <v>45909</v>
      </c>
      <c r="G1137" s="131">
        <f>NOW()-F1137</f>
        <v/>
      </c>
      <c r="H1137" s="104" t="inlineStr">
        <is>
          <t>L</t>
        </is>
      </c>
      <c r="I1137" s="104" t="inlineStr">
        <is>
          <t>I</t>
        </is>
      </c>
      <c r="J1137" s="104" t="n">
        <v>5</v>
      </c>
      <c r="K1137" s="104" t="n">
        <v>3</v>
      </c>
      <c r="L1137" s="104" t="n">
        <v>4</v>
      </c>
      <c r="M1137" s="104" t="n">
        <v>4</v>
      </c>
      <c r="N1137" s="104" t="n"/>
      <c r="O1137" s="104">
        <f>SUM(J1137:N1137)</f>
        <v/>
      </c>
      <c r="P1137" s="12">
        <f>O1137/IF(H1137="L",20,IF(H1137="U",30,IF(H1137="O",40,IF(H1137="I",20,""))))</f>
        <v/>
      </c>
      <c r="Q1137" s="132">
        <f>IF(AND(H1137="L", P1137&gt;=50%), "Pass",
IF(AND(H1137="U", P1137&gt;=60%), "Pass",
IF(AND(H1137="O", P1137&gt;=75%), "Pass", "Fail")))</f>
        <v/>
      </c>
      <c r="R1137" s="104" t="n"/>
      <c r="S1137" s="104" t="n">
        <v>10</v>
      </c>
      <c r="T1137" s="104" t="n">
        <v>8</v>
      </c>
      <c r="U1137" s="104">
        <f>SUM(S1137:T1137)</f>
        <v/>
      </c>
      <c r="V1137" s="12">
        <f>U1137/IF(H1137="L",35,IF(H1137="U",35,IF(H1137="O",35,IF(H1137="I",35,""))))</f>
        <v/>
      </c>
      <c r="W1137" s="132">
        <f>IF(AND(H1137="L", V1137&gt;=50%), "Pass",
IF(AND(H1137="U", V1137&gt;=60%), "Pass",
IF(AND(H1137="O", V1137&gt;=75%), "Pass", "Fail")))</f>
        <v/>
      </c>
      <c r="X1137" s="132">
        <f>IF(AND(Q1137="Pass", W1137="Pass"), "Pass", "Fail")</f>
        <v/>
      </c>
      <c r="Y1137" s="15">
        <f>IF($X1137="Pass",$H1137,
IF(H1137="L","I",
IF(H1137="U","L",
IF(H1137="O","U",
"I"))))</f>
        <v/>
      </c>
    </row>
    <row r="1138">
      <c r="A1138" s="147">
        <f>ROW()-2</f>
        <v/>
      </c>
      <c r="B1138" s="133" t="inlineStr">
        <is>
          <t>LN0951</t>
        </is>
      </c>
      <c r="C1138" s="148" t="inlineStr">
        <is>
          <t>TAMILSELVI ARUMUGAM</t>
        </is>
      </c>
      <c r="D1138" s="127" t="inlineStr">
        <is>
          <t>PRODUCTION</t>
        </is>
      </c>
      <c r="E1138" s="135" t="inlineStr">
        <is>
          <t>AUTO BIASCUTTER</t>
        </is>
      </c>
      <c r="F1138" s="136" t="n">
        <v>45909</v>
      </c>
      <c r="G1138" s="131">
        <f>NOW()-F1138</f>
        <v/>
      </c>
      <c r="H1138" s="104" t="inlineStr">
        <is>
          <t>L</t>
        </is>
      </c>
      <c r="I1138" s="104" t="inlineStr">
        <is>
          <t>I</t>
        </is>
      </c>
      <c r="J1138" s="104" t="n">
        <v>4</v>
      </c>
      <c r="K1138" s="104" t="n">
        <v>3</v>
      </c>
      <c r="L1138" s="104" t="n">
        <v>3</v>
      </c>
      <c r="M1138" s="104" t="n">
        <v>5</v>
      </c>
      <c r="N1138" s="104" t="n"/>
      <c r="O1138" s="104">
        <f>SUM(J1138:N1138)</f>
        <v/>
      </c>
      <c r="P1138" s="12">
        <f>O1138/IF(H1138="L",20,IF(H1138="U",30,IF(H1138="O",40,IF(H1138="I",20,""))))</f>
        <v/>
      </c>
      <c r="Q1138" s="132">
        <f>IF(AND(H1138="L", P1138&gt;=50%), "Pass",
IF(AND(H1138="U", P1138&gt;=60%), "Pass",
IF(AND(H1138="O", P1138&gt;=75%), "Pass", "Fail")))</f>
        <v/>
      </c>
      <c r="R1138" s="104" t="n"/>
      <c r="S1138" s="104" t="n">
        <v>11</v>
      </c>
      <c r="T1138" s="104" t="n">
        <v>8</v>
      </c>
      <c r="U1138" s="104">
        <f>SUM(S1138:T1138)</f>
        <v/>
      </c>
      <c r="V1138" s="12">
        <f>U1138/IF(H1138="L",35,IF(H1138="U",35,IF(H1138="O",35,IF(H1138="I",35,""))))</f>
        <v/>
      </c>
      <c r="W1138" s="132">
        <f>IF(AND(H1138="L", V1138&gt;=50%), "Pass",
IF(AND(H1138="U", V1138&gt;=60%), "Pass",
IF(AND(H1138="O", V1138&gt;=75%), "Pass", "Fail")))</f>
        <v/>
      </c>
      <c r="X1138" s="132">
        <f>IF(AND(Q1138="Pass", W1138="Pass"), "Pass", "Fail")</f>
        <v/>
      </c>
      <c r="Y1138" s="15">
        <f>IF($X1138="Pass",$H1138,
IF(H1138="L","I",
IF(H1138="U","L",
IF(H1138="O","U",
"I"))))</f>
        <v/>
      </c>
    </row>
    <row r="1139">
      <c r="A1139" s="147">
        <f>ROW()-2</f>
        <v/>
      </c>
      <c r="B1139" s="127" t="inlineStr">
        <is>
          <t>LN0969</t>
        </is>
      </c>
      <c r="C1139" s="128" t="inlineStr">
        <is>
          <t>RAMALAKSHMI</t>
        </is>
      </c>
      <c r="D1139" s="127" t="inlineStr">
        <is>
          <t>PRODUCTION</t>
        </is>
      </c>
      <c r="E1139" s="129" t="inlineStr">
        <is>
          <t>STEELASTIC</t>
        </is>
      </c>
      <c r="F1139" s="130" t="n">
        <v>45915</v>
      </c>
      <c r="G1139" s="131">
        <f>NOW()-F1139</f>
        <v/>
      </c>
      <c r="H1139" s="104" t="inlineStr">
        <is>
          <t>L</t>
        </is>
      </c>
      <c r="I1139" s="104" t="inlineStr">
        <is>
          <t>I</t>
        </is>
      </c>
      <c r="J1139" s="104" t="n">
        <v>5</v>
      </c>
      <c r="K1139" s="104" t="n">
        <v>4</v>
      </c>
      <c r="L1139" s="104" t="n">
        <v>4</v>
      </c>
      <c r="M1139" s="104" t="n">
        <v>5</v>
      </c>
      <c r="N1139" s="104" t="n"/>
      <c r="O1139" s="104">
        <f>SUM(J1139:N1139)</f>
        <v/>
      </c>
      <c r="P1139" s="12">
        <f>O1139/IF(H1139="L",20,IF(H1139="U",30,IF(H1139="O",40,IF(H1139="I",20,""))))</f>
        <v/>
      </c>
      <c r="Q1139" s="132">
        <f>IF(AND(H1139="L", P1139&gt;=50%), "Pass",
IF(AND(H1139="U", P1139&gt;=60%), "Pass",
IF(AND(H1139="O", P1139&gt;=75%), "Pass", "Fail")))</f>
        <v/>
      </c>
      <c r="R1139" s="104" t="n"/>
      <c r="S1139" s="104" t="n">
        <v>13</v>
      </c>
      <c r="T1139" s="104" t="n">
        <v>11</v>
      </c>
      <c r="U1139" s="104">
        <f>SUM(S1139:T1139)</f>
        <v/>
      </c>
      <c r="V1139" s="12">
        <f>U1139/IF(H1139="L",35,IF(H1139="U",35,IF(H1139="O",35,IF(H1139="I",35,""))))</f>
        <v/>
      </c>
      <c r="W1139" s="132">
        <f>IF(AND(H1139="L", V1139&gt;=50%), "Pass",
IF(AND(H1139="U", V1139&gt;=60%), "Pass",
IF(AND(H1139="O", V1139&gt;=75%), "Pass", "Fail")))</f>
        <v/>
      </c>
      <c r="X1139" s="132">
        <f>IF(AND(Q1139="Pass", W1139="Pass"), "Pass", "Fail")</f>
        <v/>
      </c>
      <c r="Y1139" s="15">
        <f>IF($X1139="Pass",$H1139,
IF(H1139="L","I",
IF(H1139="U","L",
IF(H1139="O","U",
"I"))))</f>
        <v/>
      </c>
    </row>
    <row r="1140">
      <c r="A1140" s="147">
        <f>ROW()-2</f>
        <v/>
      </c>
      <c r="B1140" s="127" t="inlineStr">
        <is>
          <t>LN0977</t>
        </is>
      </c>
      <c r="C1140" s="128" t="inlineStr">
        <is>
          <t>JERALD D</t>
        </is>
      </c>
      <c r="D1140" s="127" t="inlineStr">
        <is>
          <t>PRODUCTION</t>
        </is>
      </c>
      <c r="E1140" s="129" t="inlineStr">
        <is>
          <t>BEAD WINDING</t>
        </is>
      </c>
      <c r="F1140" s="130" t="n">
        <v>45936</v>
      </c>
      <c r="G1140" s="131">
        <f>NOW()-F1140</f>
        <v/>
      </c>
      <c r="H1140" s="104" t="inlineStr">
        <is>
          <t>L</t>
        </is>
      </c>
      <c r="I1140" s="104" t="inlineStr">
        <is>
          <t>I</t>
        </is>
      </c>
      <c r="J1140" s="104" t="n">
        <v>3</v>
      </c>
      <c r="K1140" s="104" t="n">
        <v>1</v>
      </c>
      <c r="L1140" s="104" t="n">
        <v>3</v>
      </c>
      <c r="M1140" s="104" t="n">
        <v>4</v>
      </c>
      <c r="N1140" s="104" t="n"/>
      <c r="O1140" s="104">
        <f>SUM(J1140:N1140)</f>
        <v/>
      </c>
      <c r="P1140" s="12">
        <f>O1140/IF(H1140="L",20,IF(H1140="U",30,IF(H1140="O",40,IF(H1140="I",20,""))))</f>
        <v/>
      </c>
      <c r="Q1140" s="132">
        <f>IF(AND(H1140="L", P1140&gt;=50%), "Pass",
IF(AND(H1140="U", P1140&gt;=60%), "Pass",
IF(AND(H1140="O", P1140&gt;=75%), "Pass", "Fail")))</f>
        <v/>
      </c>
      <c r="R1140" s="104" t="n"/>
      <c r="S1140" s="104" t="n">
        <v>12</v>
      </c>
      <c r="T1140" s="104" t="n">
        <v>8</v>
      </c>
      <c r="U1140" s="104">
        <f>SUM(S1140:T1140)</f>
        <v/>
      </c>
      <c r="V1140" s="12">
        <f>U1140/IF(H1140="L",35,IF(H1140="U",35,IF(H1140="O",35,IF(H1140="I",35,""))))</f>
        <v/>
      </c>
      <c r="W1140" s="132">
        <f>IF(AND(H1140="L", V1140&gt;=50%), "Pass",
IF(AND(H1140="U", V1140&gt;=60%), "Pass",
IF(AND(H1140="O", V1140&gt;=75%), "Pass", "Fail")))</f>
        <v/>
      </c>
      <c r="X1140" s="132">
        <f>IF(AND(Q1140="Pass", W1140="Pass"), "Pass", "Fail")</f>
        <v/>
      </c>
      <c r="Y1140" s="15">
        <f>IF($X1140="Pass",$H1140,
IF(H1140="L","I",
IF(H1140="U","L",
IF(H1140="O","U",
"I"))))</f>
        <v/>
      </c>
    </row>
    <row r="1141">
      <c r="A1141" s="147">
        <f>ROW()-2</f>
        <v/>
      </c>
      <c r="B1141" s="133" t="inlineStr">
        <is>
          <t>SK3707</t>
        </is>
      </c>
      <c r="C1141" s="148" t="inlineStr">
        <is>
          <t>ROUKI KUMAR</t>
        </is>
      </c>
      <c r="D1141" s="127" t="inlineStr">
        <is>
          <t>PRODUCTION</t>
        </is>
      </c>
      <c r="E1141" s="135" t="inlineStr">
        <is>
          <t>TYRE BUILDING-P3</t>
        </is>
      </c>
      <c r="F1141" s="136" t="n">
        <v>45965</v>
      </c>
      <c r="G1141" s="131">
        <f>NOW()-F1141</f>
        <v/>
      </c>
      <c r="H1141" s="104" t="inlineStr">
        <is>
          <t>L</t>
        </is>
      </c>
      <c r="I1141" s="104" t="inlineStr">
        <is>
          <t>I</t>
        </is>
      </c>
      <c r="J1141" s="104" t="n">
        <v>5</v>
      </c>
      <c r="K1141" s="104" t="n">
        <v>5</v>
      </c>
      <c r="L1141" s="104" t="n">
        <v>4</v>
      </c>
      <c r="M1141" s="104" t="n">
        <v>5</v>
      </c>
      <c r="N1141" s="104" t="n"/>
      <c r="O1141" s="104">
        <f>SUM(J1141:N1141)</f>
        <v/>
      </c>
      <c r="P1141" s="12">
        <f>O1141/IF(H1141="L",20,IF(H1141="U",30,IF(H1141="O",40,IF(H1141="I",20,""))))</f>
        <v/>
      </c>
      <c r="Q1141" s="132">
        <f>IF(AND(H1141="L", P1141&gt;=50%), "Pass",
IF(AND(H1141="U", P1141&gt;=60%), "Pass",
IF(AND(H1141="O", P1141&gt;=75%), "Pass", "Fail")))</f>
        <v/>
      </c>
      <c r="R1141" s="104" t="n"/>
      <c r="S1141" s="104" t="n">
        <v>17</v>
      </c>
      <c r="T1141" s="104" t="n">
        <v>14</v>
      </c>
      <c r="U1141" s="104">
        <f>SUM(S1141:T1141)</f>
        <v/>
      </c>
      <c r="V1141" s="12">
        <f>U1141/IF(H1141="L",35,IF(H1141="U",35,IF(H1141="O",35,IF(H1141="I",35,""))))</f>
        <v/>
      </c>
      <c r="W1141" s="132">
        <f>IF(AND(H1141="L", V1141&gt;=50%), "Pass",
IF(AND(H1141="U", V1141&gt;=60%), "Pass",
IF(AND(H1141="O", V1141&gt;=75%), "Pass", "Fail")))</f>
        <v/>
      </c>
      <c r="X1141" s="132">
        <f>IF(AND(Q1141="Pass", W1141="Pass"), "Pass", "Fail")</f>
        <v/>
      </c>
      <c r="Y1141" s="15">
        <f>IF($X1141="Pass",$H1141,
IF(H1141="L","I",
IF(H1141="U","L",
IF(H1141="O","U",
"I"))))</f>
        <v/>
      </c>
    </row>
    <row r="1142">
      <c r="A1142" s="147">
        <f>ROW()-2</f>
        <v/>
      </c>
      <c r="B1142" s="133" t="inlineStr">
        <is>
          <t>LN1035</t>
        </is>
      </c>
      <c r="C1142" s="148" t="inlineStr">
        <is>
          <t>SURYA S</t>
        </is>
      </c>
      <c r="D1142" s="127" t="inlineStr">
        <is>
          <t>PRODUCTION</t>
        </is>
      </c>
      <c r="E1142" s="135" t="inlineStr">
        <is>
          <t>TYRE BUILDING-P3</t>
        </is>
      </c>
      <c r="F1142" s="136" t="n">
        <v>45968</v>
      </c>
      <c r="G1142" s="131">
        <f>NOW()-F1142</f>
        <v/>
      </c>
      <c r="H1142" s="104" t="inlineStr">
        <is>
          <t>L</t>
        </is>
      </c>
      <c r="I1142" s="104" t="inlineStr">
        <is>
          <t>I</t>
        </is>
      </c>
      <c r="J1142" s="104" t="n">
        <v>5</v>
      </c>
      <c r="K1142" s="104" t="n">
        <v>4</v>
      </c>
      <c r="L1142" s="104" t="n">
        <v>4</v>
      </c>
      <c r="M1142" s="104" t="n">
        <v>5</v>
      </c>
      <c r="N1142" s="104" t="n"/>
      <c r="O1142" s="104">
        <f>SUM(J1142:N1142)</f>
        <v/>
      </c>
      <c r="P1142" s="12">
        <f>O1142/IF(H1142="L",20,IF(H1142="U",30,IF(H1142="O",40,IF(H1142="I",20,""))))</f>
        <v/>
      </c>
      <c r="Q1142" s="132">
        <f>IF(AND(H1142="L", P1142&gt;=50%), "Pass",
IF(AND(H1142="U", P1142&gt;=60%), "Pass",
IF(AND(H1142="O", P1142&gt;=75%), "Pass", "Fail")))</f>
        <v/>
      </c>
      <c r="R1142" s="104" t="n"/>
      <c r="S1142" s="104" t="n">
        <v>19</v>
      </c>
      <c r="T1142" s="104" t="n">
        <v>13</v>
      </c>
      <c r="U1142" s="104">
        <f>SUM(S1142:T1142)</f>
        <v/>
      </c>
      <c r="V1142" s="12">
        <f>U1142/IF(H1142="L",35,IF(H1142="U",35,IF(H1142="O",35,IF(H1142="I",35,""))))</f>
        <v/>
      </c>
      <c r="W1142" s="132">
        <f>IF(AND(H1142="L", V1142&gt;=50%), "Pass",
IF(AND(H1142="U", V1142&gt;=60%), "Pass",
IF(AND(H1142="O", V1142&gt;=75%), "Pass", "Fail")))</f>
        <v/>
      </c>
      <c r="X1142" s="132">
        <f>IF(AND(Q1142="Pass", W1142="Pass"), "Pass", "Fail")</f>
        <v/>
      </c>
      <c r="Y1142" s="15">
        <f>IF($X1142="Pass",$H1142,
IF(H1142="L","I",
IF(H1142="U","L",
IF(H1142="O","U",
"I"))))</f>
        <v/>
      </c>
    </row>
    <row r="1143">
      <c r="A1143" s="147">
        <f>ROW()-2</f>
        <v/>
      </c>
      <c r="B1143" s="127" t="inlineStr">
        <is>
          <t>LN1046</t>
        </is>
      </c>
      <c r="C1143" s="128" t="inlineStr">
        <is>
          <t>SUBRAMANIAN S</t>
        </is>
      </c>
      <c r="D1143" s="127" t="inlineStr">
        <is>
          <t>PRODUCTION</t>
        </is>
      </c>
      <c r="E1143" s="129" t="inlineStr">
        <is>
          <t>TYRE CURING</t>
        </is>
      </c>
      <c r="F1143" s="130" t="n">
        <v>45974</v>
      </c>
      <c r="G1143" s="131">
        <f>NOW()-F1143</f>
        <v/>
      </c>
      <c r="H1143" s="104" t="inlineStr">
        <is>
          <t>L</t>
        </is>
      </c>
      <c r="I1143" s="104" t="inlineStr">
        <is>
          <t>I</t>
        </is>
      </c>
      <c r="J1143" s="104" t="n">
        <v>4</v>
      </c>
      <c r="K1143" s="104" t="n">
        <v>3</v>
      </c>
      <c r="L1143" s="104" t="n">
        <v>3</v>
      </c>
      <c r="M1143" s="104" t="n">
        <v>4</v>
      </c>
      <c r="N1143" s="104" t="n">
        <v>1</v>
      </c>
      <c r="O1143" s="104">
        <f>SUM(J1143:N1143)</f>
        <v/>
      </c>
      <c r="P1143" s="12">
        <f>O1143/IF(H1143="L",20,IF(H1143="U",30,IF(H1143="O",40,IF(H1143="I",20,""))))</f>
        <v/>
      </c>
      <c r="Q1143" s="132">
        <f>IF(AND(H1143="L", P1143&gt;=50%), "Pass",
IF(AND(H1143="U", P1143&gt;=60%), "Pass",
IF(AND(H1143="O", P1143&gt;=75%), "Pass", "Fail")))</f>
        <v/>
      </c>
      <c r="R1143" s="104" t="n"/>
      <c r="S1143" s="104" t="n">
        <v>11</v>
      </c>
      <c r="T1143" s="104" t="n">
        <v>8</v>
      </c>
      <c r="U1143" s="104">
        <f>SUM(S1143:T1143)</f>
        <v/>
      </c>
      <c r="V1143" s="12">
        <f>U1143/IF(H1143="L",35,IF(H1143="U",35,IF(H1143="O",35,IF(H1143="I",35,""))))</f>
        <v/>
      </c>
      <c r="W1143" s="132">
        <f>IF(AND(H1143="L", V1143&gt;=50%), "Pass",
IF(AND(H1143="U", V1143&gt;=60%), "Pass",
IF(AND(H1143="O", V1143&gt;=75%), "Pass", "Fail")))</f>
        <v/>
      </c>
      <c r="X1143" s="132">
        <f>IF(AND(Q1143="Pass", W1143="Pass"), "Pass", "Fail")</f>
        <v/>
      </c>
      <c r="Y1143" s="15">
        <f>IF($X1143="Pass",$H1143,
IF(H1143="L","I",
IF(H1143="U","L",
IF(H1143="O","U",
"I"))))</f>
        <v/>
      </c>
    </row>
    <row r="1144">
      <c r="A1144" s="147">
        <f>ROW()-2</f>
        <v/>
      </c>
      <c r="B1144" s="127" t="inlineStr">
        <is>
          <t>SK3709</t>
        </is>
      </c>
      <c r="C1144" s="128" t="inlineStr">
        <is>
          <t>ARVIND KUMAR</t>
        </is>
      </c>
      <c r="D1144" s="127" t="inlineStr">
        <is>
          <t>PRODUCTION</t>
        </is>
      </c>
      <c r="E1144" s="129" t="inlineStr">
        <is>
          <t>TYRE CURING</t>
        </is>
      </c>
      <c r="F1144" s="130" t="n">
        <v>45974</v>
      </c>
      <c r="G1144" s="131">
        <f>NOW()-F1144</f>
        <v/>
      </c>
      <c r="H1144" s="104" t="inlineStr">
        <is>
          <t>L</t>
        </is>
      </c>
      <c r="I1144" s="104" t="inlineStr">
        <is>
          <t>I</t>
        </is>
      </c>
      <c r="J1144" s="104" t="n">
        <v>4</v>
      </c>
      <c r="K1144" s="104" t="n">
        <v>3</v>
      </c>
      <c r="L1144" s="104" t="n">
        <v>3</v>
      </c>
      <c r="M1144" s="104" t="n">
        <v>4</v>
      </c>
      <c r="N1144" s="104" t="n">
        <v>2</v>
      </c>
      <c r="O1144" s="104">
        <f>SUM(J1144:N1144)</f>
        <v/>
      </c>
      <c r="P1144" s="12">
        <f>O1144/IF(H1144="L",20,IF(H1144="U",30,IF(H1144="O",40,IF(H1144="I",20,""))))</f>
        <v/>
      </c>
      <c r="Q1144" s="132">
        <f>IF(AND(H1144="L", P1144&gt;=50%), "Pass",
IF(AND(H1144="U", P1144&gt;=60%), "Pass",
IF(AND(H1144="O", P1144&gt;=75%), "Pass", "Fail")))</f>
        <v/>
      </c>
      <c r="R1144" s="104" t="n"/>
      <c r="S1144" s="104" t="n">
        <v>9</v>
      </c>
      <c r="T1144" s="104" t="n">
        <v>8</v>
      </c>
      <c r="U1144" s="104">
        <f>SUM(S1144:T1144)</f>
        <v/>
      </c>
      <c r="V1144" s="12">
        <f>U1144/IF(H1144="L",35,IF(H1144="U",35,IF(H1144="O",35,IF(H1144="I",35,""))))</f>
        <v/>
      </c>
      <c r="W1144" s="132">
        <f>IF(AND(H1144="L", V1144&gt;=50%), "Pass",
IF(AND(H1144="U", V1144&gt;=60%), "Pass",
IF(AND(H1144="O", V1144&gt;=75%), "Pass", "Fail")))</f>
        <v/>
      </c>
      <c r="X1144" s="132">
        <f>IF(AND(Q1144="Pass", W1144="Pass"), "Pass", "Fail")</f>
        <v/>
      </c>
      <c r="Y1144" s="15">
        <f>IF($X1144="Pass",$H1144,
IF(H1144="L","I",
IF(H1144="U","L",
IF(H1144="O","U",
"I"))))</f>
        <v/>
      </c>
    </row>
    <row r="1145">
      <c r="A1145" s="147">
        <f>ROW()-2</f>
        <v/>
      </c>
      <c r="B1145" s="133" t="inlineStr">
        <is>
          <t>LN1092</t>
        </is>
      </c>
      <c r="C1145" s="148" t="inlineStr">
        <is>
          <t>KARTHICK</t>
        </is>
      </c>
      <c r="D1145" s="127" t="inlineStr">
        <is>
          <t>PRODUCTION</t>
        </is>
      </c>
      <c r="E1145" s="135" t="inlineStr">
        <is>
          <t>TYRE CURING</t>
        </is>
      </c>
      <c r="F1145" s="136" t="n">
        <v>45994</v>
      </c>
      <c r="G1145" s="131">
        <f>NOW()-F1145</f>
        <v/>
      </c>
      <c r="H1145" s="104" t="inlineStr">
        <is>
          <t>L</t>
        </is>
      </c>
      <c r="I1145" s="104" t="inlineStr">
        <is>
          <t>I</t>
        </is>
      </c>
      <c r="J1145" s="104" t="n">
        <v>4</v>
      </c>
      <c r="K1145" s="104" t="n">
        <v>4</v>
      </c>
      <c r="L1145" s="104" t="n">
        <v>3</v>
      </c>
      <c r="M1145" s="104" t="n">
        <v>2</v>
      </c>
      <c r="N1145" s="104" t="n">
        <v>1</v>
      </c>
      <c r="O1145" s="104">
        <f>SUM(J1145:N1145)</f>
        <v/>
      </c>
      <c r="P1145" s="12">
        <f>O1145/IF(H1145="L",20,IF(H1145="U",30,IF(H1145="O",40,IF(H1145="I",20,""))))</f>
        <v/>
      </c>
      <c r="Q1145" s="132">
        <f>IF(AND(H1145="L", P1145&gt;=50%), "Pass",
IF(AND(H1145="U", P1145&gt;=60%), "Pass",
IF(AND(H1145="O", P1145&gt;=75%), "Pass", "Fail")))</f>
        <v/>
      </c>
      <c r="R1145" s="104" t="n"/>
      <c r="S1145" s="104" t="n">
        <v>12</v>
      </c>
      <c r="T1145" s="104" t="n">
        <v>9</v>
      </c>
      <c r="U1145" s="104">
        <f>SUM(S1145:T1145)</f>
        <v/>
      </c>
      <c r="V1145" s="12">
        <f>U1145/IF(H1145="L",35,IF(H1145="U",35,IF(H1145="O",35,IF(H1145="I",35,""))))</f>
        <v/>
      </c>
      <c r="W1145" s="132">
        <f>IF(AND(H1145="L", V1145&gt;=50%), "Pass",
IF(AND(H1145="U", V1145&gt;=60%), "Pass",
IF(AND(H1145="O", V1145&gt;=75%), "Pass", "Fail")))</f>
        <v/>
      </c>
      <c r="X1145" s="132">
        <f>IF(AND(Q1145="Pass", W1145="Pass"), "Pass", "Fail")</f>
        <v/>
      </c>
      <c r="Y1145" s="15">
        <f>IF($X1145="Pass",$H1145,
IF(H1145="L","I",
IF(H1145="U","L",
IF(H1145="O","U",
"I"))))</f>
        <v/>
      </c>
    </row>
    <row r="1146">
      <c r="A1146" s="147">
        <f>ROW()-2</f>
        <v/>
      </c>
      <c r="B1146" s="133" t="inlineStr">
        <is>
          <t>SK3715</t>
        </is>
      </c>
      <c r="C1146" s="148" t="inlineStr">
        <is>
          <t>SURAJ ORAON</t>
        </is>
      </c>
      <c r="D1146" s="127" t="inlineStr">
        <is>
          <t>PRODUCTION</t>
        </is>
      </c>
      <c r="E1146" s="135" t="inlineStr">
        <is>
          <t>TYRE BUILDING-P2</t>
        </is>
      </c>
      <c r="F1146" s="136" t="n">
        <v>45997</v>
      </c>
      <c r="G1146" s="131">
        <f>NOW()-F1146</f>
        <v/>
      </c>
      <c r="H1146" s="104" t="inlineStr">
        <is>
          <t>L</t>
        </is>
      </c>
      <c r="I1146" s="104" t="inlineStr">
        <is>
          <t>I</t>
        </is>
      </c>
      <c r="J1146" s="104" t="n">
        <v>3</v>
      </c>
      <c r="K1146" s="104" t="n">
        <v>2</v>
      </c>
      <c r="L1146" s="104" t="n">
        <v>3</v>
      </c>
      <c r="M1146" s="104" t="n">
        <v>5</v>
      </c>
      <c r="N1146" s="104" t="n"/>
      <c r="O1146" s="104">
        <f>SUM(J1146:N1146)</f>
        <v/>
      </c>
      <c r="P1146" s="12">
        <f>O1146/IF(H1146="L",20,IF(H1146="U",30,IF(H1146="O",40,IF(H1146="I",20,""))))</f>
        <v/>
      </c>
      <c r="Q1146" s="132">
        <f>IF(AND(H1146="L", P1146&gt;=50%), "Pass",
IF(AND(H1146="U", P1146&gt;=60%), "Pass",
IF(AND(H1146="O", P1146&gt;=75%), "Pass", "Fail")))</f>
        <v/>
      </c>
      <c r="R1146" s="104" t="n"/>
      <c r="S1146" s="104" t="n">
        <v>4</v>
      </c>
      <c r="T1146" s="104" t="n">
        <v>4</v>
      </c>
      <c r="U1146" s="104">
        <f>SUM(S1146:T1146)</f>
        <v/>
      </c>
      <c r="V1146" s="12">
        <f>U1146/IF(H1146="L",35,IF(H1146="U",35,IF(H1146="O",35,IF(H1146="I",35,""))))</f>
        <v/>
      </c>
      <c r="W1146" s="132">
        <f>IF(AND(H1146="L", V1146&gt;=50%), "Pass",
IF(AND(H1146="U", V1146&gt;=60%), "Pass",
IF(AND(H1146="O", V1146&gt;=75%), "Pass", "Fail")))</f>
        <v/>
      </c>
      <c r="X1146" s="132">
        <f>IF(AND(Q1146="Pass", W1146="Pass"), "Pass", "Fail")</f>
        <v/>
      </c>
      <c r="Y1146" s="15">
        <f>IF($X1146="Pass",$H1146,
IF(H1146="L","I",
IF(H1146="U","L",
IF(H1146="O","U",
"I"))))</f>
        <v/>
      </c>
    </row>
    <row r="1147">
      <c r="A1147" s="147">
        <f>ROW()-2</f>
        <v/>
      </c>
      <c r="B1147" s="127" t="inlineStr">
        <is>
          <t>LN1099</t>
        </is>
      </c>
      <c r="C1147" s="128" t="inlineStr">
        <is>
          <t>RAMKUMAR</t>
        </is>
      </c>
      <c r="D1147" s="127" t="inlineStr">
        <is>
          <t>PRODUCTION</t>
        </is>
      </c>
      <c r="E1147" s="129" t="inlineStr">
        <is>
          <t>TYRE CURING</t>
        </is>
      </c>
      <c r="F1147" s="130" t="n">
        <v>46000</v>
      </c>
      <c r="G1147" s="131">
        <f>NOW()-F1147</f>
        <v/>
      </c>
      <c r="H1147" s="104" t="inlineStr">
        <is>
          <t>L</t>
        </is>
      </c>
      <c r="I1147" s="104" t="inlineStr">
        <is>
          <t>I</t>
        </is>
      </c>
      <c r="J1147" s="104" t="n">
        <v>4</v>
      </c>
      <c r="K1147" s="104" t="n">
        <v>4</v>
      </c>
      <c r="L1147" s="104" t="n">
        <v>2</v>
      </c>
      <c r="M1147" s="104" t="n">
        <v>3</v>
      </c>
      <c r="N1147" s="104" t="n">
        <v>2</v>
      </c>
      <c r="O1147" s="104">
        <f>SUM(J1147:N1147)</f>
        <v/>
      </c>
      <c r="P1147" s="12">
        <f>O1147/IF(H1147="L",20,IF(H1147="U",30,IF(H1147="O",40,IF(H1147="I",20,""))))</f>
        <v/>
      </c>
      <c r="Q1147" s="132">
        <f>IF(AND(H1147="L", P1147&gt;=50%), "Pass",
IF(AND(H1147="U", P1147&gt;=60%), "Pass",
IF(AND(H1147="O", P1147&gt;=75%), "Pass", "Fail")))</f>
        <v/>
      </c>
      <c r="R1147" s="104" t="n"/>
      <c r="S1147" s="104" t="n">
        <v>13</v>
      </c>
      <c r="T1147" s="104" t="n">
        <v>10</v>
      </c>
      <c r="U1147" s="104">
        <f>SUM(S1147:T1147)</f>
        <v/>
      </c>
      <c r="V1147" s="12">
        <f>U1147/IF(H1147="L",35,IF(H1147="U",35,IF(H1147="O",35,IF(H1147="I",35,""))))</f>
        <v/>
      </c>
      <c r="W1147" s="132">
        <f>IF(AND(H1147="L", V1147&gt;=50%), "Pass",
IF(AND(H1147="U", V1147&gt;=60%), "Pass",
IF(AND(H1147="O", V1147&gt;=75%), "Pass", "Fail")))</f>
        <v/>
      </c>
      <c r="X1147" s="132">
        <f>IF(AND(Q1147="Pass", W1147="Pass"), "Pass", "Fail")</f>
        <v/>
      </c>
      <c r="Y1147" s="15">
        <f>IF($X1147="Pass",$H1147,
IF(H1147="L","I",
IF(H1147="U","L",
IF(H1147="O","U",
"I"))))</f>
        <v/>
      </c>
    </row>
    <row r="1148">
      <c r="A1148" s="147">
        <f>ROW()-2</f>
        <v/>
      </c>
      <c r="B1148" s="127" t="inlineStr">
        <is>
          <t>LN1101</t>
        </is>
      </c>
      <c r="C1148" s="128" t="inlineStr">
        <is>
          <t>PETCHI S</t>
        </is>
      </c>
      <c r="D1148" s="127" t="inlineStr">
        <is>
          <t>PRODUCTION</t>
        </is>
      </c>
      <c r="E1148" s="129" t="inlineStr">
        <is>
          <t>TYRE CURING</t>
        </is>
      </c>
      <c r="F1148" s="130" t="n">
        <v>46001</v>
      </c>
      <c r="G1148" s="131">
        <f>NOW()-F1148</f>
        <v/>
      </c>
      <c r="H1148" s="104" t="inlineStr">
        <is>
          <t>L</t>
        </is>
      </c>
      <c r="I1148" s="104" t="inlineStr">
        <is>
          <t>I</t>
        </is>
      </c>
      <c r="J1148" s="104" t="n">
        <v>4</v>
      </c>
      <c r="K1148" s="104" t="n">
        <v>4</v>
      </c>
      <c r="L1148" s="104" t="n">
        <v>4</v>
      </c>
      <c r="M1148" s="104" t="n">
        <v>4</v>
      </c>
      <c r="N1148" s="104" t="n">
        <v>3</v>
      </c>
      <c r="O1148" s="104">
        <f>SUM(J1148:N1148)</f>
        <v/>
      </c>
      <c r="P1148" s="12">
        <f>O1148/IF(H1148="L",20,IF(H1148="U",30,IF(H1148="O",40,IF(H1148="I",20,""))))</f>
        <v/>
      </c>
      <c r="Q1148" s="132">
        <f>IF(AND(H1148="L", P1148&gt;=50%), "Pass",
IF(AND(H1148="U", P1148&gt;=60%), "Pass",
IF(AND(H1148="O", P1148&gt;=75%), "Pass", "Fail")))</f>
        <v/>
      </c>
      <c r="R1148" s="104" t="n"/>
      <c r="S1148" s="104" t="n">
        <v>15</v>
      </c>
      <c r="T1148" s="104" t="n">
        <v>12</v>
      </c>
      <c r="U1148" s="104">
        <f>SUM(S1148:T1148)</f>
        <v/>
      </c>
      <c r="V1148" s="12">
        <f>U1148/IF(H1148="L",35,IF(H1148="U",35,IF(H1148="O",35,IF(H1148="I",35,""))))</f>
        <v/>
      </c>
      <c r="W1148" s="132">
        <f>IF(AND(H1148="L", V1148&gt;=50%), "Pass",
IF(AND(H1148="U", V1148&gt;=60%), "Pass",
IF(AND(H1148="O", V1148&gt;=75%), "Pass", "Fail")))</f>
        <v/>
      </c>
      <c r="X1148" s="132">
        <f>IF(AND(Q1148="Pass", W1148="Pass"), "Pass", "Fail")</f>
        <v/>
      </c>
      <c r="Y1148" s="15">
        <f>IF($X1148="Pass",$H1148,
IF(H1148="L","I",
IF(H1148="U","L",
IF(H1148="O","U",
"I"))))</f>
        <v/>
      </c>
    </row>
    <row r="1149">
      <c r="A1149" s="147">
        <f>ROW()-2</f>
        <v/>
      </c>
      <c r="B1149" s="133" t="inlineStr">
        <is>
          <t>LN1122</t>
        </is>
      </c>
      <c r="C1149" s="148" t="inlineStr">
        <is>
          <t>JEBASTIN</t>
        </is>
      </c>
      <c r="D1149" s="133" t="inlineStr">
        <is>
          <t>PRODUCTION</t>
        </is>
      </c>
      <c r="E1149" s="135" t="inlineStr">
        <is>
          <t>TYRE BUILDING-P3</t>
        </is>
      </c>
      <c r="F1149" s="136" t="n">
        <v>46027</v>
      </c>
      <c r="G1149" s="131">
        <f>NOW()-F1149</f>
        <v/>
      </c>
      <c r="H1149" s="104" t="inlineStr">
        <is>
          <t>L</t>
        </is>
      </c>
      <c r="I1149" s="104" t="inlineStr">
        <is>
          <t>I</t>
        </is>
      </c>
      <c r="J1149" s="104" t="n">
        <v>5</v>
      </c>
      <c r="K1149" s="104" t="n">
        <v>4</v>
      </c>
      <c r="L1149" s="104" t="n">
        <v>5</v>
      </c>
      <c r="M1149" s="104" t="n">
        <v>4</v>
      </c>
      <c r="N1149" s="104" t="n"/>
      <c r="O1149" s="104">
        <f>SUM(J1149:N1149)</f>
        <v/>
      </c>
      <c r="P1149" s="12">
        <f>O1149/IF(H1149="L",20,IF(H1149="U",30,IF(H1149="O",40,IF(H1149="I",20,""))))</f>
        <v/>
      </c>
      <c r="Q1149" s="132">
        <f>IF(AND(H1149="L", P1149&gt;=50%), "Pass",
IF(AND(H1149="U", P1149&gt;=60%), "Pass",
IF(AND(H1149="O", P1149&gt;=75%), "Pass", "Fail")))</f>
        <v/>
      </c>
      <c r="R1149" s="104" t="n"/>
      <c r="S1149" s="104" t="n">
        <v>18</v>
      </c>
      <c r="T1149" s="104" t="n">
        <v>14</v>
      </c>
      <c r="U1149" s="104">
        <f>SUM(S1149:T1149)</f>
        <v/>
      </c>
      <c r="V1149" s="12">
        <f>U1149/IF(H1149="L",35,IF(H1149="U",35,IF(H1149="O",35,IF(H1149="I",35,""))))</f>
        <v/>
      </c>
      <c r="W1149" s="132">
        <f>IF(AND(H1149="L", V1149&gt;=50%), "Pass",
IF(AND(H1149="U", V1149&gt;=60%), "Pass",
IF(AND(H1149="O", V1149&gt;=75%), "Pass", "Fail")))</f>
        <v/>
      </c>
      <c r="X1149" s="132">
        <f>IF(AND(Q1149="Pass", W1149="Pass"), "Pass", "Fail")</f>
        <v/>
      </c>
      <c r="Y1149" s="15">
        <f>IF($X1149="Pass",$H1149,
IF(H1149="L","I",
IF(H1149="U","L",
IF(H1149="O","U",
"I"))))</f>
        <v/>
      </c>
      <c r="Z1149" s="82" t="n"/>
    </row>
    <row r="1150">
      <c r="A1150" s="147">
        <f>ROW()-2</f>
        <v/>
      </c>
      <c r="B1150" s="133" t="inlineStr">
        <is>
          <t>LN1126</t>
        </is>
      </c>
      <c r="C1150" s="148" t="inlineStr">
        <is>
          <t>MANIKANDAN S</t>
        </is>
      </c>
      <c r="D1150" s="133" t="inlineStr">
        <is>
          <t>PRODUCTION</t>
        </is>
      </c>
      <c r="E1150" s="135" t="inlineStr">
        <is>
          <t>4 ROLL</t>
        </is>
      </c>
      <c r="F1150" s="136" t="n">
        <v>46028</v>
      </c>
      <c r="G1150" s="131">
        <f>NOW()-F1150</f>
        <v/>
      </c>
      <c r="H1150" s="104" t="inlineStr">
        <is>
          <t>L</t>
        </is>
      </c>
      <c r="I1150" s="104" t="inlineStr">
        <is>
          <t>I</t>
        </is>
      </c>
      <c r="J1150" s="104" t="n">
        <v>2</v>
      </c>
      <c r="K1150" s="104" t="n">
        <v>1</v>
      </c>
      <c r="L1150" s="104" t="n">
        <v>5</v>
      </c>
      <c r="M1150" s="104" t="n">
        <v>4</v>
      </c>
      <c r="N1150" s="104" t="n"/>
      <c r="O1150" s="104">
        <f>SUM(J1150:N1150)</f>
        <v/>
      </c>
      <c r="P1150" s="12">
        <f>O1150/IF(H1150="L",20,IF(H1150="U",30,IF(H1150="O",40,IF(H1150="I",20,""))))</f>
        <v/>
      </c>
      <c r="Q1150" s="132">
        <f>IF(AND(H1150="L", P1150&gt;=50%), "Pass",
IF(AND(H1150="U", P1150&gt;=60%), "Pass",
IF(AND(H1150="O", P1150&gt;=75%), "Pass", "Fail")))</f>
        <v/>
      </c>
      <c r="R1150" s="104" t="n"/>
      <c r="S1150" s="104" t="n">
        <v>12</v>
      </c>
      <c r="T1150" s="104" t="n">
        <v>9</v>
      </c>
      <c r="U1150" s="104">
        <f>SUM(S1150:T1150)</f>
        <v/>
      </c>
      <c r="V1150" s="12">
        <f>U1150/IF(H1150="L",35,IF(H1150="U",35,IF(H1150="O",35,IF(H1150="I",35,""))))</f>
        <v/>
      </c>
      <c r="W1150" s="132">
        <f>IF(AND(H1150="L", V1150&gt;=50%), "Pass",
IF(AND(H1150="U", V1150&gt;=60%), "Pass",
IF(AND(H1150="O", V1150&gt;=75%), "Pass", "Fail")))</f>
        <v/>
      </c>
      <c r="X1150" s="132">
        <f>IF(AND(Q1150="Pass", W1150="Pass"), "Pass", "Fail")</f>
        <v/>
      </c>
      <c r="Y1150" s="15">
        <f>IF($X1150="Pass",$H1150,
IF(H1150="L","I",
IF(H1150="U","L",
IF(H1150="O","U",
"I"))))</f>
        <v/>
      </c>
    </row>
    <row r="1151">
      <c r="A1151" s="147">
        <f>ROW()-2</f>
        <v/>
      </c>
      <c r="B1151" s="133" t="inlineStr">
        <is>
          <t>LN1127</t>
        </is>
      </c>
      <c r="C1151" s="148" t="inlineStr">
        <is>
          <t>RAJESHWARI M</t>
        </is>
      </c>
      <c r="D1151" s="133" t="inlineStr">
        <is>
          <t>PRODUCTION</t>
        </is>
      </c>
      <c r="E1151" s="129" t="inlineStr">
        <is>
          <t>SOLID TYRE</t>
        </is>
      </c>
      <c r="F1151" s="136" t="n">
        <v>46028</v>
      </c>
      <c r="G1151" s="131">
        <f>NOW()-F1151</f>
        <v/>
      </c>
      <c r="H1151" s="104" t="inlineStr">
        <is>
          <t>L</t>
        </is>
      </c>
      <c r="I1151" s="104" t="inlineStr">
        <is>
          <t>I</t>
        </is>
      </c>
      <c r="J1151" s="104" t="n">
        <v>2</v>
      </c>
      <c r="K1151" s="104" t="n">
        <v>4</v>
      </c>
      <c r="L1151" s="104" t="n">
        <v>3</v>
      </c>
      <c r="M1151" s="104" t="n">
        <v>1</v>
      </c>
      <c r="N1151" s="104" t="n"/>
      <c r="O1151" s="104">
        <f>SUM(J1151:N1151)</f>
        <v/>
      </c>
      <c r="P1151" s="12">
        <f>O1151/IF(H1151="L",20,IF(H1151="U",30,IF(H1151="O",40,IF(H1151="I",20,""))))</f>
        <v/>
      </c>
      <c r="Q1151" s="132">
        <f>IF(AND(H1151="L", P1151&gt;=50%), "Pass",
IF(AND(H1151="U", P1151&gt;=60%), "Pass",
IF(AND(H1151="O", P1151&gt;=75%), "Pass", "Fail")))</f>
        <v/>
      </c>
      <c r="R1151" s="104" t="n"/>
      <c r="S1151" s="104" t="n">
        <v>10</v>
      </c>
      <c r="T1151" s="104" t="n">
        <v>8</v>
      </c>
      <c r="U1151" s="104">
        <f>SUM(S1151:T1151)</f>
        <v/>
      </c>
      <c r="V1151" s="12">
        <f>U1151/IF(H1151="L",35,IF(H1151="U",35,IF(H1151="O",35,IF(H1151="I",35,""))))</f>
        <v/>
      </c>
      <c r="W1151" s="132">
        <f>IF(AND(H1151="L", V1151&gt;=50%), "Pass",
IF(AND(H1151="U", V1151&gt;=60%), "Pass",
IF(AND(H1151="O", V1151&gt;=75%), "Pass", "Fail")))</f>
        <v/>
      </c>
      <c r="X1151" s="132">
        <f>IF(AND(Q1151="Pass", W1151="Pass"), "Pass", "Fail")</f>
        <v/>
      </c>
      <c r="Y1151" s="15">
        <f>IF($X1151="Pass",$H1151,
IF(H1151="L","I",
IF(H1151="U","L",
IF(H1151="O","U",
"I"))))</f>
        <v/>
      </c>
      <c r="Z1151" s="82">
        <f>V1151-75%</f>
        <v/>
      </c>
    </row>
    <row r="1152">
      <c r="A1152" s="147">
        <f>ROW()-2</f>
        <v/>
      </c>
      <c r="B1152" s="127" t="inlineStr">
        <is>
          <t>SK3721</t>
        </is>
      </c>
      <c r="C1152" s="128" t="inlineStr">
        <is>
          <t>BILCHAND ORAON</t>
        </is>
      </c>
      <c r="D1152" s="127" t="inlineStr">
        <is>
          <t>PRODUCTION</t>
        </is>
      </c>
      <c r="E1152" s="129" t="inlineStr">
        <is>
          <t>TYRE CURING</t>
        </is>
      </c>
      <c r="F1152" s="130" t="n">
        <v>46035</v>
      </c>
      <c r="G1152" s="131">
        <f>NOW()-F1152</f>
        <v/>
      </c>
      <c r="H1152" s="104" t="inlineStr">
        <is>
          <t>L</t>
        </is>
      </c>
      <c r="I1152" s="104" t="inlineStr">
        <is>
          <t>I</t>
        </is>
      </c>
      <c r="J1152" s="104" t="n">
        <v>4</v>
      </c>
      <c r="K1152" s="104" t="n">
        <v>3</v>
      </c>
      <c r="L1152" s="104" t="n">
        <v>4</v>
      </c>
      <c r="M1152" s="104" t="n">
        <v>4</v>
      </c>
      <c r="N1152" s="104" t="n">
        <v>3</v>
      </c>
      <c r="O1152" s="104">
        <f>SUM(J1152:N1152)</f>
        <v/>
      </c>
      <c r="P1152" s="12">
        <f>O1152/IF(H1152="L",20,IF(H1152="U",30,IF(H1152="O",40,IF(H1152="I",20,""))))</f>
        <v/>
      </c>
      <c r="Q1152" s="132">
        <f>IF(AND(H1152="L", P1152&gt;=50%), "Pass",
IF(AND(H1152="U", P1152&gt;=60%), "Pass",
IF(AND(H1152="O", P1152&gt;=75%), "Pass", "Fail")))</f>
        <v/>
      </c>
      <c r="R1152" s="104" t="n"/>
      <c r="S1152" s="104" t="n">
        <v>12</v>
      </c>
      <c r="T1152" s="104" t="n">
        <v>7</v>
      </c>
      <c r="U1152" s="104">
        <f>SUM(S1152:T1152)</f>
        <v/>
      </c>
      <c r="V1152" s="12">
        <f>U1152/IF(H1152="L",35,IF(H1152="U",35,IF(H1152="O",35,IF(H1152="I",35,""))))</f>
        <v/>
      </c>
      <c r="W1152" s="132">
        <f>IF(AND(H1152="L", V1152&gt;=50%), "Pass",
IF(AND(H1152="U", V1152&gt;=60%), "Pass",
IF(AND(H1152="O", V1152&gt;=75%), "Pass", "Fail")))</f>
        <v/>
      </c>
      <c r="X1152" s="132">
        <f>IF(AND(Q1152="Pass", W1152="Pass"), "Pass", "Fail")</f>
        <v/>
      </c>
      <c r="Y1152" s="15">
        <f>IF($X1152="Pass",$H1152,
IF(H1152="L","I",
IF(H1152="U","L",
IF(H1152="O","U",
"I"))))</f>
        <v/>
      </c>
    </row>
    <row r="1153">
      <c r="A1153" s="147">
        <f>ROW()-2</f>
        <v/>
      </c>
      <c r="B1153" s="127" t="inlineStr">
        <is>
          <t>SK3722</t>
        </is>
      </c>
      <c r="C1153" s="128" t="inlineStr">
        <is>
          <t>KISHOR ORAON</t>
        </is>
      </c>
      <c r="D1153" s="127" t="inlineStr">
        <is>
          <t>PRODUCTION</t>
        </is>
      </c>
      <c r="E1153" s="129" t="inlineStr">
        <is>
          <t>TYRE CURING</t>
        </is>
      </c>
      <c r="F1153" s="130" t="n">
        <v>46035</v>
      </c>
      <c r="G1153" s="131">
        <f>NOW()-F1153</f>
        <v/>
      </c>
      <c r="H1153" s="104" t="inlineStr">
        <is>
          <t>L</t>
        </is>
      </c>
      <c r="I1153" s="104" t="inlineStr">
        <is>
          <t>I</t>
        </is>
      </c>
      <c r="J1153" s="104" t="n">
        <v>4</v>
      </c>
      <c r="K1153" s="104" t="n">
        <v>3</v>
      </c>
      <c r="L1153" s="104" t="n">
        <v>4</v>
      </c>
      <c r="M1153" s="104" t="n">
        <v>4</v>
      </c>
      <c r="N1153" s="104" t="n">
        <v>3</v>
      </c>
      <c r="O1153" s="104">
        <f>SUM(J1153:N1153)</f>
        <v/>
      </c>
      <c r="P1153" s="12">
        <f>O1153/IF(H1153="L",20,IF(H1153="U",30,IF(H1153="O",40,IF(H1153="I",20,""))))</f>
        <v/>
      </c>
      <c r="Q1153" s="132">
        <f>IF(AND(H1153="L", P1153&gt;=50%), "Pass",
 IF(AND(H1153="U", P1153&gt;=60%), "Pass",
 IF(AND(H1153="O", P1153&gt;=75%), "Pass", "Fail")))</f>
        <v/>
      </c>
      <c r="R1153" s="104" t="n"/>
      <c r="S1153" s="104" t="n">
        <v>12</v>
      </c>
      <c r="T1153" s="104" t="n">
        <v>9</v>
      </c>
      <c r="U1153" s="104">
        <f>SUM(S1153:T1153)</f>
        <v/>
      </c>
      <c r="V1153" s="12">
        <f>U1153/IF(H1153="L",35,IF(H1153="U",35,IF(H1153="O",35,IF(H1153="I",35,""))))</f>
        <v/>
      </c>
      <c r="W1153" s="132">
        <f>IF(AND(H1153="L", V1153&gt;=50%), "Pass",
 IF(AND(H1153="U", V1153&gt;=60%), "Pass",
 IF(AND(H1153="O", V1153&gt;=75%), "Pass", "Fail")))</f>
        <v/>
      </c>
      <c r="X1153" s="132">
        <f>IF(AND(Q1153="Pass", W1153="Pass"), "Pass", "Fail")</f>
        <v/>
      </c>
      <c r="Y1153" s="15">
        <f>IF($X1153="Pass",$H1153,
IF(H1153="L","I",
IF(H1153="U","L",
IF(H1153="O","U",
"I"))))</f>
        <v/>
      </c>
    </row>
    <row r="1154">
      <c r="A1154" s="147">
        <f>ROW()-2</f>
        <v/>
      </c>
      <c r="B1154" s="133" t="inlineStr">
        <is>
          <t>LN1167</t>
        </is>
      </c>
      <c r="C1154" s="148" t="inlineStr">
        <is>
          <t>PRAVEEN P</t>
        </is>
      </c>
      <c r="D1154" s="133" t="inlineStr">
        <is>
          <t>PRODUCTION</t>
        </is>
      </c>
      <c r="E1154" s="135" t="inlineStr">
        <is>
          <t>TYRE BUILDING-P1</t>
        </is>
      </c>
      <c r="F1154" s="136" t="n">
        <v>46049</v>
      </c>
      <c r="G1154" s="131">
        <f>NOW()-F1154</f>
        <v/>
      </c>
      <c r="H1154" s="104" t="inlineStr">
        <is>
          <t>L</t>
        </is>
      </c>
      <c r="I1154" s="104" t="inlineStr">
        <is>
          <t>I</t>
        </is>
      </c>
      <c r="J1154" s="104" t="n">
        <v>4</v>
      </c>
      <c r="K1154" s="104" t="n">
        <v>5</v>
      </c>
      <c r="L1154" s="104" t="n">
        <v>5</v>
      </c>
      <c r="M1154" s="104" t="n">
        <v>3</v>
      </c>
      <c r="N1154" s="104" t="n"/>
      <c r="O1154" s="104">
        <f>SUM(J1154:N1154)</f>
        <v/>
      </c>
      <c r="P1154" s="12">
        <f>O1154/IF(H1154="L",20,IF(H1154="U",30,IF(H1154="O",40,IF(H1154="I",20,""))))</f>
        <v/>
      </c>
      <c r="Q1154" s="132">
        <f>IF(AND(H1154="L", P1154&gt;=50%), "Pass",
IF(AND(H1154="U", P1154&gt;=60%), "Pass",
IF(AND(H1154="O", P1154&gt;=75%), "Pass", "Fail")))</f>
        <v/>
      </c>
      <c r="R1154" s="104" t="n"/>
      <c r="S1154" s="104" t="n">
        <v>10</v>
      </c>
      <c r="T1154" s="104" t="n">
        <v>6</v>
      </c>
      <c r="U1154" s="104">
        <f>SUM(S1154:T1154)</f>
        <v/>
      </c>
      <c r="V1154" s="12">
        <f>U1154/IF(H1154="L",35,IF(H1154="U",35,IF(H1154="O",35,IF(H1154="I",35,""))))</f>
        <v/>
      </c>
      <c r="W1154" s="132">
        <f>IF(AND(H1154="L", V1154&gt;=50%), "Pass",
IF(AND(H1154="U", V1154&gt;=60%), "Pass",
IF(AND(H1154="O", V1154&gt;=75%), "Pass", "Fail")))</f>
        <v/>
      </c>
      <c r="X1154" s="132">
        <f>IF(AND(Q1154="Pass", W1154="Pass"), "Pass", "Fail")</f>
        <v/>
      </c>
      <c r="Y1154" s="15">
        <f>IF($X1154="Pass",$H1154,
IF(H1154="L","I",
IF(H1154="U","L",
IF(H1154="O","U",
"I"))))</f>
        <v/>
      </c>
    </row>
    <row r="1155">
      <c r="A1155" s="147">
        <f>ROW()-2</f>
        <v/>
      </c>
      <c r="B1155" s="133" t="inlineStr">
        <is>
          <t>UDS1617</t>
        </is>
      </c>
      <c r="C1155" s="148" t="inlineStr">
        <is>
          <t>MUTHUKRISHNAN M</t>
        </is>
      </c>
      <c r="D1155" s="133" t="inlineStr">
        <is>
          <t>PRODUCTION</t>
        </is>
      </c>
      <c r="E1155" s="135" t="inlineStr">
        <is>
          <t>TYRE BUILDING-P3</t>
        </is>
      </c>
      <c r="F1155" s="136" t="n">
        <v>46058</v>
      </c>
      <c r="G1155" s="131">
        <f>NOW()-F1155</f>
        <v/>
      </c>
      <c r="H1155" s="104" t="inlineStr">
        <is>
          <t>L</t>
        </is>
      </c>
      <c r="I1155" s="104" t="inlineStr">
        <is>
          <t>I</t>
        </is>
      </c>
      <c r="J1155" s="104" t="n">
        <v>4</v>
      </c>
      <c r="K1155" s="104" t="n">
        <v>4</v>
      </c>
      <c r="L1155" s="104" t="n">
        <v>5</v>
      </c>
      <c r="M1155" s="104" t="n">
        <v>4</v>
      </c>
      <c r="N1155" s="104" t="n"/>
      <c r="O1155" s="104">
        <f>SUM(J1155:N1155)</f>
        <v/>
      </c>
      <c r="P1155" s="12">
        <f>O1155/IF(H1155="L",20,IF(H1155="U",30,IF(H1155="O",40,IF(H1155="I",20,""))))</f>
        <v/>
      </c>
      <c r="Q1155" s="132">
        <f>IF(AND(H1155="L", P1155&gt;=50%), "Pass",
IF(AND(H1155="U", P1155&gt;=60%), "Pass",
IF(AND(H1155="O", P1155&gt;=75%), "Pass", "Fail")))</f>
        <v/>
      </c>
      <c r="R1155" s="104" t="n"/>
      <c r="S1155" s="104" t="n">
        <v>14</v>
      </c>
      <c r="T1155" s="104" t="n">
        <v>10</v>
      </c>
      <c r="U1155" s="104">
        <f>SUM(S1155:T1155)</f>
        <v/>
      </c>
      <c r="V1155" s="12">
        <f>U1155/IF(H1155="L",35,IF(H1155="U",35,IF(H1155="O",35,IF(H1155="I",35,""))))</f>
        <v/>
      </c>
      <c r="W1155" s="132">
        <f>IF(AND(H1155="L", V1155&gt;=50%), "Pass",
IF(AND(H1155="U", V1155&gt;=60%), "Pass",
IF(AND(H1155="O", V1155&gt;=75%), "Pass", "Fail")))</f>
        <v/>
      </c>
      <c r="X1155" s="132">
        <f>IF(AND(Q1155="Pass", W1155="Pass"), "Pass", "Fail")</f>
        <v/>
      </c>
      <c r="Y1155" s="15">
        <f>IF($X1155="Pass",$H1155,
IF(H1155="L","I",
IF(H1155="U","L",
IF(H1155="O","U",
"I"))))</f>
        <v/>
      </c>
    </row>
    <row r="1156">
      <c r="A1156" s="147">
        <f>ROW()-2</f>
        <v/>
      </c>
      <c r="B1156" s="133" t="inlineStr">
        <is>
          <t>UDS1616</t>
        </is>
      </c>
      <c r="C1156" s="148" t="inlineStr">
        <is>
          <t>MURUGAN P</t>
        </is>
      </c>
      <c r="D1156" s="133" t="inlineStr">
        <is>
          <t>PRODUCTION</t>
        </is>
      </c>
      <c r="E1156" s="135" t="inlineStr">
        <is>
          <t>TYRE BUILDING-P3</t>
        </is>
      </c>
      <c r="F1156" s="136" t="n">
        <v>46059</v>
      </c>
      <c r="G1156" s="131">
        <f>NOW()-F1156</f>
        <v/>
      </c>
      <c r="H1156" s="104" t="inlineStr">
        <is>
          <t>L</t>
        </is>
      </c>
      <c r="I1156" s="104" t="inlineStr">
        <is>
          <t>I</t>
        </is>
      </c>
      <c r="J1156" s="104" t="n">
        <v>4</v>
      </c>
      <c r="K1156" s="104" t="n">
        <v>5</v>
      </c>
      <c r="L1156" s="104" t="n">
        <v>5</v>
      </c>
      <c r="M1156" s="104" t="n">
        <v>5</v>
      </c>
      <c r="N1156" s="104" t="n"/>
      <c r="O1156" s="104">
        <f>SUM(J1156:N1156)</f>
        <v/>
      </c>
      <c r="P1156" s="12">
        <f>O1156/IF(H1156="L",20,IF(H1156="U",30,IF(H1156="O",40,IF(H1156="I",20,""))))</f>
        <v/>
      </c>
      <c r="Q1156" s="132">
        <f>IF(AND(H1156="L", P1156&gt;=50%), "Pass",
IF(AND(H1156="U", P1156&gt;=60%), "Pass",
IF(AND(H1156="O", P1156&gt;=75%), "Pass", "Fail")))</f>
        <v/>
      </c>
      <c r="R1156" s="104" t="n"/>
      <c r="S1156" s="104" t="n">
        <v>16</v>
      </c>
      <c r="T1156" s="104" t="n">
        <v>13</v>
      </c>
      <c r="U1156" s="104">
        <f>SUM(S1156:T1156)</f>
        <v/>
      </c>
      <c r="V1156" s="12">
        <f>U1156/IF(H1156="L",35,IF(H1156="U",35,IF(H1156="O",35,IF(H1156="I",35,""))))</f>
        <v/>
      </c>
      <c r="W1156" s="132">
        <f>IF(AND(H1156="L", V1156&gt;=50%), "Pass",
IF(AND(H1156="U", V1156&gt;=60%), "Pass",
IF(AND(H1156="O", V1156&gt;=75%), "Pass", "Fail")))</f>
        <v/>
      </c>
      <c r="X1156" s="132">
        <f>IF(AND(Q1156="Pass", W1156="Pass"), "Pass", "Fail")</f>
        <v/>
      </c>
      <c r="Y1156" s="15">
        <f>IF($X1156="Pass",$H1156,
IF(H1156="L","I",
IF(H1156="U","L",
IF(H1156="O","U",
"I"))))</f>
        <v/>
      </c>
    </row>
    <row r="1157">
      <c r="A1157" s="147">
        <f>ROW()-2</f>
        <v/>
      </c>
      <c r="B1157" s="133" t="inlineStr">
        <is>
          <t>UDS1619</t>
        </is>
      </c>
      <c r="C1157" s="148" t="inlineStr">
        <is>
          <t xml:space="preserve">THARUNKUMAR </t>
        </is>
      </c>
      <c r="D1157" s="133" t="inlineStr">
        <is>
          <t>PRODUCTION</t>
        </is>
      </c>
      <c r="E1157" s="135" t="inlineStr">
        <is>
          <t>TYRE BUILDING-P3</t>
        </is>
      </c>
      <c r="F1157" s="136" t="n">
        <v>46059</v>
      </c>
      <c r="G1157" s="131">
        <f>NOW()-F1157</f>
        <v/>
      </c>
      <c r="H1157" s="104" t="inlineStr">
        <is>
          <t>L</t>
        </is>
      </c>
      <c r="I1157" s="104" t="inlineStr">
        <is>
          <t>I</t>
        </is>
      </c>
      <c r="J1157" s="104" t="n">
        <v>4</v>
      </c>
      <c r="K1157" s="104" t="n">
        <v>5</v>
      </c>
      <c r="L1157" s="104" t="n">
        <v>5</v>
      </c>
      <c r="M1157" s="104" t="n">
        <v>4</v>
      </c>
      <c r="N1157" s="104" t="n"/>
      <c r="O1157" s="104">
        <f>SUM(J1157:N1157)</f>
        <v/>
      </c>
      <c r="P1157" s="12">
        <f>O1157/IF(H1157="L",20,IF(H1157="U",30,IF(H1157="O",40,IF(H1157="I",20,""))))</f>
        <v/>
      </c>
      <c r="Q1157" s="132">
        <f>IF(AND(H1157="L", P1157&gt;=50%), "Pass",
IF(AND(H1157="U", P1157&gt;=60%), "Pass",
IF(AND(H1157="O", P1157&gt;=75%), "Pass", "Fail")))</f>
        <v/>
      </c>
      <c r="R1157" s="104" t="n"/>
      <c r="S1157" s="104" t="n">
        <v>18</v>
      </c>
      <c r="T1157" s="104" t="n">
        <v>14</v>
      </c>
      <c r="U1157" s="104">
        <f>SUM(S1157:T1157)</f>
        <v/>
      </c>
      <c r="V1157" s="12">
        <f>U1157/IF(H1157="L",35,IF(H1157="U",35,IF(H1157="O",35,IF(H1157="I",35,""))))</f>
        <v/>
      </c>
      <c r="W1157" s="132">
        <f>IF(AND(H1157="L", V1157&gt;=50%), "Pass",
IF(AND(H1157="U", V1157&gt;=60%), "Pass",
IF(AND(H1157="O", V1157&gt;=75%), "Pass", "Fail")))</f>
        <v/>
      </c>
      <c r="X1157" s="132">
        <f>IF(AND(Q1157="Pass", W1157="Pass"), "Pass", "Fail")</f>
        <v/>
      </c>
      <c r="Y1157" s="15">
        <f>IF($X1157="Pass",$H1157,
IF(H1157="L","I",
IF(H1157="U","L",
IF(H1157="O","U",
"I"))))</f>
        <v/>
      </c>
    </row>
    <row r="1158">
      <c r="A1158" s="147">
        <f>ROW()-2</f>
        <v/>
      </c>
      <c r="B1158" s="133" t="inlineStr">
        <is>
          <t>LN1195</t>
        </is>
      </c>
      <c r="C1158" s="148" t="inlineStr">
        <is>
          <t>GOPAL S</t>
        </is>
      </c>
      <c r="D1158" s="133" t="inlineStr">
        <is>
          <t>PRODUCTION</t>
        </is>
      </c>
      <c r="E1158" s="135" t="inlineStr">
        <is>
          <t>TYRE BUILDING-P2</t>
        </is>
      </c>
      <c r="F1158" s="136" t="n">
        <v>46062</v>
      </c>
      <c r="G1158" s="131">
        <f>NOW()-F1158</f>
        <v/>
      </c>
      <c r="H1158" s="104" t="inlineStr">
        <is>
          <t>L</t>
        </is>
      </c>
      <c r="I1158" s="104" t="inlineStr">
        <is>
          <t>I</t>
        </is>
      </c>
      <c r="J1158" s="104" t="n">
        <v>4</v>
      </c>
      <c r="K1158" s="104" t="n">
        <v>4</v>
      </c>
      <c r="L1158" s="104" t="n">
        <v>4</v>
      </c>
      <c r="M1158" s="104" t="n">
        <v>5</v>
      </c>
      <c r="N1158" s="104" t="n"/>
      <c r="O1158" s="104">
        <f>SUM(J1158:N1158)</f>
        <v/>
      </c>
      <c r="P1158" s="12">
        <f>O1158/IF(H1158="L",20,IF(H1158="U",30,IF(H1158="O",40,IF(H1158="I",20,""))))</f>
        <v/>
      </c>
      <c r="Q1158" s="132">
        <f>IF(AND(H1158="L", P1158&gt;=50%), "Pass",
IF(AND(H1158="U", P1158&gt;=60%), "Pass",
IF(AND(H1158="O", P1158&gt;=75%), "Pass", "Fail")))</f>
        <v/>
      </c>
      <c r="R1158" s="104" t="n"/>
      <c r="S1158" s="104" t="n">
        <v>6</v>
      </c>
      <c r="T1158" s="104" t="n">
        <v>4</v>
      </c>
      <c r="U1158" s="104">
        <f>SUM(S1158:T1158)</f>
        <v/>
      </c>
      <c r="V1158" s="12">
        <f>U1158/IF(H1158="L",35,IF(H1158="U",35,IF(H1158="O",35,IF(H1158="I",35,""))))</f>
        <v/>
      </c>
      <c r="W1158" s="132">
        <f>IF(AND(H1158="L", V1158&gt;=50%), "Pass",
IF(AND(H1158="U", V1158&gt;=60%), "Pass",
IF(AND(H1158="O", V1158&gt;=75%), "Pass", "Fail")))</f>
        <v/>
      </c>
      <c r="X1158" s="132">
        <f>IF(AND(Q1158="Pass", W1158="Pass"), "Pass", "Fail")</f>
        <v/>
      </c>
      <c r="Y1158" s="15">
        <f>IF($X1158="Pass",$H1158,
IF(H1158="L","I",
IF(H1158="U","L",
IF(H1158="O","U",
"I"))))</f>
        <v/>
      </c>
    </row>
    <row r="1159">
      <c r="A1159" s="147">
        <f>ROW()-2</f>
        <v/>
      </c>
      <c r="B1159" s="133" t="inlineStr">
        <is>
          <t>UDS1623</t>
        </is>
      </c>
      <c r="C1159" s="148" t="inlineStr">
        <is>
          <t>PRABHU SANKAR V</t>
        </is>
      </c>
      <c r="D1159" s="133" t="inlineStr">
        <is>
          <t>PRODUCTION</t>
        </is>
      </c>
      <c r="E1159" s="135" t="inlineStr">
        <is>
          <t>BIAS CUTTING-5</t>
        </is>
      </c>
      <c r="F1159" s="136" t="n">
        <v>46063</v>
      </c>
      <c r="G1159" s="131">
        <f>NOW()-F1159</f>
        <v/>
      </c>
      <c r="H1159" s="104" t="inlineStr">
        <is>
          <t>L</t>
        </is>
      </c>
      <c r="I1159" s="104" t="inlineStr">
        <is>
          <t>I</t>
        </is>
      </c>
      <c r="J1159" s="104" t="n">
        <v>4</v>
      </c>
      <c r="K1159" s="104" t="n">
        <v>4</v>
      </c>
      <c r="L1159" s="104" t="n">
        <v>5</v>
      </c>
      <c r="M1159" s="104" t="n">
        <v>3</v>
      </c>
      <c r="N1159" s="104" t="n"/>
      <c r="O1159" s="104">
        <f>SUM(J1159:N1159)</f>
        <v/>
      </c>
      <c r="P1159" s="12">
        <f>O1159/IF(H1159="L",20,IF(H1159="U",30,IF(H1159="O",40,IF(H1159="I",20,""))))</f>
        <v/>
      </c>
      <c r="Q1159" s="132">
        <f>IF(AND(H1159="L", P1159&gt;=50%), "Pass",
IF(AND(H1159="U", P1159&gt;=60%), "Pass",
IF(AND(H1159="O", P1159&gt;=75%), "Pass", "Fail")))</f>
        <v/>
      </c>
      <c r="R1159" s="104" t="n"/>
      <c r="S1159" s="104" t="n">
        <v>9</v>
      </c>
      <c r="T1159" s="104" t="n">
        <v>9</v>
      </c>
      <c r="U1159" s="104">
        <f>SUM(S1159:T1159)</f>
        <v/>
      </c>
      <c r="V1159" s="12">
        <f>U1159/IF(H1159="L",35,IF(H1159="U",35,IF(H1159="O",35,IF(H1159="I",35,""))))</f>
        <v/>
      </c>
      <c r="W1159" s="132">
        <f>IF(AND(H1159="L", V1159&gt;=50%), "Pass",
IF(AND(H1159="U", V1159&gt;=60%), "Pass",
IF(AND(H1159="O", V1159&gt;=75%), "Pass", "Fail")))</f>
        <v/>
      </c>
      <c r="X1159" s="132">
        <f>IF(AND(Q1159="Pass", W1159="Pass"), "Pass", "Fail")</f>
        <v/>
      </c>
      <c r="Y1159" s="15">
        <f>IF($X1159="Pass",$H1159,
IF(H1159="L","I",
IF(H1159="U","L",
IF(H1159="O","U",
"I"))))</f>
        <v/>
      </c>
    </row>
    <row r="1160">
      <c r="A1160" s="147">
        <f>ROW()-2</f>
        <v/>
      </c>
      <c r="B1160" s="133" t="inlineStr">
        <is>
          <t>LN1207</t>
        </is>
      </c>
      <c r="C1160" s="148" t="inlineStr">
        <is>
          <t>VIJAY S</t>
        </is>
      </c>
      <c r="D1160" s="133" t="inlineStr">
        <is>
          <t>PRODUCTION</t>
        </is>
      </c>
      <c r="E1160" s="135" t="inlineStr">
        <is>
          <t>BAND BUILDING-P1</t>
        </is>
      </c>
      <c r="F1160" s="136" t="n">
        <v>46064</v>
      </c>
      <c r="G1160" s="131">
        <f>NOW()-F1160</f>
        <v/>
      </c>
      <c r="H1160" s="104" t="inlineStr">
        <is>
          <t>L</t>
        </is>
      </c>
      <c r="I1160" s="104" t="inlineStr">
        <is>
          <t>I</t>
        </is>
      </c>
      <c r="J1160" s="104" t="n">
        <v>3</v>
      </c>
      <c r="K1160" s="104" t="n">
        <v>3</v>
      </c>
      <c r="L1160" s="104" t="n">
        <v>4</v>
      </c>
      <c r="M1160" s="104" t="n">
        <v>2</v>
      </c>
      <c r="N1160" s="104" t="n"/>
      <c r="O1160" s="104">
        <f>SUM(J1160:N1160)</f>
        <v/>
      </c>
      <c r="P1160" s="12">
        <f>O1160/IF(H1160="L",20,IF(H1160="U",30,IF(H1160="O",40,IF(H1160="I",20,""))))</f>
        <v/>
      </c>
      <c r="Q1160" s="132">
        <f>IF(AND(H1160="L", P1160&gt;=50%), "Pass",
IF(AND(H1160="U", P1160&gt;=60%), "Pass",
IF(AND(H1160="O", P1160&gt;=75%), "Pass", "Fail")))</f>
        <v/>
      </c>
      <c r="R1160" s="104" t="n"/>
      <c r="S1160" s="104" t="n">
        <v>18</v>
      </c>
      <c r="T1160" s="104" t="n">
        <v>3</v>
      </c>
      <c r="U1160" s="104">
        <f>SUM(S1160:T1160)</f>
        <v/>
      </c>
      <c r="V1160" s="12">
        <f>U1160/IF(H1160="L",35,IF(H1160="U",35,IF(H1160="O",35,IF(H1160="I",35,""))))</f>
        <v/>
      </c>
      <c r="W1160" s="132">
        <f>IF(AND(H1160="L", V1160&gt;=50%), "Pass",
IF(AND(H1160="U", V1160&gt;=60%), "Pass",
IF(AND(H1160="O", V1160&gt;=75%), "Pass", "Fail")))</f>
        <v/>
      </c>
      <c r="X1160" s="132">
        <f>IF(AND(Q1160="Pass", W1160="Pass"), "Pass", "Fail")</f>
        <v/>
      </c>
      <c r="Y1160" s="15">
        <f>IF($X1160="Pass",$H1160,
IF(H1160="L","I",
IF(H1160="U","L",
IF(H1160="O","U",
"I"))))</f>
        <v/>
      </c>
    </row>
    <row r="1161">
      <c r="A1161" s="147">
        <f>ROW()-2</f>
        <v/>
      </c>
      <c r="B1161" s="133" t="inlineStr">
        <is>
          <t>LN1211</t>
        </is>
      </c>
      <c r="C1161" s="148" t="inlineStr">
        <is>
          <t>ESAKKIAMMAL K</t>
        </is>
      </c>
      <c r="D1161" s="133" t="inlineStr">
        <is>
          <t>PRODUCTION</t>
        </is>
      </c>
      <c r="E1161" s="135" t="inlineStr">
        <is>
          <t>SALVAGE</t>
        </is>
      </c>
      <c r="F1161" s="136" t="n">
        <v>46066</v>
      </c>
      <c r="G1161" s="131">
        <f>NOW()-F1161</f>
        <v/>
      </c>
      <c r="H1161" s="104" t="inlineStr">
        <is>
          <t>L</t>
        </is>
      </c>
      <c r="I1161" s="104" t="inlineStr">
        <is>
          <t>I</t>
        </is>
      </c>
      <c r="J1161" s="104" t="n">
        <v>5</v>
      </c>
      <c r="K1161" s="104" t="n">
        <v>4</v>
      </c>
      <c r="L1161" s="104" t="n">
        <v>3</v>
      </c>
      <c r="M1161" s="104" t="n">
        <v>4</v>
      </c>
      <c r="N1161" s="104" t="n"/>
      <c r="O1161" s="104">
        <f>SUM(J1161:N1161)</f>
        <v/>
      </c>
      <c r="P1161" s="12">
        <f>O1161/IF(H1161="L",20,IF(H1161="U",30,IF(H1161="O",40,IF(H1161="I",20,""))))</f>
        <v/>
      </c>
      <c r="Q1161" s="132">
        <f>IF(AND(H1161="L", P1161&gt;=50%), "Pass",
IF(AND(H1161="U", P1161&gt;=60%), "Pass",
IF(AND(H1161="O", P1161&gt;=75%), "Pass", "Fail")))</f>
        <v/>
      </c>
      <c r="R1161" s="104" t="n"/>
      <c r="S1161" s="104" t="n">
        <v>14</v>
      </c>
      <c r="T1161" s="104" t="n">
        <v>6</v>
      </c>
      <c r="U1161" s="104">
        <f>SUM(S1161:T1161)</f>
        <v/>
      </c>
      <c r="V1161" s="12">
        <f>U1161/IF(H1161="L",35,IF(H1161="U",35,IF(H1161="O",35,IF(H1161="I",35,""))))</f>
        <v/>
      </c>
      <c r="W1161" s="132">
        <f>IF(AND(H1161="L", V1161&gt;=50%), "Pass",
IF(AND(H1161="U", V1161&gt;=60%), "Pass",
IF(AND(H1161="O", V1161&gt;=75%), "Pass", "Fail")))</f>
        <v/>
      </c>
      <c r="X1161" s="132">
        <f>IF(AND(Q1161="Pass", W1161="Pass"), "Pass", "Fail")</f>
        <v/>
      </c>
      <c r="Y1161" s="15">
        <f>IF($X1161="Pass",$H1161,
IF(H1161="L","I",
IF(H1161="U","L",
IF(H1161="O","U",
"I"))))</f>
        <v/>
      </c>
    </row>
    <row r="1162">
      <c r="A1162" s="147">
        <f>ROW()-2</f>
        <v/>
      </c>
      <c r="B1162" s="133" t="inlineStr">
        <is>
          <t>LN1212</t>
        </is>
      </c>
      <c r="C1162" s="148" t="inlineStr">
        <is>
          <t>PRIYANKA A</t>
        </is>
      </c>
      <c r="D1162" s="133" t="inlineStr">
        <is>
          <t>PRODUCTION</t>
        </is>
      </c>
      <c r="E1162" s="135" t="inlineStr">
        <is>
          <t>SALVAGE</t>
        </is>
      </c>
      <c r="F1162" s="136" t="n">
        <v>46066</v>
      </c>
      <c r="G1162" s="131">
        <f>NOW()-F1162</f>
        <v/>
      </c>
      <c r="H1162" s="104" t="inlineStr">
        <is>
          <t>L</t>
        </is>
      </c>
      <c r="I1162" s="104" t="inlineStr">
        <is>
          <t>I</t>
        </is>
      </c>
      <c r="J1162" s="104" t="n">
        <v>5</v>
      </c>
      <c r="K1162" s="104" t="n">
        <v>4</v>
      </c>
      <c r="L1162" s="104" t="n">
        <v>3</v>
      </c>
      <c r="M1162" s="104" t="n">
        <v>4</v>
      </c>
      <c r="N1162" s="104" t="n"/>
      <c r="O1162" s="104">
        <f>SUM(J1162:N1162)</f>
        <v/>
      </c>
      <c r="P1162" s="12">
        <f>O1162/IF(H1162="L",20,IF(H1162="U",30,IF(H1162="O",40,IF(H1162="I",20,""))))</f>
        <v/>
      </c>
      <c r="Q1162" s="132">
        <f>IF(AND(H1162="L", P1162&gt;=50%), "Pass",
IF(AND(H1162="U", P1162&gt;=60%), "Pass",
IF(AND(H1162="O", P1162&gt;=75%), "Pass", "Fail")))</f>
        <v/>
      </c>
      <c r="R1162" s="104" t="n"/>
      <c r="S1162" s="104" t="n">
        <v>11</v>
      </c>
      <c r="T1162" s="104" t="n">
        <v>7</v>
      </c>
      <c r="U1162" s="104">
        <f>SUM(S1162:T1162)</f>
        <v/>
      </c>
      <c r="V1162" s="12">
        <f>U1162/IF(H1162="L",35,IF(H1162="U",35,IF(H1162="O",35,IF(H1162="I",35,""))))</f>
        <v/>
      </c>
      <c r="W1162" s="132">
        <f>IF(AND(H1162="L", V1162&gt;=50%), "Pass",
IF(AND(H1162="U", V1162&gt;=60%), "Pass",
IF(AND(H1162="O", V1162&gt;=75%), "Pass", "Fail")))</f>
        <v/>
      </c>
      <c r="X1162" s="132">
        <f>IF(AND(Q1162="Pass", W1162="Pass"), "Pass", "Fail")</f>
        <v/>
      </c>
      <c r="Y1162" s="15">
        <f>IF($X1162="Pass",$H1162,
IF(H1162="L","I",
IF(H1162="U","L",
IF(H1162="O","U",
"I"))))</f>
        <v/>
      </c>
    </row>
    <row r="1163">
      <c r="A1163" s="147">
        <f>ROW()-2</f>
        <v/>
      </c>
      <c r="B1163" s="133" t="inlineStr">
        <is>
          <t>LN1213</t>
        </is>
      </c>
      <c r="C1163" s="148" t="inlineStr">
        <is>
          <t>SHANMUGA PRIYA M</t>
        </is>
      </c>
      <c r="D1163" s="133" t="inlineStr">
        <is>
          <t>PRODUCTION</t>
        </is>
      </c>
      <c r="E1163" s="135" t="inlineStr">
        <is>
          <t>SALVAGE</t>
        </is>
      </c>
      <c r="F1163" s="136" t="n">
        <v>46066</v>
      </c>
      <c r="G1163" s="131">
        <f>NOW()-F1163</f>
        <v/>
      </c>
      <c r="H1163" s="104" t="inlineStr">
        <is>
          <t>L</t>
        </is>
      </c>
      <c r="I1163" s="104" t="inlineStr">
        <is>
          <t>I</t>
        </is>
      </c>
      <c r="J1163" s="104" t="n">
        <v>5</v>
      </c>
      <c r="K1163" s="104" t="n">
        <v>4</v>
      </c>
      <c r="L1163" s="104" t="n">
        <v>3</v>
      </c>
      <c r="M1163" s="104" t="n">
        <v>4</v>
      </c>
      <c r="N1163" s="104" t="n"/>
      <c r="O1163" s="104">
        <f>SUM(J1163:N1163)</f>
        <v/>
      </c>
      <c r="P1163" s="12">
        <f>O1163/IF(H1163="L",20,IF(H1163="U",30,IF(H1163="O",40,IF(H1163="I",20,""))))</f>
        <v/>
      </c>
      <c r="Q1163" s="132">
        <f>IF(AND(H1163="L", P1163&gt;=50%), "Pass",
IF(AND(H1163="U", P1163&gt;=60%), "Pass",
IF(AND(H1163="O", P1163&gt;=75%), "Pass", "Fail")))</f>
        <v/>
      </c>
      <c r="R1163" s="104" t="n"/>
      <c r="S1163" s="104" t="n">
        <v>11</v>
      </c>
      <c r="T1163" s="104" t="n">
        <v>7</v>
      </c>
      <c r="U1163" s="104">
        <f>SUM(S1163:T1163)</f>
        <v/>
      </c>
      <c r="V1163" s="12">
        <f>U1163/IF(H1163="L",35,IF(H1163="U",35,IF(H1163="O",35,IF(H1163="I",35,""))))</f>
        <v/>
      </c>
      <c r="W1163" s="132">
        <f>IF(AND(H1163="L", V1163&gt;=50%), "Pass",
IF(AND(H1163="U", V1163&gt;=60%), "Pass",
IF(AND(H1163="O", V1163&gt;=75%), "Pass", "Fail")))</f>
        <v/>
      </c>
      <c r="X1163" s="132">
        <f>IF(AND(Q1163="Pass", W1163="Pass"), "Pass", "Fail")</f>
        <v/>
      </c>
      <c r="Y1163" s="15">
        <f>IF($X1163="Pass",$H1163,
IF(H1163="L","I",
IF(H1163="U","L",
IF(H1163="O","U",
"I"))))</f>
        <v/>
      </c>
    </row>
    <row r="1164">
      <c r="A1164" s="147">
        <f>ROW()-2</f>
        <v/>
      </c>
      <c r="B1164" s="133" t="inlineStr">
        <is>
          <t>UDS1637</t>
        </is>
      </c>
      <c r="C1164" s="148" t="inlineStr">
        <is>
          <t>MARI JEYARAM K</t>
        </is>
      </c>
      <c r="D1164" s="133" t="inlineStr">
        <is>
          <t>PRODUCTION</t>
        </is>
      </c>
      <c r="E1164" s="135" t="inlineStr">
        <is>
          <t>TYRE BUILDING-P2</t>
        </is>
      </c>
      <c r="F1164" s="136" t="n">
        <v>46066</v>
      </c>
      <c r="G1164" s="131">
        <f>NOW()-F1164</f>
        <v/>
      </c>
      <c r="H1164" s="104" t="inlineStr">
        <is>
          <t>L</t>
        </is>
      </c>
      <c r="I1164" s="104" t="inlineStr">
        <is>
          <t>I</t>
        </is>
      </c>
      <c r="J1164" s="104" t="n">
        <v>3</v>
      </c>
      <c r="K1164" s="104" t="n">
        <v>4</v>
      </c>
      <c r="L1164" s="104" t="n">
        <v>4</v>
      </c>
      <c r="M1164" s="104" t="n">
        <v>4</v>
      </c>
      <c r="N1164" s="104" t="n"/>
      <c r="O1164" s="104">
        <f>SUM(J1164:N1164)</f>
        <v/>
      </c>
      <c r="P1164" s="12">
        <f>O1164/IF(H1164="L",20,IF(H1164="U",30,IF(H1164="O",40,IF(H1164="I",20,""))))</f>
        <v/>
      </c>
      <c r="Q1164" s="132">
        <f>IF(AND(H1164="L", P1164&gt;=50%), "Pass",
IF(AND(H1164="U", P1164&gt;=60%), "Pass",
IF(AND(H1164="O", P1164&gt;=75%), "Pass", "Fail")))</f>
        <v/>
      </c>
      <c r="R1164" s="104" t="n"/>
      <c r="S1164" s="104" t="n">
        <v>5</v>
      </c>
      <c r="T1164" s="104" t="n">
        <v>5</v>
      </c>
      <c r="U1164" s="104">
        <f>SUM(S1164:T1164)</f>
        <v/>
      </c>
      <c r="V1164" s="12">
        <f>U1164/IF(H1164="L",35,IF(H1164="U",35,IF(H1164="O",35,IF(H1164="I",35,""))))</f>
        <v/>
      </c>
      <c r="W1164" s="132">
        <f>IF(AND(H1164="L", V1164&gt;=50%), "Pass",
IF(AND(H1164="U", V1164&gt;=60%), "Pass",
IF(AND(H1164="O", V1164&gt;=75%), "Pass", "Fail")))</f>
        <v/>
      </c>
      <c r="X1164" s="132">
        <f>IF(AND(Q1164="Pass", W1164="Pass"), "Pass", "Fail")</f>
        <v/>
      </c>
      <c r="Y1164" s="15">
        <f>IF($X1164="Pass",$H1164,
IF(H1164="L","I",
IF(H1164="U","L",
IF(H1164="O","U",
"I"))))</f>
        <v/>
      </c>
    </row>
    <row r="1165">
      <c r="A1165" s="147">
        <f>ROW()-2</f>
        <v/>
      </c>
      <c r="B1165" s="127" t="inlineStr">
        <is>
          <t>UDS1648</t>
        </is>
      </c>
      <c r="C1165" s="128" t="inlineStr">
        <is>
          <t>MOHANRAM</t>
        </is>
      </c>
      <c r="D1165" s="127" t="inlineStr">
        <is>
          <t>PRODUCTION</t>
        </is>
      </c>
      <c r="E1165" s="129" t="inlineStr">
        <is>
          <t>3 ROLL-P2</t>
        </is>
      </c>
      <c r="F1165" s="130" t="n">
        <v>46069</v>
      </c>
      <c r="G1165" s="131">
        <f>NOW()-F1165</f>
        <v/>
      </c>
      <c r="H1165" s="104" t="inlineStr">
        <is>
          <t>L</t>
        </is>
      </c>
      <c r="I1165" s="104" t="inlineStr">
        <is>
          <t>I</t>
        </is>
      </c>
      <c r="J1165" s="104" t="n">
        <v>2</v>
      </c>
      <c r="K1165" s="104" t="n">
        <v>2</v>
      </c>
      <c r="L1165" s="104" t="n">
        <v>3</v>
      </c>
      <c r="M1165" s="104" t="n">
        <v>4</v>
      </c>
      <c r="N1165" s="104" t="n"/>
      <c r="O1165" s="104">
        <f>SUM(J1165:N1165)</f>
        <v/>
      </c>
      <c r="P1165" s="12">
        <f>O1165/IF(H1165="L",20,IF(H1165="U",30,IF(H1165="O",40,IF(H1165="I",20,""))))</f>
        <v/>
      </c>
      <c r="Q1165" s="132">
        <f>IF(AND(H1165="L", P1165&gt;=50%), "Pass",
IF(AND(H1165="U", P1165&gt;=60%), "Pass",
IF(AND(H1165="O", P1165&gt;=75%), "Pass", "Fail")))</f>
        <v/>
      </c>
      <c r="R1165" s="104" t="n"/>
      <c r="S1165" s="104" t="n">
        <v>11</v>
      </c>
      <c r="T1165" s="104" t="n">
        <v>5</v>
      </c>
      <c r="U1165" s="104">
        <f>SUM(S1165:T1165)</f>
        <v/>
      </c>
      <c r="V1165" s="12">
        <f>U1165/IF(H1165="L",35,IF(H1165="U",35,IF(H1165="O",35,IF(H1165="I",35,""))))</f>
        <v/>
      </c>
      <c r="W1165" s="132">
        <f>IF(AND(H1165="L", V1165&gt;=50%), "Pass",
IF(AND(H1165="U", V1165&gt;=60%), "Pass",
IF(AND(H1165="O", V1165&gt;=75%), "Pass", "Fail")))</f>
        <v/>
      </c>
      <c r="X1165" s="132">
        <f>IF(AND(Q1165="Pass", W1165="Pass"), "Pass", "Fail")</f>
        <v/>
      </c>
      <c r="Y1165" s="15">
        <f>IF($X1165="Pass",$H1165,
IF(H1165="L","I",
IF(H1165="U","L",
IF(H1165="O","U",
"I"))))</f>
        <v/>
      </c>
    </row>
    <row r="1166">
      <c r="A1166" s="147">
        <f>ROW()-2</f>
        <v/>
      </c>
      <c r="B1166" s="127" t="inlineStr">
        <is>
          <t>UDS1649</t>
        </is>
      </c>
      <c r="C1166" s="128" t="inlineStr">
        <is>
          <t>JAYASHEELAN R</t>
        </is>
      </c>
      <c r="D1166" s="127" t="inlineStr">
        <is>
          <t>PRODUCTION</t>
        </is>
      </c>
      <c r="E1166" s="129" t="inlineStr">
        <is>
          <t>3 ROLL-P2</t>
        </is>
      </c>
      <c r="F1166" s="130" t="n">
        <v>46069</v>
      </c>
      <c r="G1166" s="131">
        <f>NOW()-F1166</f>
        <v/>
      </c>
      <c r="H1166" s="104" t="inlineStr">
        <is>
          <t>L</t>
        </is>
      </c>
      <c r="I1166" s="104" t="inlineStr">
        <is>
          <t>I</t>
        </is>
      </c>
      <c r="J1166" s="104" t="n">
        <v>4</v>
      </c>
      <c r="K1166" s="104" t="n">
        <v>2</v>
      </c>
      <c r="L1166" s="104" t="n">
        <v>2</v>
      </c>
      <c r="M1166" s="104" t="n">
        <v>3</v>
      </c>
      <c r="N1166" s="104" t="n"/>
      <c r="O1166" s="104">
        <f>SUM(J1166:N1166)</f>
        <v/>
      </c>
      <c r="P1166" s="12">
        <f>O1166/IF(H1166="L",20,IF(H1166="U",30,IF(H1166="O",40,IF(H1166="I",20,""))))</f>
        <v/>
      </c>
      <c r="Q1166" s="132">
        <f>IF(AND(H1166="L", P1166&gt;=50%), "Pass",
IF(AND(H1166="U", P1166&gt;=60%), "Pass",
IF(AND(H1166="O", P1166&gt;=75%), "Pass", "Fail")))</f>
        <v/>
      </c>
      <c r="R1166" s="104" t="n"/>
      <c r="S1166" s="104" t="n">
        <v>9</v>
      </c>
      <c r="T1166" s="104" t="n">
        <v>5</v>
      </c>
      <c r="U1166" s="104">
        <f>SUM(S1166:T1166)</f>
        <v/>
      </c>
      <c r="V1166" s="12">
        <f>U1166/IF(H1166="L",35,IF(H1166="U",35,IF(H1166="O",35,IF(H1166="I",35,""))))</f>
        <v/>
      </c>
      <c r="W1166" s="132">
        <f>IF(AND(H1166="L", V1166&gt;=50%), "Pass",
IF(AND(H1166="U", V1166&gt;=60%), "Pass",
IF(AND(H1166="O", V1166&gt;=75%), "Pass", "Fail")))</f>
        <v/>
      </c>
      <c r="X1166" s="132">
        <f>IF(AND(Q1166="Pass", W1166="Pass"), "Pass", "Fail")</f>
        <v/>
      </c>
      <c r="Y1166" s="15">
        <f>IF($X1166="Pass",$H1166,
IF(H1166="L","I",
IF(H1166="U","L",
IF(H1166="O","U",
"I"))))</f>
        <v/>
      </c>
    </row>
    <row r="1167">
      <c r="A1167" s="147">
        <f>ROW()-2</f>
        <v/>
      </c>
      <c r="B1167" s="133" t="inlineStr">
        <is>
          <t>KK1514</t>
        </is>
      </c>
      <c r="C1167" s="148" t="inlineStr">
        <is>
          <t>NARAYAN SUKLA</t>
        </is>
      </c>
      <c r="D1167" s="133" t="inlineStr">
        <is>
          <t>PRODUCTION</t>
        </is>
      </c>
      <c r="E1167" s="135" t="inlineStr">
        <is>
          <t>TYRE BUILDING-P2</t>
        </is>
      </c>
      <c r="F1167" s="136" t="n">
        <v>46070</v>
      </c>
      <c r="G1167" s="131">
        <f>NOW()-F1167</f>
        <v/>
      </c>
      <c r="H1167" s="104" t="inlineStr">
        <is>
          <t>L</t>
        </is>
      </c>
      <c r="I1167" s="104" t="inlineStr">
        <is>
          <t>I</t>
        </is>
      </c>
      <c r="J1167" s="104" t="n">
        <v>5</v>
      </c>
      <c r="K1167" s="104" t="n">
        <v>5</v>
      </c>
      <c r="L1167" s="104" t="n">
        <v>5</v>
      </c>
      <c r="M1167" s="104" t="n">
        <v>4</v>
      </c>
      <c r="N1167" s="104" t="n"/>
      <c r="O1167" s="104">
        <f>SUM(J1167:N1167)</f>
        <v/>
      </c>
      <c r="P1167" s="12">
        <f>O1167/IF(H1167="L",20,IF(H1167="U",30,IF(H1167="O",40,IF(H1167="I",20,""))))</f>
        <v/>
      </c>
      <c r="Q1167" s="132">
        <f>IF(AND(H1167="L", P1167&gt;=50%), "Pass",
IF(AND(H1167="U", P1167&gt;=60%), "Pass",
IF(AND(H1167="O", P1167&gt;=75%), "Pass", "Fail")))</f>
        <v/>
      </c>
      <c r="R1167" s="104" t="n"/>
      <c r="S1167" s="104" t="n">
        <v>7</v>
      </c>
      <c r="T1167" s="104" t="n">
        <v>6</v>
      </c>
      <c r="U1167" s="104">
        <f>SUM(S1167:T1167)</f>
        <v/>
      </c>
      <c r="V1167" s="12">
        <f>U1167/IF(H1167="L",35,IF(H1167="U",35,IF(H1167="O",35,IF(H1167="I",35,""))))</f>
        <v/>
      </c>
      <c r="W1167" s="132">
        <f>IF(AND(H1167="L", V1167&gt;=50%), "Pass",
IF(AND(H1167="U", V1167&gt;=60%), "Pass",
IF(AND(H1167="O", V1167&gt;=75%), "Pass", "Fail")))</f>
        <v/>
      </c>
      <c r="X1167" s="132">
        <f>IF(AND(Q1167="Pass", W1167="Pass"), "Pass", "Fail")</f>
        <v/>
      </c>
      <c r="Y1167" s="15">
        <f>IF($X1167="Pass",$H1167,
IF(H1167="L","I",
IF(H1167="U","L",
IF(H1167="O","U",
"I"))))</f>
        <v/>
      </c>
    </row>
    <row r="1168">
      <c r="A1168" s="147">
        <f>ROW()-2</f>
        <v/>
      </c>
      <c r="B1168" s="133" t="inlineStr">
        <is>
          <t>LN1216</t>
        </is>
      </c>
      <c r="C1168" s="148" t="inlineStr">
        <is>
          <t>VISWA DARSHINI R</t>
        </is>
      </c>
      <c r="D1168" s="133" t="inlineStr">
        <is>
          <t>PRODUCTION</t>
        </is>
      </c>
      <c r="E1168" s="135" t="inlineStr">
        <is>
          <t>LINER DRESSING</t>
        </is>
      </c>
      <c r="F1168" s="136" t="n">
        <v>46071</v>
      </c>
      <c r="G1168" s="131">
        <f>NOW()-F1168</f>
        <v/>
      </c>
      <c r="H1168" s="104" t="inlineStr">
        <is>
          <t>L</t>
        </is>
      </c>
      <c r="I1168" s="104" t="inlineStr">
        <is>
          <t>I</t>
        </is>
      </c>
      <c r="J1168" s="104" t="n">
        <v>5</v>
      </c>
      <c r="K1168" s="104" t="n">
        <v>0</v>
      </c>
      <c r="L1168" s="104" t="n">
        <v>2</v>
      </c>
      <c r="M1168" s="104" t="n">
        <v>4</v>
      </c>
      <c r="N1168" s="104" t="n"/>
      <c r="O1168" s="104">
        <f>SUM(J1168:N1168)</f>
        <v/>
      </c>
      <c r="P1168" s="12">
        <f>O1168/IF(H1168="L",20,IF(H1168="U",30,IF(H1168="O",40,IF(H1168="I",20,""))))</f>
        <v/>
      </c>
      <c r="Q1168" s="132">
        <f>IF(AND(H1168="L", P1168&gt;=50%), "Pass",
IF(AND(H1168="U", P1168&gt;=60%), "Pass",
IF(AND(H1168="O", P1168&gt;=75%), "Pass", "Fail")))</f>
        <v/>
      </c>
      <c r="R1168" s="104" t="n"/>
      <c r="S1168" s="104" t="n">
        <v>11</v>
      </c>
      <c r="T1168" s="104" t="n">
        <v>6</v>
      </c>
      <c r="U1168" s="104">
        <f>SUM(S1168:T1168)</f>
        <v/>
      </c>
      <c r="V1168" s="12">
        <f>U1168/IF(H1168="L",35,IF(H1168="U",35,IF(H1168="O",35,IF(H1168="I",35,""))))</f>
        <v/>
      </c>
      <c r="W1168" s="132">
        <f>IF(AND(H1168="L", V1168&gt;=50%), "Pass",
IF(AND(H1168="U", V1168&gt;=60%), "Pass",
IF(AND(H1168="O", V1168&gt;=75%), "Pass", "Fail")))</f>
        <v/>
      </c>
      <c r="X1168" s="132">
        <f>IF(AND(Q1168="Pass", W1168="Pass"), "Pass", "Fail")</f>
        <v/>
      </c>
      <c r="Y1168" s="15">
        <f>IF($X1168="Pass",$H1168,
IF(H1168="L","I",
IF(H1168="U","L",
IF(H1168="O","U",
"I"))))</f>
        <v/>
      </c>
    </row>
    <row r="1169">
      <c r="A1169" s="147">
        <f>ROW()-2</f>
        <v/>
      </c>
      <c r="B1169" s="133" t="inlineStr">
        <is>
          <t>AK1201</t>
        </is>
      </c>
      <c r="C1169" s="148" t="inlineStr">
        <is>
          <t>SUNDAR C</t>
        </is>
      </c>
      <c r="D1169" s="133" t="inlineStr">
        <is>
          <t>PRODUCTION</t>
        </is>
      </c>
      <c r="E1169" s="135" t="inlineStr">
        <is>
          <t>TYRE BUILDING-P3</t>
        </is>
      </c>
      <c r="F1169" s="136" t="n">
        <v>46076</v>
      </c>
      <c r="G1169" s="131">
        <f>NOW()-F1169</f>
        <v/>
      </c>
      <c r="H1169" s="104" t="inlineStr">
        <is>
          <t>L</t>
        </is>
      </c>
      <c r="I1169" s="104" t="inlineStr">
        <is>
          <t>I</t>
        </is>
      </c>
      <c r="J1169" s="104" t="n">
        <v>2</v>
      </c>
      <c r="K1169" s="104" t="n">
        <v>4</v>
      </c>
      <c r="L1169" s="104" t="n">
        <v>4</v>
      </c>
      <c r="M1169" s="104" t="n">
        <v>1</v>
      </c>
      <c r="N1169" s="104" t="n"/>
      <c r="O1169" s="104">
        <f>SUM(J1169:N1169)</f>
        <v/>
      </c>
      <c r="P1169" s="12">
        <f>O1169/IF(H1169="L",20,IF(H1169="U",30,IF(H1169="O",40,IF(H1169="I",20,""))))</f>
        <v/>
      </c>
      <c r="Q1169" s="132">
        <f>IF(AND(H1169="L", P1169&gt;=50%), "Pass",
IF(AND(H1169="U", P1169&gt;=60%), "Pass",
IF(AND(H1169="O", P1169&gt;=75%), "Pass", "Fail")))</f>
        <v/>
      </c>
      <c r="R1169" s="104" t="n"/>
      <c r="S1169" s="104" t="n">
        <v>18</v>
      </c>
      <c r="T1169" s="104" t="n">
        <v>14</v>
      </c>
      <c r="U1169" s="104">
        <f>SUM(S1169:T1169)</f>
        <v/>
      </c>
      <c r="V1169" s="12">
        <f>U1169/IF(H1169="L",35,IF(H1169="U",35,IF(H1169="O",35,IF(H1169="I",35,""))))</f>
        <v/>
      </c>
      <c r="W1169" s="132">
        <f>IF(AND(H1169="L", V1169&gt;=50%), "Pass",
IF(AND(H1169="U", V1169&gt;=60%), "Pass",
IF(AND(H1169="O", V1169&gt;=75%), "Pass", "Fail")))</f>
        <v/>
      </c>
      <c r="X1169" s="132">
        <f>IF(AND(Q1169="Pass", W1169="Pass"), "Pass", "Fail")</f>
        <v/>
      </c>
      <c r="Y1169" s="15">
        <f>IF($X1169="Pass",$H1169,
IF(H1169="L","I",
IF(H1169="U","L",
IF(H1169="O","U",
"I"))))</f>
        <v/>
      </c>
    </row>
    <row r="1170">
      <c r="A1170" s="147">
        <f>ROW()-2</f>
        <v/>
      </c>
      <c r="B1170" s="133" t="inlineStr">
        <is>
          <t>AK1203</t>
        </is>
      </c>
      <c r="C1170" s="148" t="inlineStr">
        <is>
          <t>KALIMUTHU</t>
        </is>
      </c>
      <c r="D1170" s="133" t="inlineStr">
        <is>
          <t>PRODUCTION</t>
        </is>
      </c>
      <c r="E1170" s="135" t="inlineStr">
        <is>
          <t>TYRE BUILDING-P3</t>
        </is>
      </c>
      <c r="F1170" s="136" t="n">
        <v>46076</v>
      </c>
      <c r="G1170" s="131">
        <f>NOW()-F1170</f>
        <v/>
      </c>
      <c r="H1170" s="104" t="inlineStr">
        <is>
          <t>L</t>
        </is>
      </c>
      <c r="I1170" s="104" t="inlineStr">
        <is>
          <t>I</t>
        </is>
      </c>
      <c r="J1170" s="104" t="n">
        <v>3</v>
      </c>
      <c r="K1170" s="104" t="n">
        <v>4</v>
      </c>
      <c r="L1170" s="104" t="n">
        <v>3</v>
      </c>
      <c r="M1170" s="104" t="n">
        <v>3</v>
      </c>
      <c r="N1170" s="104" t="n"/>
      <c r="O1170" s="104">
        <f>SUM(J1170:N1170)</f>
        <v/>
      </c>
      <c r="P1170" s="12">
        <f>O1170/IF(H1170="L",20,IF(H1170="U",30,IF(H1170="O",40,IF(H1170="I",20,""))))</f>
        <v/>
      </c>
      <c r="Q1170" s="132">
        <f>IF(AND(H1170="L", P1170&gt;=50%), "Pass",
IF(AND(H1170="U", P1170&gt;=60%), "Pass",
IF(AND(H1170="O", P1170&gt;=75%), "Pass", "Fail")))</f>
        <v/>
      </c>
      <c r="R1170" s="104" t="n"/>
      <c r="S1170" s="104" t="n">
        <v>18</v>
      </c>
      <c r="T1170" s="104" t="n">
        <v>14</v>
      </c>
      <c r="U1170" s="104">
        <f>SUM(S1170:T1170)</f>
        <v/>
      </c>
      <c r="V1170" s="12">
        <f>U1170/IF(H1170="L",35,IF(H1170="U",35,IF(H1170="O",35,IF(H1170="I",35,""))))</f>
        <v/>
      </c>
      <c r="W1170" s="132">
        <f>IF(AND(H1170="L", V1170&gt;=50%), "Pass",
IF(AND(H1170="U", V1170&gt;=60%), "Pass",
IF(AND(H1170="O", V1170&gt;=75%), "Pass", "Fail")))</f>
        <v/>
      </c>
      <c r="X1170" s="132">
        <f>IF(AND(Q1170="Pass", W1170="Pass"), "Pass", "Fail")</f>
        <v/>
      </c>
      <c r="Y1170" s="15">
        <f>IF($X1170="Pass",$H1170,
IF(H1170="L","I",
IF(H1170="U","L",
IF(H1170="O","U",
"I"))))</f>
        <v/>
      </c>
    </row>
    <row r="1171">
      <c r="A1171" s="147">
        <f>ROW()-2</f>
        <v/>
      </c>
      <c r="B1171" s="133" t="inlineStr">
        <is>
          <t>AK1204</t>
        </is>
      </c>
      <c r="C1171" s="148" t="inlineStr">
        <is>
          <t>SURESH</t>
        </is>
      </c>
      <c r="D1171" s="133" t="inlineStr">
        <is>
          <t>PRODUCTION</t>
        </is>
      </c>
      <c r="E1171" s="135" t="inlineStr">
        <is>
          <t>TYRE BUILDING-P3</t>
        </is>
      </c>
      <c r="F1171" s="136" t="n">
        <v>46076</v>
      </c>
      <c r="G1171" s="131">
        <f>NOW()-F1171</f>
        <v/>
      </c>
      <c r="H1171" s="104" t="inlineStr">
        <is>
          <t>L</t>
        </is>
      </c>
      <c r="I1171" s="104" t="inlineStr">
        <is>
          <t>I</t>
        </is>
      </c>
      <c r="J1171" s="104" t="n">
        <v>5</v>
      </c>
      <c r="K1171" s="104" t="n">
        <v>4</v>
      </c>
      <c r="L1171" s="104" t="n">
        <v>5</v>
      </c>
      <c r="M1171" s="104" t="n">
        <v>5</v>
      </c>
      <c r="N1171" s="104" t="n"/>
      <c r="O1171" s="104">
        <f>SUM(J1171:N1171)</f>
        <v/>
      </c>
      <c r="P1171" s="12">
        <f>O1171/IF(H1171="L",20,IF(H1171="U",30,IF(H1171="O",40,IF(H1171="I",20,""))))</f>
        <v/>
      </c>
      <c r="Q1171" s="132">
        <f>IF(AND(H1171="L", P1171&gt;=50%), "Pass",
IF(AND(H1171="U", P1171&gt;=60%), "Pass",
IF(AND(H1171="O", P1171&gt;=75%), "Pass", "Fail")))</f>
        <v/>
      </c>
      <c r="R1171" s="104" t="n"/>
      <c r="S1171" s="104" t="n">
        <v>13</v>
      </c>
      <c r="T1171" s="104" t="n">
        <v>9</v>
      </c>
      <c r="U1171" s="104">
        <f>SUM(S1171:T1171)</f>
        <v/>
      </c>
      <c r="V1171" s="12">
        <f>U1171/IF(H1171="L",35,IF(H1171="U",35,IF(H1171="O",35,IF(H1171="I",35,""))))</f>
        <v/>
      </c>
      <c r="W1171" s="132">
        <f>IF(AND(H1171="L", V1171&gt;=50%), "Pass",
IF(AND(H1171="U", V1171&gt;=60%), "Pass",
IF(AND(H1171="O", V1171&gt;=75%), "Pass", "Fail")))</f>
        <v/>
      </c>
      <c r="X1171" s="132">
        <f>IF(AND(Q1171="Pass", W1171="Pass"), "Pass", "Fail")</f>
        <v/>
      </c>
      <c r="Y1171" s="15">
        <f>IF($X1171="Pass",$H1171,
IF(H1171="L","I",
IF(H1171="U","L",
IF(H1171="O","U",
"I"))))</f>
        <v/>
      </c>
    </row>
    <row r="1172">
      <c r="A1172" s="147">
        <f>ROW()-2</f>
        <v/>
      </c>
      <c r="B1172" s="133" t="inlineStr">
        <is>
          <t>PK1635</t>
        </is>
      </c>
      <c r="C1172" s="148" t="inlineStr">
        <is>
          <t>RAJAN KUMAR RAY</t>
        </is>
      </c>
      <c r="D1172" s="133" t="inlineStr">
        <is>
          <t>PRODUCTION</t>
        </is>
      </c>
      <c r="E1172" s="135" t="inlineStr">
        <is>
          <t>TYRE BUILDING-P3</t>
        </is>
      </c>
      <c r="F1172" s="136" t="n">
        <v>46076</v>
      </c>
      <c r="G1172" s="131">
        <f>NOW()-F1172</f>
        <v/>
      </c>
      <c r="H1172" s="104" t="inlineStr">
        <is>
          <t>L</t>
        </is>
      </c>
      <c r="I1172" s="104" t="inlineStr">
        <is>
          <t>I</t>
        </is>
      </c>
      <c r="J1172" s="104" t="n">
        <v>5</v>
      </c>
      <c r="K1172" s="104" t="n">
        <v>5</v>
      </c>
      <c r="L1172" s="104" t="n">
        <v>4</v>
      </c>
      <c r="M1172" s="104" t="n">
        <v>5</v>
      </c>
      <c r="N1172" s="104" t="n"/>
      <c r="O1172" s="104">
        <f>SUM(J1172:N1172)</f>
        <v/>
      </c>
      <c r="P1172" s="12">
        <f>O1172/IF(H1172="L",20,IF(H1172="U",30,IF(H1172="O",40,IF(H1172="I",20,""))))</f>
        <v/>
      </c>
      <c r="Q1172" s="132">
        <f>IF(AND(H1172="L", P1172&gt;=50%), "Pass",
IF(AND(H1172="U", P1172&gt;=60%), "Pass",
IF(AND(H1172="O", P1172&gt;=75%), "Pass", "Fail")))</f>
        <v/>
      </c>
      <c r="R1172" s="104" t="n"/>
      <c r="S1172" s="104" t="n">
        <v>18</v>
      </c>
      <c r="T1172" s="104" t="n">
        <v>13</v>
      </c>
      <c r="U1172" s="104">
        <f>SUM(S1172:T1172)</f>
        <v/>
      </c>
      <c r="V1172" s="12">
        <f>U1172/IF(H1172="L",35,IF(H1172="U",35,IF(H1172="O",35,IF(H1172="I",35,""))))</f>
        <v/>
      </c>
      <c r="W1172" s="132">
        <f>IF(AND(H1172="L", V1172&gt;=50%), "Pass",
IF(AND(H1172="U", V1172&gt;=60%), "Pass",
IF(AND(H1172="O", V1172&gt;=75%), "Pass", "Fail")))</f>
        <v/>
      </c>
      <c r="X1172" s="132">
        <f>IF(AND(Q1172="Pass", W1172="Pass"), "Pass", "Fail")</f>
        <v/>
      </c>
      <c r="Y1172" s="15">
        <f>IF($X1172="Pass",$H1172,
IF(H1172="L","I",
IF(H1172="U","L",
IF(H1172="O","U",
"I"))))</f>
        <v/>
      </c>
    </row>
    <row r="1173">
      <c r="A1173" s="147">
        <f>ROW()-2</f>
        <v/>
      </c>
      <c r="B1173" s="127" t="inlineStr">
        <is>
          <t>SK3727</t>
        </is>
      </c>
      <c r="C1173" s="128" t="inlineStr">
        <is>
          <t>MATHAVAN</t>
        </is>
      </c>
      <c r="D1173" s="127" t="inlineStr">
        <is>
          <t>PRODUCTION</t>
        </is>
      </c>
      <c r="E1173" s="129" t="inlineStr">
        <is>
          <t>TYRE CURING</t>
        </is>
      </c>
      <c r="F1173" s="130" t="n">
        <v>46076</v>
      </c>
      <c r="G1173" s="131">
        <f>NOW()-F1173</f>
        <v/>
      </c>
      <c r="H1173" s="104" t="inlineStr">
        <is>
          <t>L</t>
        </is>
      </c>
      <c r="I1173" s="104" t="inlineStr">
        <is>
          <t>I</t>
        </is>
      </c>
      <c r="J1173" s="104" t="n">
        <v>4</v>
      </c>
      <c r="K1173" s="104" t="n">
        <v>2</v>
      </c>
      <c r="L1173" s="104" t="n">
        <v>3</v>
      </c>
      <c r="M1173" s="104" t="n">
        <v>4</v>
      </c>
      <c r="N1173" s="104" t="n">
        <v>3</v>
      </c>
      <c r="O1173" s="104">
        <f>SUM(J1173:N1173)</f>
        <v/>
      </c>
      <c r="P1173" s="12">
        <f>O1173/IF(H1173="L",20,IF(H1173="U",30,IF(H1173="O",40,IF(H1173="I",20,""))))</f>
        <v/>
      </c>
      <c r="Q1173" s="132">
        <f>IF(AND(H1173="L", P1173&gt;=50%), "Pass",
IF(AND(H1173="U", P1173&gt;=60%), "Pass",
IF(AND(H1173="O", P1173&gt;=75%), "Pass", "Fail")))</f>
        <v/>
      </c>
      <c r="R1173" s="104" t="n"/>
      <c r="S1173" s="104" t="n">
        <v>12</v>
      </c>
      <c r="T1173" s="104" t="n">
        <v>10</v>
      </c>
      <c r="U1173" s="104">
        <f>SUM(S1173:T1173)</f>
        <v/>
      </c>
      <c r="V1173" s="12">
        <f>U1173/IF(H1173="L",35,IF(H1173="U",35,IF(H1173="O",35,IF(H1173="I",35,""))))</f>
        <v/>
      </c>
      <c r="W1173" s="132">
        <f>IF(AND(H1173="L", V1173&gt;=50%), "Pass",
IF(AND(H1173="U", V1173&gt;=60%), "Pass",
IF(AND(H1173="O", V1173&gt;=75%), "Pass", "Fail")))</f>
        <v/>
      </c>
      <c r="X1173" s="132">
        <f>IF(AND(Q1173="Pass", W1173="Pass"), "Pass", "Fail")</f>
        <v/>
      </c>
      <c r="Y1173" s="15">
        <f>IF($X1173="Pass",$H1173,
IF(H1173="L","I",
IF(H1173="U","L",
IF(H1173="O","U",
"I"))))</f>
        <v/>
      </c>
    </row>
    <row r="1174">
      <c r="A1174" s="147">
        <f>ROW()-2</f>
        <v/>
      </c>
      <c r="B1174" s="133" t="inlineStr">
        <is>
          <t>SK3728</t>
        </is>
      </c>
      <c r="C1174" s="148" t="inlineStr">
        <is>
          <t>UMADURAI</t>
        </is>
      </c>
      <c r="D1174" s="133" t="inlineStr">
        <is>
          <t>PRODUCTION</t>
        </is>
      </c>
      <c r="E1174" s="135" t="inlineStr">
        <is>
          <t>TYRE BUILDING-P3</t>
        </is>
      </c>
      <c r="F1174" s="136" t="n">
        <v>46076</v>
      </c>
      <c r="G1174" s="131">
        <f>NOW()-F1174</f>
        <v/>
      </c>
      <c r="H1174" s="104" t="inlineStr">
        <is>
          <t>L</t>
        </is>
      </c>
      <c r="I1174" s="104" t="inlineStr">
        <is>
          <t>I</t>
        </is>
      </c>
      <c r="J1174" s="104" t="n">
        <v>5</v>
      </c>
      <c r="K1174" s="104" t="n">
        <v>4</v>
      </c>
      <c r="L1174" s="104" t="n">
        <v>5</v>
      </c>
      <c r="M1174" s="104" t="n">
        <v>5</v>
      </c>
      <c r="N1174" s="104" t="n"/>
      <c r="O1174" s="104">
        <f>SUM(J1174:N1174)</f>
        <v/>
      </c>
      <c r="P1174" s="12">
        <f>O1174/IF(H1174="L",20,IF(H1174="U",30,IF(H1174="O",40,IF(H1174="I",20,""))))</f>
        <v/>
      </c>
      <c r="Q1174" s="132">
        <f>IF(AND(H1174="L", P1174&gt;=50%), "Pass",
IF(AND(H1174="U", P1174&gt;=60%), "Pass",
IF(AND(H1174="O", P1174&gt;=75%), "Pass", "Fail")))</f>
        <v/>
      </c>
      <c r="R1174" s="104" t="n"/>
      <c r="S1174" s="104" t="n">
        <v>18</v>
      </c>
      <c r="T1174" s="104" t="n">
        <v>14</v>
      </c>
      <c r="U1174" s="104">
        <f>SUM(S1174:T1174)</f>
        <v/>
      </c>
      <c r="V1174" s="12">
        <f>U1174/IF(H1174="L",35,IF(H1174="U",35,IF(H1174="O",35,IF(H1174="I",35,""))))</f>
        <v/>
      </c>
      <c r="W1174" s="132">
        <f>IF(AND(H1174="L", V1174&gt;=50%), "Pass",
IF(AND(H1174="U", V1174&gt;=60%), "Pass",
IF(AND(H1174="O", V1174&gt;=75%), "Pass", "Fail")))</f>
        <v/>
      </c>
      <c r="X1174" s="132">
        <f>IF(AND(Q1174="Pass", W1174="Pass"), "Pass", "Fail")</f>
        <v/>
      </c>
      <c r="Y1174" s="15">
        <f>IF($X1174="Pass",$H1174,
IF(H1174="L","I",
IF(H1174="U","L",
IF(H1174="O","U",
"I"))))</f>
        <v/>
      </c>
    </row>
    <row r="1175">
      <c r="A1175" s="147">
        <f>ROW()-2</f>
        <v/>
      </c>
      <c r="B1175" s="127" t="inlineStr">
        <is>
          <t>SK3729</t>
        </is>
      </c>
      <c r="C1175" s="128" t="inlineStr">
        <is>
          <t>NARAYANAN</t>
        </is>
      </c>
      <c r="D1175" s="127" t="inlineStr">
        <is>
          <t>PRODUCTION</t>
        </is>
      </c>
      <c r="E1175" s="129" t="inlineStr">
        <is>
          <t>TYRE CURING</t>
        </is>
      </c>
      <c r="F1175" s="130" t="n">
        <v>46076</v>
      </c>
      <c r="G1175" s="131">
        <f>NOW()-F1175</f>
        <v/>
      </c>
      <c r="H1175" s="104" t="inlineStr">
        <is>
          <t>L</t>
        </is>
      </c>
      <c r="I1175" s="104" t="inlineStr">
        <is>
          <t>I</t>
        </is>
      </c>
      <c r="J1175" s="104" t="n">
        <v>4</v>
      </c>
      <c r="K1175" s="104" t="n">
        <v>3</v>
      </c>
      <c r="L1175" s="104" t="n">
        <v>4</v>
      </c>
      <c r="M1175" s="104" t="n">
        <v>4</v>
      </c>
      <c r="N1175" s="104" t="n">
        <v>3</v>
      </c>
      <c r="O1175" s="104">
        <f>SUM(J1175:N1175)</f>
        <v/>
      </c>
      <c r="P1175" s="12">
        <f>O1175/IF(H1175="L",20,IF(H1175="U",30,IF(H1175="O",40,IF(H1175="I",20,""))))</f>
        <v/>
      </c>
      <c r="Q1175" s="132">
        <f>IF(AND(H1175="L", P1175&gt;=50%), "Pass",
IF(AND(H1175="U", P1175&gt;=60%), "Pass",
IF(AND(H1175="O", P1175&gt;=75%), "Pass", "Fail")))</f>
        <v/>
      </c>
      <c r="R1175" s="104" t="n"/>
      <c r="S1175" s="104" t="n">
        <v>16</v>
      </c>
      <c r="T1175" s="104" t="n">
        <v>12</v>
      </c>
      <c r="U1175" s="104">
        <f>SUM(S1175:T1175)</f>
        <v/>
      </c>
      <c r="V1175" s="12">
        <f>U1175/IF(H1175="L",35,IF(H1175="U",35,IF(H1175="O",35,IF(H1175="I",35,""))))</f>
        <v/>
      </c>
      <c r="W1175" s="132">
        <f>IF(AND(H1175="L", V1175&gt;=50%), "Pass",
IF(AND(H1175="U", V1175&gt;=60%), "Pass",
IF(AND(H1175="O", V1175&gt;=75%), "Pass", "Fail")))</f>
        <v/>
      </c>
      <c r="X1175" s="132">
        <f>IF(AND(Q1175="Pass", W1175="Pass"), "Pass", "Fail")</f>
        <v/>
      </c>
      <c r="Y1175" s="15">
        <f>IF($X1175="Pass",$H1175,
IF(H1175="L","I",
IF(H1175="U","L",
IF(H1175="O","U",
"I"))))</f>
        <v/>
      </c>
    </row>
    <row r="1176">
      <c r="A1176" s="147">
        <f>ROW()-2</f>
        <v/>
      </c>
      <c r="B1176" s="133" t="inlineStr">
        <is>
          <t>SK3730</t>
        </is>
      </c>
      <c r="C1176" s="148" t="inlineStr">
        <is>
          <t>MARIAPPAN</t>
        </is>
      </c>
      <c r="D1176" s="133" t="inlineStr">
        <is>
          <t>PRODUCTION</t>
        </is>
      </c>
      <c r="E1176" s="135" t="inlineStr">
        <is>
          <t>TYRE BUILDING-P3</t>
        </is>
      </c>
      <c r="F1176" s="136" t="n">
        <v>46076</v>
      </c>
      <c r="G1176" s="131">
        <f>NOW()-F1176</f>
        <v/>
      </c>
      <c r="H1176" s="104" t="inlineStr">
        <is>
          <t>L</t>
        </is>
      </c>
      <c r="I1176" s="104" t="inlineStr">
        <is>
          <t>I</t>
        </is>
      </c>
      <c r="J1176" s="104" t="n">
        <v>5</v>
      </c>
      <c r="K1176" s="104" t="n">
        <v>5</v>
      </c>
      <c r="L1176" s="104" t="n">
        <v>4</v>
      </c>
      <c r="M1176" s="104" t="n">
        <v>5</v>
      </c>
      <c r="N1176" s="104" t="n"/>
      <c r="O1176" s="104">
        <f>SUM(J1176:N1176)</f>
        <v/>
      </c>
      <c r="P1176" s="12">
        <f>O1176/IF(H1176="L",20,IF(H1176="U",30,IF(H1176="O",40,IF(H1176="I",20,""))))</f>
        <v/>
      </c>
      <c r="Q1176" s="132">
        <f>IF(AND(H1176="L", P1176&gt;=50%), "Pass",
IF(AND(H1176="U", P1176&gt;=60%), "Pass",
IF(AND(H1176="O", P1176&gt;=75%), "Pass", "Fail")))</f>
        <v/>
      </c>
      <c r="R1176" s="104" t="n"/>
      <c r="S1176" s="104" t="n">
        <v>17</v>
      </c>
      <c r="T1176" s="104" t="n">
        <v>14</v>
      </c>
      <c r="U1176" s="104">
        <f>SUM(S1176:T1176)</f>
        <v/>
      </c>
      <c r="V1176" s="12">
        <f>U1176/IF(H1176="L",35,IF(H1176="U",35,IF(H1176="O",35,IF(H1176="I",35,""))))</f>
        <v/>
      </c>
      <c r="W1176" s="132">
        <f>IF(AND(H1176="L", V1176&gt;=50%), "Pass",
IF(AND(H1176="U", V1176&gt;=60%), "Pass",
IF(AND(H1176="O", V1176&gt;=75%), "Pass", "Fail")))</f>
        <v/>
      </c>
      <c r="X1176" s="132">
        <f>IF(AND(Q1176="Pass", W1176="Pass"), "Pass", "Fail")</f>
        <v/>
      </c>
      <c r="Y1176" s="15">
        <f>IF($X1176="Pass",$H1176,
IF(H1176="L","I",
IF(H1176="U","L",
IF(H1176="O","U",
"I"))))</f>
        <v/>
      </c>
    </row>
    <row r="1177">
      <c r="A1177" s="147">
        <f>ROW()-2</f>
        <v/>
      </c>
      <c r="B1177" s="133" t="inlineStr">
        <is>
          <t>SK3732</t>
        </is>
      </c>
      <c r="C1177" s="148" t="inlineStr">
        <is>
          <t>KARAN KHALKHO</t>
        </is>
      </c>
      <c r="D1177" s="133" t="inlineStr">
        <is>
          <t>PRODUCTION</t>
        </is>
      </c>
      <c r="E1177" s="135" t="inlineStr">
        <is>
          <t>TYRE BUILDING-P3</t>
        </is>
      </c>
      <c r="F1177" s="136" t="n">
        <v>46077</v>
      </c>
      <c r="G1177" s="131">
        <f>NOW()-F1177</f>
        <v/>
      </c>
      <c r="H1177" s="104" t="inlineStr">
        <is>
          <t>L</t>
        </is>
      </c>
      <c r="I1177" s="104" t="inlineStr">
        <is>
          <t>I</t>
        </is>
      </c>
      <c r="J1177" s="104" t="n">
        <v>1</v>
      </c>
      <c r="K1177" s="104" t="n">
        <v>2</v>
      </c>
      <c r="L1177" s="104" t="n">
        <v>1</v>
      </c>
      <c r="M1177" s="104" t="n">
        <v>3</v>
      </c>
      <c r="N1177" s="104" t="n"/>
      <c r="O1177" s="104">
        <f>SUM(J1177:N1177)</f>
        <v/>
      </c>
      <c r="P1177" s="12">
        <f>O1177/IF(H1177="L",20,IF(H1177="U",30,IF(H1177="O",40,IF(H1177="I",20,""))))</f>
        <v/>
      </c>
      <c r="Q1177" s="132">
        <f>IF(AND(H1177="L", P1177&gt;=50%), "Pass",
IF(AND(H1177="U", P1177&gt;=60%), "Pass",
IF(AND(H1177="O", P1177&gt;=75%), "Pass", "Fail")))</f>
        <v/>
      </c>
      <c r="R1177" s="104" t="n"/>
      <c r="S1177" s="104" t="n">
        <v>17</v>
      </c>
      <c r="T1177" s="104" t="n">
        <v>14</v>
      </c>
      <c r="U1177" s="104">
        <f>SUM(S1177:T1177)</f>
        <v/>
      </c>
      <c r="V1177" s="12">
        <f>U1177/IF(H1177="L",35,IF(H1177="U",35,IF(H1177="O",35,IF(H1177="I",35,""))))</f>
        <v/>
      </c>
      <c r="W1177" s="132">
        <f>IF(AND(H1177="L", V1177&gt;=50%), "Pass",
IF(AND(H1177="U", V1177&gt;=60%), "Pass",
IF(AND(H1177="O", V1177&gt;=75%), "Pass", "Fail")))</f>
        <v/>
      </c>
      <c r="X1177" s="132">
        <f>IF(AND(Q1177="Pass", W1177="Pass"), "Pass", "Fail")</f>
        <v/>
      </c>
      <c r="Y1177" s="15">
        <f>IF($X1177="Pass",$H1177,
IF(H1177="L","I",
IF(H1177="U","L",
IF(H1177="O","U",
"I"))))</f>
        <v/>
      </c>
    </row>
    <row r="1178">
      <c r="A1178" s="147">
        <f>ROW()-2</f>
        <v/>
      </c>
      <c r="B1178" s="127" t="inlineStr">
        <is>
          <t>UDS1669</t>
        </is>
      </c>
      <c r="C1178" s="128" t="inlineStr">
        <is>
          <t>MURUGESAN M</t>
        </is>
      </c>
      <c r="D1178" s="127" t="inlineStr">
        <is>
          <t>PRODUCTION</t>
        </is>
      </c>
      <c r="E1178" s="129" t="inlineStr">
        <is>
          <t>TYRE CURING</t>
        </is>
      </c>
      <c r="F1178" s="130" t="n">
        <v>46083</v>
      </c>
      <c r="G1178" s="131">
        <f>NOW()-F1178</f>
        <v/>
      </c>
      <c r="H1178" s="104" t="inlineStr">
        <is>
          <t>L</t>
        </is>
      </c>
      <c r="I1178" s="104" t="inlineStr">
        <is>
          <t>I</t>
        </is>
      </c>
      <c r="J1178" s="104" t="n">
        <v>4</v>
      </c>
      <c r="K1178" s="104" t="n">
        <v>1</v>
      </c>
      <c r="L1178" s="104" t="n">
        <v>1</v>
      </c>
      <c r="M1178" s="104" t="n">
        <v>2</v>
      </c>
      <c r="N1178" s="104" t="n">
        <v>2</v>
      </c>
      <c r="O1178" s="104">
        <f>SUM(J1178:N1178)</f>
        <v/>
      </c>
      <c r="P1178" s="12">
        <f>O1178/IF(H1178="L",20,IF(H1178="U",30,IF(H1178="O",40,IF(H1178="I",20,""))))</f>
        <v/>
      </c>
      <c r="Q1178" s="132">
        <f>IF(AND(H1178="L", P1178&gt;=50%), "Pass",
IF(AND(H1178="U", P1178&gt;=60%), "Pass",
IF(AND(H1178="O", P1178&gt;=75%), "Pass", "Fail")))</f>
        <v/>
      </c>
      <c r="R1178" s="104" t="n"/>
      <c r="S1178" s="104" t="n">
        <v>13</v>
      </c>
      <c r="T1178" s="104" t="n">
        <v>10</v>
      </c>
      <c r="U1178" s="104">
        <f>SUM(S1178:T1178)</f>
        <v/>
      </c>
      <c r="V1178" s="12">
        <f>U1178/IF(H1178="L",35,IF(H1178="U",35,IF(H1178="O",35,IF(H1178="I",35,""))))</f>
        <v/>
      </c>
      <c r="W1178" s="132">
        <f>IF(AND(H1178="L", V1178&gt;=50%), "Pass",
IF(AND(H1178="U", V1178&gt;=60%), "Pass",
IF(AND(H1178="O", V1178&gt;=75%), "Pass", "Fail")))</f>
        <v/>
      </c>
      <c r="X1178" s="132">
        <f>IF(AND(Q1178="Pass", W1178="Pass"), "Pass", "Fail")</f>
        <v/>
      </c>
      <c r="Y1178" s="15">
        <f>IF($X1178="Pass",$H1178,
IF(H1178="L","I",
IF(H1178="U","L",
IF(H1178="O","U",
"I"))))</f>
        <v/>
      </c>
    </row>
    <row r="1179">
      <c r="A1179" s="147">
        <f>ROW()-2</f>
        <v/>
      </c>
      <c r="B1179" s="133" t="inlineStr">
        <is>
          <t>SK3743</t>
        </is>
      </c>
      <c r="C1179" s="148" t="inlineStr">
        <is>
          <t>NIRAJORAON</t>
        </is>
      </c>
      <c r="D1179" s="133" t="inlineStr">
        <is>
          <t>PRODUCTION</t>
        </is>
      </c>
      <c r="E1179" s="135" t="inlineStr">
        <is>
          <t>TYRE BUILDING-P2</t>
        </is>
      </c>
      <c r="F1179" s="136" t="n">
        <v>46090</v>
      </c>
      <c r="G1179" s="131">
        <f>NOW()-F1179</f>
        <v/>
      </c>
      <c r="H1179" s="104" t="inlineStr">
        <is>
          <t>L</t>
        </is>
      </c>
      <c r="I1179" s="104" t="inlineStr">
        <is>
          <t>I</t>
        </is>
      </c>
      <c r="J1179" s="104" t="n">
        <v>3</v>
      </c>
      <c r="K1179" s="104" t="n">
        <v>2</v>
      </c>
      <c r="L1179" s="104" t="n">
        <v>1</v>
      </c>
      <c r="M1179" s="104" t="n">
        <v>4</v>
      </c>
      <c r="N1179" s="104" t="n"/>
      <c r="O1179" s="104">
        <f>SUM(J1179:M1179)</f>
        <v/>
      </c>
      <c r="P1179" s="12">
        <f>O1179/IF(H1179="L",20,IF(H1179="U",30,IF(H1179="O",40,IF(H1179="I",20,""))))</f>
        <v/>
      </c>
      <c r="Q1179" s="132">
        <f>IF(AND(H1179="L", P1179&gt;=50%), "Pass",
IF(AND(H1179="U", P1179&gt;=60%), "Pass",
IF(AND(H1179="O", P1179&gt;=75%), "Pass", "Fail")))</f>
        <v/>
      </c>
      <c r="R1179" s="104" t="n"/>
      <c r="S1179" s="104" t="n">
        <v>10</v>
      </c>
      <c r="T1179" s="104" t="n">
        <v>7</v>
      </c>
      <c r="U1179" s="104">
        <f>SUM(S1179:T1179)</f>
        <v/>
      </c>
      <c r="V1179" s="12">
        <f>U1179/IF(H1179="L",35,IF(H1179="U",35,IF(H1179="O",35,IF(H1179="I",35,""))))</f>
        <v/>
      </c>
      <c r="W1179" s="132">
        <f>IF(AND(H1179="L", V1179&gt;=50%), "Pass",
IF(AND(H1179="U", V1179&gt;=60%), "Pass",
IF(AND(H1179="O", V1179&gt;=75%), "Pass", "Fail")))</f>
        <v/>
      </c>
      <c r="X1179" s="132">
        <f>IF(AND(Q1179="Pass", W1179="Pass"), "Pass", "Fail")</f>
        <v/>
      </c>
      <c r="Y1179" s="15">
        <f>IF($X1179="Pass",$H1179,
IF(H1179="L","I",
IF(H1179="U","L",
IF(H1179="O","U",
"I"))))</f>
        <v/>
      </c>
    </row>
    <row r="1180">
      <c r="A1180" s="147">
        <f>ROW()-2</f>
        <v/>
      </c>
      <c r="B1180" s="133" t="inlineStr">
        <is>
          <t>LN1237</t>
        </is>
      </c>
      <c r="C1180" s="148" t="inlineStr">
        <is>
          <t>MERCY RANI</t>
        </is>
      </c>
      <c r="D1180" s="133" t="inlineStr">
        <is>
          <t>PRODUCTION</t>
        </is>
      </c>
      <c r="E1180" s="135" t="inlineStr">
        <is>
          <t>BEAD WINDING</t>
        </is>
      </c>
      <c r="F1180" s="136" t="n">
        <v>46097</v>
      </c>
      <c r="G1180" s="131">
        <f>NOW()-F1180</f>
        <v/>
      </c>
      <c r="H1180" s="104" t="inlineStr">
        <is>
          <t>L</t>
        </is>
      </c>
      <c r="I1180" s="104" t="inlineStr">
        <is>
          <t>I</t>
        </is>
      </c>
      <c r="J1180" s="104" t="n">
        <v>4</v>
      </c>
      <c r="K1180" s="104" t="n">
        <v>1</v>
      </c>
      <c r="L1180" s="104" t="n">
        <v>4</v>
      </c>
      <c r="M1180" s="104" t="n">
        <v>4</v>
      </c>
      <c r="N1180" s="104" t="n"/>
      <c r="O1180" s="104">
        <f>SUM(J1180:N1180)</f>
        <v/>
      </c>
      <c r="P1180" s="12">
        <f>O1180/IF(H1180="L",20,IF(H1180="U",30,IF(H1180="O",40,IF(H1180="I",20,""))))</f>
        <v/>
      </c>
      <c r="Q1180" s="132">
        <f>IF(AND(H1180="L", P1180&gt;=50%), "Pass",
IF(AND(H1180="U", P1180&gt;=60%), "Pass",
IF(AND(H1180="O", P1180&gt;=75%), "Pass", "Fail")))</f>
        <v/>
      </c>
      <c r="R1180" s="104" t="n"/>
      <c r="S1180" s="104" t="n">
        <v>12</v>
      </c>
      <c r="T1180" s="104" t="n">
        <v>8</v>
      </c>
      <c r="U1180" s="104">
        <f>SUM(S1180:T1180)</f>
        <v/>
      </c>
      <c r="V1180" s="12">
        <f>U1180/IF(H1180="L",35,IF(H1180="U",35,IF(H1180="O",35,IF(H1180="I",35,""))))</f>
        <v/>
      </c>
      <c r="W1180" s="132">
        <f>IF(AND(H1180="L", V1180&gt;=50%), "Pass",
IF(AND(H1180="U", V1180&gt;=60%), "Pass",
IF(AND(H1180="O", V1180&gt;=75%), "Pass", "Fail")))</f>
        <v/>
      </c>
      <c r="X1180" s="132">
        <f>IF(AND(Q1180="Pass", W1180="Pass"), "Pass", "Fail")</f>
        <v/>
      </c>
      <c r="Y1180" s="15">
        <f>IF($X1180="Pass",$H1180,
IF(H1180="L","I",
IF(H1180="U","L",
IF(H1180="O","U",
"I"))))</f>
        <v/>
      </c>
    </row>
    <row r="1181">
      <c r="A1181" s="147">
        <f>ROW()-2</f>
        <v/>
      </c>
      <c r="B1181" s="133" t="inlineStr">
        <is>
          <t>KK1521</t>
        </is>
      </c>
      <c r="C1181" s="148" t="inlineStr">
        <is>
          <t>ULAGANATHAN V</t>
        </is>
      </c>
      <c r="D1181" s="133" t="inlineStr">
        <is>
          <t>PRODUCTION</t>
        </is>
      </c>
      <c r="E1181" s="135" t="inlineStr">
        <is>
          <t>TYRE BUILDING-P3</t>
        </is>
      </c>
      <c r="F1181" s="136" t="n">
        <v>46104</v>
      </c>
      <c r="G1181" s="131">
        <f>NOW()-F1181</f>
        <v/>
      </c>
      <c r="H1181" s="104" t="inlineStr">
        <is>
          <t>L</t>
        </is>
      </c>
      <c r="I1181" s="104" t="inlineStr">
        <is>
          <t>I</t>
        </is>
      </c>
      <c r="J1181" s="104" t="n">
        <v>5</v>
      </c>
      <c r="K1181" s="104" t="n">
        <v>3</v>
      </c>
      <c r="L1181" s="104" t="n">
        <v>5</v>
      </c>
      <c r="M1181" s="104" t="n">
        <v>4</v>
      </c>
      <c r="N1181" s="104" t="n"/>
      <c r="O1181" s="104">
        <f>SUM(J1181:N1181)</f>
        <v/>
      </c>
      <c r="P1181" s="12">
        <f>O1181/IF(H1181="L",20,IF(H1181="U",30,IF(H1181="O",40,IF(H1181="I",20,""))))</f>
        <v/>
      </c>
      <c r="Q1181" s="132">
        <f>IF(AND(H1181="L", P1181&gt;=50%), "Pass",
IF(AND(H1181="U", P1181&gt;=60%), "Pass",
IF(AND(H1181="O", P1181&gt;=75%), "Pass", "Fail")))</f>
        <v/>
      </c>
      <c r="R1181" s="104" t="n"/>
      <c r="S1181" s="104" t="n">
        <v>19</v>
      </c>
      <c r="T1181" s="104" t="n">
        <v>13</v>
      </c>
      <c r="U1181" s="104">
        <f>SUM(S1181:T1181)</f>
        <v/>
      </c>
      <c r="V1181" s="12">
        <f>U1181/IF(H1181="L",35,IF(H1181="U",35,IF(H1181="O",35,IF(H1181="I",35,""))))</f>
        <v/>
      </c>
      <c r="W1181" s="132">
        <f>IF(AND(H1181="L", V1181&gt;=50%), "Pass",
IF(AND(H1181="U", V1181&gt;=60%), "Pass",
IF(AND(H1181="O", V1181&gt;=75%), "Pass", "Fail")))</f>
        <v/>
      </c>
      <c r="X1181" s="132">
        <f>IF(AND(Q1181="Pass", W1181="Pass"), "Pass", "Fail")</f>
        <v/>
      </c>
      <c r="Y1181" s="15">
        <f>IF($X1181="Pass",$H1181,
IF(H1181="L","I",
IF(H1181="U","L",
IF(H1181="O","U",
"I"))))</f>
        <v/>
      </c>
    </row>
    <row r="1182">
      <c r="A1182" s="185">
        <f>ROW()-2</f>
        <v/>
      </c>
      <c r="B1182" s="133" t="inlineStr">
        <is>
          <t>900262</t>
        </is>
      </c>
      <c r="C1182" s="148" t="inlineStr">
        <is>
          <t>S. MEENAKSHI SUNDARAM</t>
        </is>
      </c>
      <c r="D1182" s="133" t="inlineStr">
        <is>
          <t>QUALITY CONTROL</t>
        </is>
      </c>
      <c r="E1182" s="186" t="inlineStr">
        <is>
          <t>Tire building QA</t>
        </is>
      </c>
      <c r="F1182" s="187" t="n">
        <v>40634</v>
      </c>
      <c r="G1182" s="188">
        <f>NOW()-F1182</f>
        <v/>
      </c>
      <c r="H1182" s="189" t="inlineStr">
        <is>
          <t>O</t>
        </is>
      </c>
      <c r="I1182" s="189" t="inlineStr">
        <is>
          <t>O</t>
        </is>
      </c>
      <c r="J1182" s="189" t="n">
        <v>10</v>
      </c>
      <c r="K1182" s="189" t="n">
        <v>18</v>
      </c>
      <c r="L1182" s="189" t="n">
        <v>0</v>
      </c>
      <c r="M1182" s="189" t="n">
        <v>9</v>
      </c>
      <c r="N1182" s="189" t="n"/>
      <c r="O1182" s="189">
        <f>SUM(J1182:N1182)</f>
        <v/>
      </c>
      <c r="P1182" s="190">
        <f>O1182/IF(H1182="L",20,IF(H1182="U",30,IF(H1182="O",40,IF(H1182="I",20,""))))</f>
        <v/>
      </c>
      <c r="Q1182" s="190">
        <f>IF(AND(H1182="L", P1182&gt;=50%), "Pass", IF(AND(H1182="U", P1182&gt;=60%), "Pass", IF(AND(H1182="O", P1182&gt;=75%), "Pass", "Fail")))</f>
        <v/>
      </c>
      <c r="R1182" s="189" t="n"/>
      <c r="S1182" s="189" t="n">
        <v>15</v>
      </c>
      <c r="T1182" s="189" t="n">
        <v>15</v>
      </c>
      <c r="U1182" s="189">
        <f>SUM(S1182:T1182)</f>
        <v/>
      </c>
      <c r="V1182" s="190">
        <f>U1182/IF(H1182="L",35,IF(H1182="U",35,IF(H1182="O",35,IF(H1182="I",35,""))))</f>
        <v/>
      </c>
      <c r="W1182" s="190">
        <f>IF(AND(H1182="L", V1182&gt;=50%), "Pass", IF(AND(H1182="U", V1182&gt;=60%), "Pass", IF(AND(H1182="O", V1182&gt;=75%), "Pass", "Fail")))</f>
        <v/>
      </c>
      <c r="X1182" s="190">
        <f>IF(AND(Q1182="Pass", W1182="Pass"), "Pass", "Fail")</f>
        <v/>
      </c>
      <c r="Y1182" s="191">
        <f>IF($X1182="Pass",$H1182, IF(H1182="L","I", IF(H1182="U","L", IF(H1182="O","U", "I"))))</f>
        <v/>
      </c>
      <c r="Z1182" s="182" t="n"/>
    </row>
    <row r="1183">
      <c r="A1183" s="185">
        <f>ROW()-2</f>
        <v/>
      </c>
      <c r="B1183" s="133" t="inlineStr">
        <is>
          <t>900445</t>
        </is>
      </c>
      <c r="C1183" s="148" t="inlineStr">
        <is>
          <t>C. KANNAN</t>
        </is>
      </c>
      <c r="D1183" s="133" t="inlineStr">
        <is>
          <t>QUALITY CONTROL</t>
        </is>
      </c>
      <c r="E1183" s="186" t="inlineStr">
        <is>
          <t>Tire building QA</t>
        </is>
      </c>
      <c r="F1183" s="187" t="n">
        <v>41000</v>
      </c>
      <c r="G1183" s="188">
        <f>NOW()-F1183</f>
        <v/>
      </c>
      <c r="H1183" s="189" t="inlineStr">
        <is>
          <t>O</t>
        </is>
      </c>
      <c r="I1183" s="189" t="inlineStr">
        <is>
          <t>O</t>
        </is>
      </c>
      <c r="J1183" s="189" t="n">
        <v>10</v>
      </c>
      <c r="K1183" s="189" t="n">
        <v>18</v>
      </c>
      <c r="L1183" s="189" t="n">
        <v>0</v>
      </c>
      <c r="M1183" s="189" t="n">
        <v>9</v>
      </c>
      <c r="N1183" s="189" t="n"/>
      <c r="O1183" s="189">
        <f>SUM(J1183:N1183)</f>
        <v/>
      </c>
      <c r="P1183" s="190">
        <f>O1183/IF(H1183="L",20,IF(H1183="U",30,IF(H1183="O",40,IF(H1183="I",20,""))))</f>
        <v/>
      </c>
      <c r="Q1183" s="190">
        <f>IF(AND(H1183="L", P1183&gt;=50%), "Pass", IF(AND(H1183="U", P1183&gt;=60%), "Pass", IF(AND(H1183="O", P1183&gt;=75%), "Pass", "Fail")))</f>
        <v/>
      </c>
      <c r="R1183" s="189" t="n"/>
      <c r="S1183" s="189" t="n">
        <v>15</v>
      </c>
      <c r="T1183" s="189" t="n">
        <v>15</v>
      </c>
      <c r="U1183" s="189">
        <f>SUM(S1183:T1183)</f>
        <v/>
      </c>
      <c r="V1183" s="190">
        <f>U1183/IF(H1183="L",35,IF(H1183="U",35,IF(H1183="O",35,IF(H1183="I",35,""))))</f>
        <v/>
      </c>
      <c r="W1183" s="190">
        <f>IF(AND(H1183="L", V1183&gt;=50%), "Pass", IF(AND(H1183="U", V1183&gt;=60%), "Pass", IF(AND(H1183="O", V1183&gt;=75%), "Pass", "Fail")))</f>
        <v/>
      </c>
      <c r="X1183" s="190">
        <f>IF(AND(Q1183="Pass", W1183="Pass"), "Pass", "Fail")</f>
        <v/>
      </c>
      <c r="Y1183" s="191">
        <f>IF($X1183="Pass",$H1183, IF(H1183="L","I", IF(H1183="U","L", IF(H1183="O","U", "I"))))</f>
        <v/>
      </c>
      <c r="Z1183" s="182" t="n"/>
    </row>
    <row r="1184">
      <c r="A1184" s="185">
        <f>ROW()-2</f>
        <v/>
      </c>
      <c r="B1184" s="133" t="inlineStr">
        <is>
          <t>900446</t>
        </is>
      </c>
      <c r="C1184" s="148" t="inlineStr">
        <is>
          <t>I. JESU RAJ</t>
        </is>
      </c>
      <c r="D1184" s="133" t="inlineStr">
        <is>
          <t>QUALITY CONTROL</t>
        </is>
      </c>
      <c r="E1184" s="186" t="inlineStr">
        <is>
          <t>Tire building QA</t>
        </is>
      </c>
      <c r="F1184" s="187" t="n">
        <v>41000</v>
      </c>
      <c r="G1184" s="188">
        <f>NOW()-F1184</f>
        <v/>
      </c>
      <c r="H1184" s="189" t="inlineStr">
        <is>
          <t>O</t>
        </is>
      </c>
      <c r="I1184" s="189" t="inlineStr">
        <is>
          <t>O</t>
        </is>
      </c>
      <c r="J1184" s="189" t="n">
        <v>10</v>
      </c>
      <c r="K1184" s="189" t="n">
        <v>18</v>
      </c>
      <c r="L1184" s="189" t="n">
        <v>0</v>
      </c>
      <c r="M1184" s="189" t="n">
        <v>9</v>
      </c>
      <c r="N1184" s="189" t="n"/>
      <c r="O1184" s="189">
        <f>SUM(J1184:N1184)</f>
        <v/>
      </c>
      <c r="P1184" s="190">
        <f>O1184/IF(H1184="L",20,IF(H1184="U",30,IF(H1184="O",40,IF(H1184="I",20,""))))</f>
        <v/>
      </c>
      <c r="Q1184" s="190">
        <f>IF(AND(H1184="L", P1184&gt;=50%), "Pass", IF(AND(H1184="U", P1184&gt;=60%), "Pass", IF(AND(H1184="O", P1184&gt;=75%), "Pass", "Fail")))</f>
        <v/>
      </c>
      <c r="R1184" s="189" t="n"/>
      <c r="S1184" s="189" t="n">
        <v>15</v>
      </c>
      <c r="T1184" s="189" t="n">
        <v>15</v>
      </c>
      <c r="U1184" s="189">
        <f>SUM(S1184:T1184)</f>
        <v/>
      </c>
      <c r="V1184" s="190">
        <f>U1184/IF(H1184="L",35,IF(H1184="U",35,IF(H1184="O",35,IF(H1184="I",35,""))))</f>
        <v/>
      </c>
      <c r="W1184" s="190">
        <f>IF(AND(H1184="L", V1184&gt;=50%), "Pass", IF(AND(H1184="U", V1184&gt;=60%), "Pass", IF(AND(H1184="O", V1184&gt;=75%), "Pass", "Fail")))</f>
        <v/>
      </c>
      <c r="X1184" s="190">
        <f>IF(AND(Q1184="Pass", W1184="Pass"), "Pass", "Fail")</f>
        <v/>
      </c>
      <c r="Y1184" s="191">
        <f>IF($X1184="Pass",$H1184, IF(H1184="L","I", IF(H1184="U","L", IF(H1184="O","U", "I"))))</f>
        <v/>
      </c>
      <c r="Z1184" s="182" t="n"/>
    </row>
    <row r="1185">
      <c r="A1185" s="185">
        <f>ROW()-2</f>
        <v/>
      </c>
      <c r="B1185" s="133" t="inlineStr">
        <is>
          <t>900597</t>
        </is>
      </c>
      <c r="C1185" s="148" t="inlineStr">
        <is>
          <t>M. SANKARALINGAM</t>
        </is>
      </c>
      <c r="D1185" s="133" t="inlineStr">
        <is>
          <t>QUALITY CONTROL</t>
        </is>
      </c>
      <c r="E1185" s="186" t="inlineStr">
        <is>
          <t>Tire building QA</t>
        </is>
      </c>
      <c r="F1185" s="187" t="n">
        <v>41365</v>
      </c>
      <c r="G1185" s="188">
        <f>NOW()-F1185</f>
        <v/>
      </c>
      <c r="H1185" s="189" t="inlineStr">
        <is>
          <t>O</t>
        </is>
      </c>
      <c r="I1185" s="189" t="inlineStr">
        <is>
          <t>O</t>
        </is>
      </c>
      <c r="J1185" s="189" t="n">
        <v>10</v>
      </c>
      <c r="K1185" s="189" t="n">
        <v>19</v>
      </c>
      <c r="L1185" s="189" t="n">
        <v>0</v>
      </c>
      <c r="M1185" s="189" t="n">
        <v>9</v>
      </c>
      <c r="N1185" s="189" t="n"/>
      <c r="O1185" s="189">
        <f>SUM(J1185:N1185)</f>
        <v/>
      </c>
      <c r="P1185" s="190">
        <f>O1185/IF(H1185="L",20,IF(H1185="U",30,IF(H1185="O",40,IF(H1185="I",20,""))))</f>
        <v/>
      </c>
      <c r="Q1185" s="190">
        <f>IF(AND(H1185="L", P1185&gt;=50%), "Pass", IF(AND(H1185="U", P1185&gt;=60%), "Pass", IF(AND(H1185="O", P1185&gt;=75%), "Pass", "Fail")))</f>
        <v/>
      </c>
      <c r="R1185" s="189" t="n"/>
      <c r="S1185" s="189" t="n">
        <v>15</v>
      </c>
      <c r="T1185" s="189" t="n">
        <v>15</v>
      </c>
      <c r="U1185" s="189">
        <f>SUM(S1185:T1185)</f>
        <v/>
      </c>
      <c r="V1185" s="190">
        <f>U1185/IF(H1185="L",35,IF(H1185="U",35,IF(H1185="O",35,IF(H1185="I",35,""))))</f>
        <v/>
      </c>
      <c r="W1185" s="190">
        <f>IF(AND(H1185="L", V1185&gt;=50%), "Pass", IF(AND(H1185="U", V1185&gt;=60%), "Pass", IF(AND(H1185="O", V1185&gt;=75%), "Pass", "Fail")))</f>
        <v/>
      </c>
      <c r="X1185" s="190">
        <f>IF(AND(Q1185="Pass", W1185="Pass"), "Pass", "Fail")</f>
        <v/>
      </c>
      <c r="Y1185" s="191">
        <f>IF($X1185="Pass",$H1185, IF(H1185="L","I", IF(H1185="U","L", IF(H1185="O","U", "I"))))</f>
        <v/>
      </c>
      <c r="Z1185" s="182" t="n"/>
    </row>
    <row r="1186">
      <c r="A1186" s="185">
        <f>ROW()-2</f>
        <v/>
      </c>
      <c r="B1186" s="133" t="inlineStr">
        <is>
          <t>IPF0014</t>
        </is>
      </c>
      <c r="C1186" s="148" t="inlineStr">
        <is>
          <t>KABILAN G</t>
        </is>
      </c>
      <c r="D1186" s="133" t="inlineStr">
        <is>
          <t>QUALITY CONTROL</t>
        </is>
      </c>
      <c r="E1186" s="186" t="inlineStr">
        <is>
          <t>Tire building QA</t>
        </is>
      </c>
      <c r="F1186" s="187" t="n">
        <v>46216</v>
      </c>
      <c r="G1186" s="188">
        <f>NOW()-F1186</f>
        <v/>
      </c>
      <c r="H1186" s="189" t="inlineStr">
        <is>
          <t>L</t>
        </is>
      </c>
      <c r="I1186" s="189" t="inlineStr">
        <is>
          <t>I</t>
        </is>
      </c>
      <c r="J1186" s="189" t="n"/>
      <c r="K1186" s="189" t="n"/>
      <c r="L1186" s="189" t="n"/>
      <c r="M1186" s="189" t="n"/>
      <c r="N1186" s="189" t="n"/>
      <c r="O1186" s="189">
        <f>SUM(J1186:N1186)</f>
        <v/>
      </c>
      <c r="P1186" s="190">
        <f>O1186/IF(H1186="L",20,IF(H1186="U",30,IF(H1186="O",40,IF(H1186="I",20,""))))</f>
        <v/>
      </c>
      <c r="Q1186" s="190">
        <f>IF(AND(H1186="L", P1186&gt;=50%), "Pass", IF(AND(H1186="U", P1186&gt;=60%), "Pass", IF(AND(H1186="O", P1186&gt;=75%), "Pass", "Fail")))</f>
        <v/>
      </c>
      <c r="R1186" s="189" t="n"/>
      <c r="S1186" s="189" t="n"/>
      <c r="T1186" s="189" t="n"/>
      <c r="U1186" s="189">
        <f>SUM(S1186:T1186)</f>
        <v/>
      </c>
      <c r="V1186" s="190">
        <f>U1186/IF(H1186="L",35,IF(H1186="U",35,IF(H1186="O",35,IF(H1186="I",35,""))))</f>
        <v/>
      </c>
      <c r="W1186" s="190">
        <f>IF(AND(H1186="L", V1186&gt;=50%), "Pass", IF(AND(H1186="U", V1186&gt;=60%), "Pass", IF(AND(H1186="O", V1186&gt;=75%), "Pass", "Fail")))</f>
        <v/>
      </c>
      <c r="X1186" s="190">
        <f>IF(AND(Q1186="Pass", W1186="Pass"), "Pass", "Fail")</f>
        <v/>
      </c>
      <c r="Y1186" s="191">
        <f>IF($X1186="Pass",$H1186, IF(H1186="L","I", IF(H1186="U","L", IF(H1186="O","U", "I"))))</f>
        <v/>
      </c>
      <c r="Z1186" s="182" t="n"/>
    </row>
    <row r="1187">
      <c r="A1187" s="185">
        <f>ROW()-2</f>
        <v/>
      </c>
      <c r="B1187" s="133" t="inlineStr">
        <is>
          <t>LN0439</t>
        </is>
      </c>
      <c r="C1187" s="148" t="inlineStr">
        <is>
          <t>PETCHIAMMAL P</t>
        </is>
      </c>
      <c r="D1187" s="133" t="inlineStr">
        <is>
          <t>QUALITY CONTROL</t>
        </is>
      </c>
      <c r="E1187" s="186" t="inlineStr">
        <is>
          <t>Tire building QA</t>
        </is>
      </c>
      <c r="F1187" s="187" t="n">
        <v>45482</v>
      </c>
      <c r="G1187" s="188">
        <f>NOW()-F1187</f>
        <v/>
      </c>
      <c r="H1187" s="189" t="inlineStr">
        <is>
          <t>U</t>
        </is>
      </c>
      <c r="I1187" s="189" t="inlineStr">
        <is>
          <t>L</t>
        </is>
      </c>
      <c r="J1187" s="189" t="n">
        <v>7</v>
      </c>
      <c r="K1187" s="189" t="n">
        <v>12</v>
      </c>
      <c r="L1187" s="189" t="n">
        <v>0</v>
      </c>
      <c r="M1187" s="189" t="n">
        <v>8</v>
      </c>
      <c r="N1187" s="189" t="n"/>
      <c r="O1187" s="189">
        <f>SUM(J1187:N1187)</f>
        <v/>
      </c>
      <c r="P1187" s="190">
        <f>O1187/IF(H1187="L",20,IF(H1187="U",30,IF(H1187="O",40,IF(H1187="I",20,""))))</f>
        <v/>
      </c>
      <c r="Q1187" s="190">
        <f>IF(AND(H1187="L", P1187&gt;=50%), "Pass", IF(AND(H1187="U", P1187&gt;=60%), "Pass", IF(AND(H1187="O", P1187&gt;=75%), "Pass", "Fail")))</f>
        <v/>
      </c>
      <c r="R1187" s="189" t="n"/>
      <c r="S1187" s="189" t="n">
        <v>15</v>
      </c>
      <c r="T1187" s="189" t="n">
        <v>15</v>
      </c>
      <c r="U1187" s="189">
        <f>SUM(S1187:T1187)</f>
        <v/>
      </c>
      <c r="V1187" s="190">
        <f>U1187/IF(H1187="L",35,IF(H1187="U",35,IF(H1187="O",35,IF(H1187="I",35,""))))</f>
        <v/>
      </c>
      <c r="W1187" s="190">
        <f>IF(AND(H1187="L", V1187&gt;=50%), "Pass", IF(AND(H1187="U", V1187&gt;=60%), "Pass", IF(AND(H1187="O", V1187&gt;=75%), "Pass", "Fail")))</f>
        <v/>
      </c>
      <c r="X1187" s="190">
        <f>IF(AND(Q1187="Pass", W1187="Pass"), "Pass", "Fail")</f>
        <v/>
      </c>
      <c r="Y1187" s="191">
        <f>IF($X1187="Pass",$H1187, IF(H1187="L","I", IF(H1187="U","L", IF(H1187="O","U", "I"))))</f>
        <v/>
      </c>
      <c r="Z1187" s="182" t="n"/>
    </row>
    <row r="1188">
      <c r="A1188" s="185">
        <f>ROW()-2</f>
        <v/>
      </c>
      <c r="B1188" s="133" t="inlineStr">
        <is>
          <t>LN0443</t>
        </is>
      </c>
      <c r="C1188" s="148" t="inlineStr">
        <is>
          <t>SIVARANJANI MARIAPPAN</t>
        </is>
      </c>
      <c r="D1188" s="133" t="inlineStr">
        <is>
          <t>QUALITY CONTROL</t>
        </is>
      </c>
      <c r="E1188" s="186" t="inlineStr">
        <is>
          <t>Tire building QA</t>
        </is>
      </c>
      <c r="F1188" s="187" t="n">
        <v>45482</v>
      </c>
      <c r="G1188" s="188">
        <f>NOW()-F1188</f>
        <v/>
      </c>
      <c r="H1188" s="189" t="inlineStr">
        <is>
          <t>U</t>
        </is>
      </c>
      <c r="I1188" s="189" t="inlineStr">
        <is>
          <t>L</t>
        </is>
      </c>
      <c r="J1188" s="189" t="n">
        <v>7</v>
      </c>
      <c r="K1188" s="189" t="n">
        <v>12</v>
      </c>
      <c r="L1188" s="189" t="n">
        <v>0</v>
      </c>
      <c r="M1188" s="189" t="n">
        <v>8</v>
      </c>
      <c r="N1188" s="189" t="n"/>
      <c r="O1188" s="189">
        <f>SUM(J1188:N1188)</f>
        <v/>
      </c>
      <c r="P1188" s="190">
        <f>O1188/IF(H1188="L",20,IF(H1188="U",30,IF(H1188="O",40,IF(H1188="I",20,""))))</f>
        <v/>
      </c>
      <c r="Q1188" s="190">
        <f>IF(AND(H1188="L", P1188&gt;=50%), "Pass", IF(AND(H1188="U", P1188&gt;=60%), "Pass", IF(AND(H1188="O", P1188&gt;=75%), "Pass", "Fail")))</f>
        <v/>
      </c>
      <c r="R1188" s="189" t="n"/>
      <c r="S1188" s="189" t="n">
        <v>15</v>
      </c>
      <c r="T1188" s="189" t="n">
        <v>15</v>
      </c>
      <c r="U1188" s="189">
        <f>SUM(S1188:T1188)</f>
        <v/>
      </c>
      <c r="V1188" s="190">
        <f>U1188/IF(H1188="L",35,IF(H1188="U",35,IF(H1188="O",35,IF(H1188="I",35,""))))</f>
        <v/>
      </c>
      <c r="W1188" s="190">
        <f>IF(AND(H1188="L", V1188&gt;=50%), "Pass", IF(AND(H1188="U", V1188&gt;=60%), "Pass", IF(AND(H1188="O", V1188&gt;=75%), "Pass", "Fail")))</f>
        <v/>
      </c>
      <c r="X1188" s="190">
        <f>IF(AND(Q1188="Pass", W1188="Pass"), "Pass", "Fail")</f>
        <v/>
      </c>
      <c r="Y1188" s="191">
        <f>IF($X1188="Pass",$H1188, IF(H1188="L","I", IF(H1188="U","L", IF(H1188="O","U", "I"))))</f>
        <v/>
      </c>
      <c r="Z1188" s="182" t="n"/>
    </row>
    <row r="1189">
      <c r="A1189" s="185">
        <f>ROW()-2</f>
        <v/>
      </c>
      <c r="B1189" s="133" t="inlineStr">
        <is>
          <t>LN0460</t>
        </is>
      </c>
      <c r="C1189" s="148" t="inlineStr">
        <is>
          <t>SANGEETHA S</t>
        </is>
      </c>
      <c r="D1189" s="133" t="inlineStr">
        <is>
          <t>QUALITY CONTROL</t>
        </is>
      </c>
      <c r="E1189" s="186" t="inlineStr">
        <is>
          <t>Tire building QA</t>
        </is>
      </c>
      <c r="F1189" s="187" t="n">
        <v>45482</v>
      </c>
      <c r="G1189" s="188">
        <f>NOW()-F1189</f>
        <v/>
      </c>
      <c r="H1189" s="189" t="inlineStr">
        <is>
          <t>U</t>
        </is>
      </c>
      <c r="I1189" s="189" t="inlineStr">
        <is>
          <t>L</t>
        </is>
      </c>
      <c r="J1189" s="189" t="n">
        <v>7</v>
      </c>
      <c r="K1189" s="189" t="n">
        <v>11</v>
      </c>
      <c r="L1189" s="189" t="n">
        <v>0</v>
      </c>
      <c r="M1189" s="189" t="n">
        <v>8</v>
      </c>
      <c r="N1189" s="189" t="n"/>
      <c r="O1189" s="189">
        <f>SUM(J1189:N1189)</f>
        <v/>
      </c>
      <c r="P1189" s="190">
        <f>O1189/IF(H1189="L",20,IF(H1189="U",30,IF(H1189="O",40,IF(H1189="I",20,""))))</f>
        <v/>
      </c>
      <c r="Q1189" s="190">
        <f>IF(AND(H1189="L", P1189&gt;=50%), "Pass", IF(AND(H1189="U", P1189&gt;=60%), "Pass", IF(AND(H1189="O", P1189&gt;=75%), "Pass", "Fail")))</f>
        <v/>
      </c>
      <c r="R1189" s="189" t="n"/>
      <c r="S1189" s="189" t="n">
        <v>15</v>
      </c>
      <c r="T1189" s="189" t="n">
        <v>15</v>
      </c>
      <c r="U1189" s="189">
        <f>SUM(S1189:T1189)</f>
        <v/>
      </c>
      <c r="V1189" s="190">
        <f>U1189/IF(H1189="L",35,IF(H1189="U",35,IF(H1189="O",35,IF(H1189="I",35,""))))</f>
        <v/>
      </c>
      <c r="W1189" s="190">
        <f>IF(AND(H1189="L", V1189&gt;=50%), "Pass", IF(AND(H1189="U", V1189&gt;=60%), "Pass", IF(AND(H1189="O", V1189&gt;=75%), "Pass", "Fail")))</f>
        <v/>
      </c>
      <c r="X1189" s="190">
        <f>IF(AND(Q1189="Pass", W1189="Pass"), "Pass", "Fail")</f>
        <v/>
      </c>
      <c r="Y1189" s="191">
        <f>IF($X1189="Pass",$H1189, IF(H1189="L","I", IF(H1189="U","L", IF(H1189="O","U", "I"))))</f>
        <v/>
      </c>
      <c r="Z1189" s="182" t="n"/>
    </row>
    <row r="1190">
      <c r="A1190" s="185">
        <f>ROW()-2</f>
        <v/>
      </c>
      <c r="B1190" s="133" t="inlineStr">
        <is>
          <t>LN0660</t>
        </is>
      </c>
      <c r="C1190" s="148" t="inlineStr">
        <is>
          <t>ESAKKIAMMAL</t>
        </is>
      </c>
      <c r="D1190" s="133" t="inlineStr">
        <is>
          <t>QUALITY CONTROL</t>
        </is>
      </c>
      <c r="E1190" s="186" t="inlineStr">
        <is>
          <t>Tire building QA</t>
        </is>
      </c>
      <c r="F1190" s="187" t="n">
        <v>45637</v>
      </c>
      <c r="G1190" s="188">
        <f>NOW()-F1190</f>
        <v/>
      </c>
      <c r="H1190" s="189" t="inlineStr">
        <is>
          <t>U</t>
        </is>
      </c>
      <c r="I1190" s="189" t="inlineStr">
        <is>
          <t>L</t>
        </is>
      </c>
      <c r="J1190" s="189" t="n">
        <v>7</v>
      </c>
      <c r="K1190" s="189" t="n">
        <v>12</v>
      </c>
      <c r="L1190" s="189" t="n">
        <v>0</v>
      </c>
      <c r="M1190" s="189" t="n">
        <v>8</v>
      </c>
      <c r="N1190" s="189" t="n"/>
      <c r="O1190" s="189">
        <f>SUM(J1190:N1190)</f>
        <v/>
      </c>
      <c r="P1190" s="190">
        <f>O1190/IF(H1190="L",20,IF(H1190="U",30,IF(H1190="O",40,IF(H1190="I",20,""))))</f>
        <v/>
      </c>
      <c r="Q1190" s="190">
        <f>IF(AND(H1190="L", P1190&gt;=50%), "Pass", IF(AND(H1190="U", P1190&gt;=60%), "Pass", IF(AND(H1190="O", P1190&gt;=75%), "Pass", "Fail")))</f>
        <v/>
      </c>
      <c r="R1190" s="189" t="n"/>
      <c r="S1190" s="189" t="n">
        <v>15</v>
      </c>
      <c r="T1190" s="189" t="n">
        <v>15</v>
      </c>
      <c r="U1190" s="189">
        <f>SUM(S1190:T1190)</f>
        <v/>
      </c>
      <c r="V1190" s="190">
        <f>U1190/IF(H1190="L",35,IF(H1190="U",35,IF(H1190="O",35,IF(H1190="I",35,""))))</f>
        <v/>
      </c>
      <c r="W1190" s="190">
        <f>IF(AND(H1190="L", V1190&gt;=50%), "Pass", IF(AND(H1190="U", V1190&gt;=60%), "Pass", IF(AND(H1190="O", V1190&gt;=75%), "Pass", "Fail")))</f>
        <v/>
      </c>
      <c r="X1190" s="190">
        <f>IF(AND(Q1190="Pass", W1190="Pass"), "Pass", "Fail")</f>
        <v/>
      </c>
      <c r="Y1190" s="191">
        <f>IF($X1190="Pass",$H1190, IF(H1190="L","I", IF(H1190="U","L", IF(H1190="O","U", "I"))))</f>
        <v/>
      </c>
      <c r="Z1190" s="182" t="n"/>
    </row>
    <row r="1191">
      <c r="A1191" s="185">
        <f>ROW()-2</f>
        <v/>
      </c>
      <c r="B1191" s="133" t="inlineStr">
        <is>
          <t>LN0664</t>
        </is>
      </c>
      <c r="C1191" s="148" t="inlineStr">
        <is>
          <t>MARIAMMAL  S</t>
        </is>
      </c>
      <c r="D1191" s="133" t="inlineStr">
        <is>
          <t>QUALITY CONTROL</t>
        </is>
      </c>
      <c r="E1191" s="186" t="inlineStr">
        <is>
          <t>Tire building QA</t>
        </is>
      </c>
      <c r="F1191" s="187" t="n">
        <v>45637</v>
      </c>
      <c r="G1191" s="188">
        <f>NOW()-F1191</f>
        <v/>
      </c>
      <c r="H1191" s="189" t="inlineStr">
        <is>
          <t>U</t>
        </is>
      </c>
      <c r="I1191" s="189" t="inlineStr">
        <is>
          <t>L</t>
        </is>
      </c>
      <c r="J1191" s="189" t="n">
        <v>7</v>
      </c>
      <c r="K1191" s="189" t="n">
        <v>13</v>
      </c>
      <c r="L1191" s="189" t="n">
        <v>0</v>
      </c>
      <c r="M1191" s="189" t="n">
        <v>8</v>
      </c>
      <c r="N1191" s="189" t="n"/>
      <c r="O1191" s="189">
        <f>SUM(J1191:N1191)</f>
        <v/>
      </c>
      <c r="P1191" s="190">
        <f>O1191/IF(H1191="L",20,IF(H1191="U",30,IF(H1191="O",40,IF(H1191="I",20,""))))</f>
        <v/>
      </c>
      <c r="Q1191" s="190">
        <f>IF(AND(H1191="L", P1191&gt;=50%), "Pass", IF(AND(H1191="U", P1191&gt;=60%), "Pass", IF(AND(H1191="O", P1191&gt;=75%), "Pass", "Fail")))</f>
        <v/>
      </c>
      <c r="R1191" s="189" t="n"/>
      <c r="S1191" s="189" t="n">
        <v>15</v>
      </c>
      <c r="T1191" s="189" t="n">
        <v>15</v>
      </c>
      <c r="U1191" s="189">
        <f>SUM(S1191:T1191)</f>
        <v/>
      </c>
      <c r="V1191" s="190">
        <f>U1191/IF(H1191="L",35,IF(H1191="U",35,IF(H1191="O",35,IF(H1191="I",35,""))))</f>
        <v/>
      </c>
      <c r="W1191" s="190">
        <f>IF(AND(H1191="L", V1191&gt;=50%), "Pass", IF(AND(H1191="U", V1191&gt;=60%), "Pass", IF(AND(H1191="O", V1191&gt;=75%), "Pass", "Fail")))</f>
        <v/>
      </c>
      <c r="X1191" s="190">
        <f>IF(AND(Q1191="Pass", W1191="Pass"), "Pass", "Fail")</f>
        <v/>
      </c>
      <c r="Y1191" s="191">
        <f>IF($X1191="Pass",$H1191, IF(H1191="L","I", IF(H1191="U","L", IF(H1191="O","U", "I"))))</f>
        <v/>
      </c>
      <c r="Z1191" s="182" t="n"/>
    </row>
    <row r="1192">
      <c r="A1192" s="185">
        <f>ROW()-2</f>
        <v/>
      </c>
      <c r="B1192" s="133" t="inlineStr">
        <is>
          <t>LN0670</t>
        </is>
      </c>
      <c r="C1192" s="148" t="inlineStr">
        <is>
          <t>MUTHARAMMAL S</t>
        </is>
      </c>
      <c r="D1192" s="133" t="inlineStr">
        <is>
          <t>QUALITY CONTROL</t>
        </is>
      </c>
      <c r="E1192" s="186" t="inlineStr">
        <is>
          <t>Tire building QA</t>
        </is>
      </c>
      <c r="F1192" s="187" t="n">
        <v>45637</v>
      </c>
      <c r="G1192" s="188">
        <f>NOW()-F1192</f>
        <v/>
      </c>
      <c r="H1192" s="189" t="inlineStr">
        <is>
          <t>U</t>
        </is>
      </c>
      <c r="I1192" s="189" t="inlineStr">
        <is>
          <t>L</t>
        </is>
      </c>
      <c r="J1192" s="189" t="n">
        <v>7</v>
      </c>
      <c r="K1192" s="189" t="n">
        <v>13</v>
      </c>
      <c r="L1192" s="189" t="n">
        <v>0</v>
      </c>
      <c r="M1192" s="189" t="n">
        <v>8</v>
      </c>
      <c r="N1192" s="189" t="n"/>
      <c r="O1192" s="189">
        <f>SUM(J1192:N1192)</f>
        <v/>
      </c>
      <c r="P1192" s="190">
        <f>O1192/IF(H1192="L",20,IF(H1192="U",30,IF(H1192="O",40,IF(H1192="I",20,""))))</f>
        <v/>
      </c>
      <c r="Q1192" s="190">
        <f>IF(AND(H1192="L", P1192&gt;=50%), "Pass", IF(AND(H1192="U", P1192&gt;=60%), "Pass", IF(AND(H1192="O", P1192&gt;=75%), "Pass", "Fail")))</f>
        <v/>
      </c>
      <c r="R1192" s="189" t="n"/>
      <c r="S1192" s="189" t="n">
        <v>15</v>
      </c>
      <c r="T1192" s="189" t="n">
        <v>15</v>
      </c>
      <c r="U1192" s="189">
        <f>SUM(S1192:T1192)</f>
        <v/>
      </c>
      <c r="V1192" s="190">
        <f>U1192/IF(H1192="L",35,IF(H1192="U",35,IF(H1192="O",35,IF(H1192="I",35,""))))</f>
        <v/>
      </c>
      <c r="W1192" s="190">
        <f>IF(AND(H1192="L", V1192&gt;=50%), "Pass", IF(AND(H1192="U", V1192&gt;=60%), "Pass", IF(AND(H1192="O", V1192&gt;=75%), "Pass", "Fail")))</f>
        <v/>
      </c>
      <c r="X1192" s="190">
        <f>IF(AND(Q1192="Pass", W1192="Pass"), "Pass", "Fail")</f>
        <v/>
      </c>
      <c r="Y1192" s="191">
        <f>IF($X1192="Pass",$H1192, IF(H1192="L","I", IF(H1192="U","L", IF(H1192="O","U", "I"))))</f>
        <v/>
      </c>
      <c r="Z1192" s="182" t="n"/>
    </row>
    <row r="1193">
      <c r="A1193" s="185">
        <f>ROW()-2</f>
        <v/>
      </c>
      <c r="B1193" s="133" t="inlineStr">
        <is>
          <t>LN0674</t>
        </is>
      </c>
      <c r="C1193" s="148" t="inlineStr">
        <is>
          <t>VASTHI RANI</t>
        </is>
      </c>
      <c r="D1193" s="133" t="inlineStr">
        <is>
          <t>QUALITY CONTROL</t>
        </is>
      </c>
      <c r="E1193" s="186" t="inlineStr">
        <is>
          <t>Tire building QA</t>
        </is>
      </c>
      <c r="F1193" s="187" t="n">
        <v>45637</v>
      </c>
      <c r="G1193" s="188">
        <f>NOW()-F1193</f>
        <v/>
      </c>
      <c r="H1193" s="189" t="inlineStr">
        <is>
          <t>U</t>
        </is>
      </c>
      <c r="I1193" s="189" t="inlineStr">
        <is>
          <t>L</t>
        </is>
      </c>
      <c r="J1193" s="189" t="n">
        <v>7</v>
      </c>
      <c r="K1193" s="189" t="n">
        <v>13</v>
      </c>
      <c r="L1193" s="189" t="n">
        <v>0</v>
      </c>
      <c r="M1193" s="189" t="n">
        <v>8</v>
      </c>
      <c r="N1193" s="189" t="n"/>
      <c r="O1193" s="189">
        <f>SUM(J1193:N1193)</f>
        <v/>
      </c>
      <c r="P1193" s="190">
        <f>O1193/IF(H1193="L",20,IF(H1193="U",30,IF(H1193="O",40,IF(H1193="I",20,""))))</f>
        <v/>
      </c>
      <c r="Q1193" s="190">
        <f>IF(AND(H1193="L", P1193&gt;=50%), "Pass", IF(AND(H1193="U", P1193&gt;=60%), "Pass", IF(AND(H1193="O", P1193&gt;=75%), "Pass", "Fail")))</f>
        <v/>
      </c>
      <c r="R1193" s="189" t="n"/>
      <c r="S1193" s="189" t="n">
        <v>15</v>
      </c>
      <c r="T1193" s="189" t="n">
        <v>15</v>
      </c>
      <c r="U1193" s="189">
        <f>SUM(S1193:T1193)</f>
        <v/>
      </c>
      <c r="V1193" s="190">
        <f>U1193/IF(H1193="L",35,IF(H1193="U",35,IF(H1193="O",35,IF(H1193="I",35,""))))</f>
        <v/>
      </c>
      <c r="W1193" s="190">
        <f>IF(AND(H1193="L", V1193&gt;=50%), "Pass", IF(AND(H1193="U", V1193&gt;=60%), "Pass", IF(AND(H1193="O", V1193&gt;=75%), "Pass", "Fail")))</f>
        <v/>
      </c>
      <c r="X1193" s="190">
        <f>IF(AND(Q1193="Pass", W1193="Pass"), "Pass", "Fail")</f>
        <v/>
      </c>
      <c r="Y1193" s="191">
        <f>IF($X1193="Pass",$H1193, IF(H1193="L","I", IF(H1193="U","L", IF(H1193="O","U", "I"))))</f>
        <v/>
      </c>
      <c r="Z1193" s="182" t="n"/>
    </row>
    <row r="1194">
      <c r="A1194" s="185">
        <f>ROW()-2</f>
        <v/>
      </c>
      <c r="B1194" s="133" t="inlineStr">
        <is>
          <t>LN0759</t>
        </is>
      </c>
      <c r="C1194" s="148" t="inlineStr">
        <is>
          <t>SAFIN BANU</t>
        </is>
      </c>
      <c r="D1194" s="133" t="inlineStr">
        <is>
          <t>QUALITY CONTROL</t>
        </is>
      </c>
      <c r="E1194" s="186" t="inlineStr">
        <is>
          <t>Tire building QA</t>
        </is>
      </c>
      <c r="F1194" s="187" t="n">
        <v>45699</v>
      </c>
      <c r="G1194" s="188">
        <f>NOW()-F1194</f>
        <v/>
      </c>
      <c r="H1194" s="189" t="inlineStr">
        <is>
          <t>U</t>
        </is>
      </c>
      <c r="I1194" s="189" t="inlineStr">
        <is>
          <t>L</t>
        </is>
      </c>
      <c r="J1194" s="189" t="n">
        <v>7</v>
      </c>
      <c r="K1194" s="189" t="n">
        <v>12</v>
      </c>
      <c r="L1194" s="189" t="n">
        <v>0</v>
      </c>
      <c r="M1194" s="189" t="n">
        <v>8</v>
      </c>
      <c r="N1194" s="189" t="n"/>
      <c r="O1194" s="189">
        <f>SUM(J1194:N1194)</f>
        <v/>
      </c>
      <c r="P1194" s="190">
        <f>O1194/IF(H1194="L",20,IF(H1194="U",30,IF(H1194="O",40,IF(H1194="I",20,""))))</f>
        <v/>
      </c>
      <c r="Q1194" s="190">
        <f>IF(AND(H1194="L", P1194&gt;=50%), "Pass", IF(AND(H1194="U", P1194&gt;=60%), "Pass", IF(AND(H1194="O", P1194&gt;=75%), "Pass", "Fail")))</f>
        <v/>
      </c>
      <c r="R1194" s="189" t="n"/>
      <c r="S1194" s="189" t="n">
        <v>15</v>
      </c>
      <c r="T1194" s="189" t="n">
        <v>15</v>
      </c>
      <c r="U1194" s="189">
        <f>SUM(S1194:T1194)</f>
        <v/>
      </c>
      <c r="V1194" s="190">
        <f>U1194/IF(H1194="L",35,IF(H1194="U",35,IF(H1194="O",35,IF(H1194="I",35,""))))</f>
        <v/>
      </c>
      <c r="W1194" s="190">
        <f>IF(AND(H1194="L", V1194&gt;=50%), "Pass", IF(AND(H1194="U", V1194&gt;=60%), "Pass", IF(AND(H1194="O", V1194&gt;=75%), "Pass", "Fail")))</f>
        <v/>
      </c>
      <c r="X1194" s="190">
        <f>IF(AND(Q1194="Pass", W1194="Pass"), "Pass", "Fail")</f>
        <v/>
      </c>
      <c r="Y1194" s="191">
        <f>IF($X1194="Pass",$H1194, IF(H1194="L","I", IF(H1194="U","L", IF(H1194="O","U", "I"))))</f>
        <v/>
      </c>
      <c r="Z1194" s="182" t="n"/>
    </row>
    <row r="1195">
      <c r="A1195" s="185">
        <f>ROW()-2</f>
        <v/>
      </c>
      <c r="B1195" s="133" t="inlineStr">
        <is>
          <t>LN0763</t>
        </is>
      </c>
      <c r="C1195" s="148" t="inlineStr">
        <is>
          <t>SANGEETHA S</t>
        </is>
      </c>
      <c r="D1195" s="133" t="inlineStr">
        <is>
          <t>QUALITY CONTROL</t>
        </is>
      </c>
      <c r="E1195" s="186" t="inlineStr">
        <is>
          <t>Tire building QA</t>
        </is>
      </c>
      <c r="F1195" s="187" t="n">
        <v>45699</v>
      </c>
      <c r="G1195" s="188">
        <f>NOW()-F1195</f>
        <v/>
      </c>
      <c r="H1195" s="189" t="inlineStr">
        <is>
          <t>U</t>
        </is>
      </c>
      <c r="I1195" s="189" t="inlineStr">
        <is>
          <t>L</t>
        </is>
      </c>
      <c r="J1195" s="189" t="n">
        <v>7</v>
      </c>
      <c r="K1195" s="189" t="n">
        <v>12</v>
      </c>
      <c r="L1195" s="189" t="n">
        <v>0</v>
      </c>
      <c r="M1195" s="189" t="n">
        <v>8</v>
      </c>
      <c r="N1195" s="189" t="n"/>
      <c r="O1195" s="189">
        <f>SUM(J1195:N1195)</f>
        <v/>
      </c>
      <c r="P1195" s="190">
        <f>O1195/IF(H1195="L",20,IF(H1195="U",30,IF(H1195="O",40,IF(H1195="I",20,""))))</f>
        <v/>
      </c>
      <c r="Q1195" s="190">
        <f>IF(AND(H1195="L", P1195&gt;=50%), "Pass", IF(AND(H1195="U", P1195&gt;=60%), "Pass", IF(AND(H1195="O", P1195&gt;=75%), "Pass", "Fail")))</f>
        <v/>
      </c>
      <c r="R1195" s="189" t="n"/>
      <c r="S1195" s="189" t="n">
        <v>15</v>
      </c>
      <c r="T1195" s="189" t="n">
        <v>15</v>
      </c>
      <c r="U1195" s="189">
        <f>SUM(S1195:T1195)</f>
        <v/>
      </c>
      <c r="V1195" s="190">
        <f>U1195/IF(H1195="L",35,IF(H1195="U",35,IF(H1195="O",35,IF(H1195="I",35,""))))</f>
        <v/>
      </c>
      <c r="W1195" s="190">
        <f>IF(AND(H1195="L", V1195&gt;=50%), "Pass", IF(AND(H1195="U", V1195&gt;=60%), "Pass", IF(AND(H1195="O", V1195&gt;=75%), "Pass", "Fail")))</f>
        <v/>
      </c>
      <c r="X1195" s="190">
        <f>IF(AND(Q1195="Pass", W1195="Pass"), "Pass", "Fail")</f>
        <v/>
      </c>
      <c r="Y1195" s="191">
        <f>IF($X1195="Pass",$H1195, IF(H1195="L","I", IF(H1195="U","L", IF(H1195="O","U", "I"))))</f>
        <v/>
      </c>
      <c r="Z1195" s="182" t="n"/>
    </row>
    <row r="1196">
      <c r="A1196" s="185">
        <f>ROW()-2</f>
        <v/>
      </c>
      <c r="B1196" s="133" t="inlineStr">
        <is>
          <t>LN0770</t>
        </is>
      </c>
      <c r="C1196" s="148" t="inlineStr">
        <is>
          <t>PRADEEPA T</t>
        </is>
      </c>
      <c r="D1196" s="133" t="inlineStr">
        <is>
          <t>QUALITY CONTROL</t>
        </is>
      </c>
      <c r="E1196" s="186" t="inlineStr">
        <is>
          <t>Tire building QA</t>
        </is>
      </c>
      <c r="F1196" s="187" t="n">
        <v>45699</v>
      </c>
      <c r="G1196" s="188">
        <f>NOW()-F1196</f>
        <v/>
      </c>
      <c r="H1196" s="189" t="inlineStr">
        <is>
          <t>U</t>
        </is>
      </c>
      <c r="I1196" s="189" t="inlineStr">
        <is>
          <t>L</t>
        </is>
      </c>
      <c r="J1196" s="189" t="n">
        <v>7</v>
      </c>
      <c r="K1196" s="189" t="n">
        <v>13</v>
      </c>
      <c r="L1196" s="189" t="n">
        <v>0</v>
      </c>
      <c r="M1196" s="189" t="n">
        <v>8</v>
      </c>
      <c r="N1196" s="189" t="n"/>
      <c r="O1196" s="189">
        <f>SUM(J1196:N1196)</f>
        <v/>
      </c>
      <c r="P1196" s="190">
        <f>O1196/IF(H1196="L",20,IF(H1196="U",30,IF(H1196="O",40,IF(H1196="I",20,""))))</f>
        <v/>
      </c>
      <c r="Q1196" s="190">
        <f>IF(AND(H1196="L", P1196&gt;=50%), "Pass", IF(AND(H1196="U", P1196&gt;=60%), "Pass", IF(AND(H1196="O", P1196&gt;=75%), "Pass", "Fail")))</f>
        <v/>
      </c>
      <c r="R1196" s="189" t="n"/>
      <c r="S1196" s="189" t="n">
        <v>15</v>
      </c>
      <c r="T1196" s="189" t="n">
        <v>15</v>
      </c>
      <c r="U1196" s="189">
        <f>SUM(S1196:T1196)</f>
        <v/>
      </c>
      <c r="V1196" s="190">
        <f>U1196/IF(H1196="L",35,IF(H1196="U",35,IF(H1196="O",35,IF(H1196="I",35,""))))</f>
        <v/>
      </c>
      <c r="W1196" s="190">
        <f>IF(AND(H1196="L", V1196&gt;=50%), "Pass", IF(AND(H1196="U", V1196&gt;=60%), "Pass", IF(AND(H1196="O", V1196&gt;=75%), "Pass", "Fail")))</f>
        <v/>
      </c>
      <c r="X1196" s="190">
        <f>IF(AND(Q1196="Pass", W1196="Pass"), "Pass", "Fail")</f>
        <v/>
      </c>
      <c r="Y1196" s="191">
        <f>IF($X1196="Pass",$H1196, IF(H1196="L","I", IF(H1196="U","L", IF(H1196="O","U", "I"))))</f>
        <v/>
      </c>
      <c r="Z1196" s="182" t="n"/>
    </row>
    <row r="1197">
      <c r="A1197" s="185">
        <f>ROW()-2</f>
        <v/>
      </c>
      <c r="B1197" s="133" t="inlineStr">
        <is>
          <t>LN0851</t>
        </is>
      </c>
      <c r="C1197" s="148" t="inlineStr">
        <is>
          <t>JEYAPRIYA M</t>
        </is>
      </c>
      <c r="D1197" s="133" t="inlineStr">
        <is>
          <t>QUALITY CONTROL</t>
        </is>
      </c>
      <c r="E1197" s="186" t="inlineStr">
        <is>
          <t>Tire building QA</t>
        </is>
      </c>
      <c r="F1197" s="187" t="n">
        <v>45770</v>
      </c>
      <c r="G1197" s="188">
        <f>NOW()-F1197</f>
        <v/>
      </c>
      <c r="H1197" s="189" t="inlineStr">
        <is>
          <t>U</t>
        </is>
      </c>
      <c r="I1197" s="189" t="inlineStr">
        <is>
          <t>L</t>
        </is>
      </c>
      <c r="J1197" s="189" t="n">
        <v>5</v>
      </c>
      <c r="K1197" s="189" t="n">
        <v>8</v>
      </c>
      <c r="L1197" s="189" t="n">
        <v>0</v>
      </c>
      <c r="M1197" s="189" t="n">
        <v>5</v>
      </c>
      <c r="N1197" s="189" t="n"/>
      <c r="O1197" s="189">
        <f>SUM(J1197:N1197)</f>
        <v/>
      </c>
      <c r="P1197" s="190">
        <f>O1197/IF(H1197="L",20,IF(H1197="U",30,IF(H1197="O",40,IF(H1197="I",20,""))))</f>
        <v/>
      </c>
      <c r="Q1197" s="190">
        <f>IF(AND(H1197="L", P1197&gt;=50%), "Pass", IF(AND(H1197="U", P1197&gt;=60%), "Pass", IF(AND(H1197="O", P1197&gt;=75%), "Pass", "Fail")))</f>
        <v/>
      </c>
      <c r="R1197" s="189" t="n"/>
      <c r="S1197" s="189" t="n">
        <v>15</v>
      </c>
      <c r="T1197" s="189" t="n">
        <v>15</v>
      </c>
      <c r="U1197" s="189">
        <f>SUM(S1197:T1197)</f>
        <v/>
      </c>
      <c r="V1197" s="190">
        <f>U1197/IF(H1197="L",35,IF(H1197="U",35,IF(H1197="O",35,IF(H1197="I",35,""))))</f>
        <v/>
      </c>
      <c r="W1197" s="190">
        <f>IF(AND(H1197="L", V1197&gt;=50%), "Pass", IF(AND(H1197="U", V1197&gt;=60%), "Pass", IF(AND(H1197="O", V1197&gt;=75%), "Pass", "Fail")))</f>
        <v/>
      </c>
      <c r="X1197" s="190">
        <f>IF(AND(Q1197="Pass", W1197="Pass"), "Pass", "Fail")</f>
        <v/>
      </c>
      <c r="Y1197" s="191">
        <f>IF($X1197="Pass",$H1197, IF(H1197="L","I", IF(H1197="U","L", IF(H1197="O","U", "I"))))</f>
        <v/>
      </c>
      <c r="Z1197" s="182" t="n"/>
    </row>
    <row r="1198">
      <c r="A1198" s="185">
        <f>ROW()-2</f>
        <v/>
      </c>
      <c r="B1198" s="133" t="inlineStr">
        <is>
          <t>LN0856</t>
        </is>
      </c>
      <c r="C1198" s="148" t="inlineStr">
        <is>
          <t>SUDALI</t>
        </is>
      </c>
      <c r="D1198" s="133" t="inlineStr">
        <is>
          <t>QUALITY CONTROL</t>
        </is>
      </c>
      <c r="E1198" s="186" t="inlineStr">
        <is>
          <t>Tire building QA</t>
        </is>
      </c>
      <c r="F1198" s="187" t="n">
        <v>45770</v>
      </c>
      <c r="G1198" s="188">
        <f>NOW()-F1198</f>
        <v/>
      </c>
      <c r="H1198" s="189" t="inlineStr">
        <is>
          <t>U</t>
        </is>
      </c>
      <c r="I1198" s="189" t="inlineStr">
        <is>
          <t>L</t>
        </is>
      </c>
      <c r="J1198" s="189" t="n">
        <v>5</v>
      </c>
      <c r="K1198" s="189" t="n">
        <v>9</v>
      </c>
      <c r="L1198" s="189" t="n">
        <v>0</v>
      </c>
      <c r="M1198" s="189" t="n">
        <v>5</v>
      </c>
      <c r="N1198" s="189" t="n"/>
      <c r="O1198" s="189">
        <f>SUM(J1198:N1198)</f>
        <v/>
      </c>
      <c r="P1198" s="190">
        <f>O1198/IF(H1198="L",20,IF(H1198="U",30,IF(H1198="O",40,IF(H1198="I",20,""))))</f>
        <v/>
      </c>
      <c r="Q1198" s="190">
        <f>IF(AND(H1198="L", P1198&gt;=50%), "Pass", IF(AND(H1198="U", P1198&gt;=60%), "Pass", IF(AND(H1198="O", P1198&gt;=75%), "Pass", "Fail")))</f>
        <v/>
      </c>
      <c r="R1198" s="189" t="n"/>
      <c r="S1198" s="189" t="n">
        <v>15</v>
      </c>
      <c r="T1198" s="189" t="n">
        <v>15</v>
      </c>
      <c r="U1198" s="189">
        <f>SUM(S1198:T1198)</f>
        <v/>
      </c>
      <c r="V1198" s="190">
        <f>U1198/IF(H1198="L",35,IF(H1198="U",35,IF(H1198="O",35,IF(H1198="I",35,""))))</f>
        <v/>
      </c>
      <c r="W1198" s="190">
        <f>IF(AND(H1198="L", V1198&gt;=50%), "Pass", IF(AND(H1198="U", V1198&gt;=60%), "Pass", IF(AND(H1198="O", V1198&gt;=75%), "Pass", "Fail")))</f>
        <v/>
      </c>
      <c r="X1198" s="190">
        <f>IF(AND(Q1198="Pass", W1198="Pass"), "Pass", "Fail")</f>
        <v/>
      </c>
      <c r="Y1198" s="191">
        <f>IF($X1198="Pass",$H1198, IF(H1198="L","I", IF(H1198="U","L", IF(H1198="O","U", "I"))))</f>
        <v/>
      </c>
      <c r="Z1198" s="182" t="n"/>
    </row>
    <row r="1199">
      <c r="A1199" s="185">
        <f>ROW()-2</f>
        <v/>
      </c>
      <c r="B1199" s="133" t="inlineStr">
        <is>
          <t>LN0863</t>
        </is>
      </c>
      <c r="C1199" s="148" t="inlineStr">
        <is>
          <t>MARIYAMMAL B</t>
        </is>
      </c>
      <c r="D1199" s="133" t="inlineStr">
        <is>
          <t>QUALITY CONTROL</t>
        </is>
      </c>
      <c r="E1199" s="186" t="inlineStr">
        <is>
          <t>Tire building QA</t>
        </is>
      </c>
      <c r="F1199" s="187" t="n">
        <v>45770</v>
      </c>
      <c r="G1199" s="188">
        <f>NOW()-F1199</f>
        <v/>
      </c>
      <c r="H1199" s="189" t="inlineStr">
        <is>
          <t>U</t>
        </is>
      </c>
      <c r="I1199" s="189" t="inlineStr">
        <is>
          <t>L</t>
        </is>
      </c>
      <c r="J1199" s="189" t="n">
        <v>5</v>
      </c>
      <c r="K1199" s="189" t="n">
        <v>8</v>
      </c>
      <c r="L1199" s="189" t="n">
        <v>0</v>
      </c>
      <c r="M1199" s="189" t="n">
        <v>5</v>
      </c>
      <c r="N1199" s="189" t="n"/>
      <c r="O1199" s="189">
        <f>SUM(J1199:N1199)</f>
        <v/>
      </c>
      <c r="P1199" s="190">
        <f>O1199/IF(H1199="L",20,IF(H1199="U",30,IF(H1199="O",40,IF(H1199="I",20,""))))</f>
        <v/>
      </c>
      <c r="Q1199" s="190">
        <f>IF(AND(H1199="L", P1199&gt;=50%), "Pass", IF(AND(H1199="U", P1199&gt;=60%), "Pass", IF(AND(H1199="O", P1199&gt;=75%), "Pass", "Fail")))</f>
        <v/>
      </c>
      <c r="R1199" s="189" t="n"/>
      <c r="S1199" s="189" t="n">
        <v>15</v>
      </c>
      <c r="T1199" s="189" t="n">
        <v>15</v>
      </c>
      <c r="U1199" s="189">
        <f>SUM(S1199:T1199)</f>
        <v/>
      </c>
      <c r="V1199" s="190">
        <f>U1199/IF(H1199="L",35,IF(H1199="U",35,IF(H1199="O",35,IF(H1199="I",35,""))))</f>
        <v/>
      </c>
      <c r="W1199" s="190">
        <f>IF(AND(H1199="L", V1199&gt;=50%), "Pass", IF(AND(H1199="U", V1199&gt;=60%), "Pass", IF(AND(H1199="O", V1199&gt;=75%), "Pass", "Fail")))</f>
        <v/>
      </c>
      <c r="X1199" s="190">
        <f>IF(AND(Q1199="Pass", W1199="Pass"), "Pass", "Fail")</f>
        <v/>
      </c>
      <c r="Y1199" s="191">
        <f>IF($X1199="Pass",$H1199, IF(H1199="L","I", IF(H1199="U","L", IF(H1199="O","U", "I"))))</f>
        <v/>
      </c>
      <c r="Z1199" s="182" t="n"/>
    </row>
    <row r="1200">
      <c r="A1200" s="185">
        <f>ROW()-2</f>
        <v/>
      </c>
      <c r="B1200" s="133" t="inlineStr">
        <is>
          <t>LN1134</t>
        </is>
      </c>
      <c r="C1200" s="148" t="inlineStr">
        <is>
          <t>DHANA LAKSHMI P</t>
        </is>
      </c>
      <c r="D1200" s="133" t="inlineStr">
        <is>
          <t>QUALITY CONTROL</t>
        </is>
      </c>
      <c r="E1200" s="186" t="inlineStr">
        <is>
          <t>Tire building QA</t>
        </is>
      </c>
      <c r="F1200" s="187" t="n">
        <v>46028</v>
      </c>
      <c r="G1200" s="188">
        <f>NOW()-F1200</f>
        <v/>
      </c>
      <c r="H1200" s="189" t="inlineStr">
        <is>
          <t>U</t>
        </is>
      </c>
      <c r="I1200" s="189" t="inlineStr">
        <is>
          <t>L</t>
        </is>
      </c>
      <c r="J1200" s="189" t="n"/>
      <c r="K1200" s="189" t="n"/>
      <c r="L1200" s="189" t="n"/>
      <c r="M1200" s="189" t="n"/>
      <c r="N1200" s="189" t="n"/>
      <c r="O1200" s="189">
        <f>SUM(J1200:N1200)</f>
        <v/>
      </c>
      <c r="P1200" s="190">
        <f>O1200/IF(H1200="L",20,IF(H1200="U",30,IF(H1200="O",40,IF(H1200="I",20,""))))</f>
        <v/>
      </c>
      <c r="Q1200" s="190">
        <f>IF(AND(H1200="L", P1200&gt;=50%), "Pass", IF(AND(H1200="U", P1200&gt;=60%), "Pass", IF(AND(H1200="O", P1200&gt;=75%), "Pass", "Fail")))</f>
        <v/>
      </c>
      <c r="R1200" s="189" t="n"/>
      <c r="S1200" s="189" t="n"/>
      <c r="T1200" s="189" t="n"/>
      <c r="U1200" s="189">
        <f>SUM(S1200:T1200)</f>
        <v/>
      </c>
      <c r="V1200" s="190">
        <f>U1200/IF(H1200="L",35,IF(H1200="U",35,IF(H1200="O",35,IF(H1200="I",35,""))))</f>
        <v/>
      </c>
      <c r="W1200" s="190">
        <f>IF(AND(H1200="L", V1200&gt;=50%), "Pass", IF(AND(H1200="U", V1200&gt;=60%), "Pass", IF(AND(H1200="O", V1200&gt;=75%), "Pass", "Fail")))</f>
        <v/>
      </c>
      <c r="X1200" s="190">
        <f>IF(AND(Q1200="Pass", W1200="Pass"), "Pass", "Fail")</f>
        <v/>
      </c>
      <c r="Y1200" s="191">
        <f>IF($X1200="Pass",$H1200, IF(H1200="L","I", IF(H1200="U","L", IF(H1200="O","U", "I"))))</f>
        <v/>
      </c>
      <c r="Z1200" s="182" t="n"/>
    </row>
    <row r="1201">
      <c r="A1201" s="185">
        <f>ROW()-2</f>
        <v/>
      </c>
      <c r="B1201" s="133" t="inlineStr">
        <is>
          <t>LN1205</t>
        </is>
      </c>
      <c r="C1201" s="148" t="inlineStr">
        <is>
          <t>NISHA S</t>
        </is>
      </c>
      <c r="D1201" s="133" t="inlineStr">
        <is>
          <t>QUALITY CONTROL</t>
        </is>
      </c>
      <c r="E1201" s="186" t="inlineStr">
        <is>
          <t>Tire building QA</t>
        </is>
      </c>
      <c r="F1201" s="187" t="n">
        <v>46063</v>
      </c>
      <c r="G1201" s="188">
        <f>NOW()-F1201</f>
        <v/>
      </c>
      <c r="H1201" s="189" t="inlineStr">
        <is>
          <t>U</t>
        </is>
      </c>
      <c r="I1201" s="189" t="inlineStr">
        <is>
          <t>L</t>
        </is>
      </c>
      <c r="J1201" s="189" t="n"/>
      <c r="K1201" s="189" t="n"/>
      <c r="L1201" s="189" t="n"/>
      <c r="M1201" s="189" t="n"/>
      <c r="N1201" s="189" t="n"/>
      <c r="O1201" s="189">
        <f>SUM(J1201:N1201)</f>
        <v/>
      </c>
      <c r="P1201" s="190">
        <f>O1201/IF(H1201="L",20,IF(H1201="U",30,IF(H1201="O",40,IF(H1201="I",20,""))))</f>
        <v/>
      </c>
      <c r="Q1201" s="190">
        <f>IF(AND(H1201="L", P1201&gt;=50%), "Pass", IF(AND(H1201="U", P1201&gt;=60%), "Pass", IF(AND(H1201="O", P1201&gt;=75%), "Pass", "Fail")))</f>
        <v/>
      </c>
      <c r="R1201" s="189" t="n"/>
      <c r="S1201" s="189" t="n"/>
      <c r="T1201" s="189" t="n"/>
      <c r="U1201" s="189">
        <f>SUM(S1201:T1201)</f>
        <v/>
      </c>
      <c r="V1201" s="190">
        <f>U1201/IF(H1201="L",35,IF(H1201="U",35,IF(H1201="O",35,IF(H1201="I",35,""))))</f>
        <v/>
      </c>
      <c r="W1201" s="190">
        <f>IF(AND(H1201="L", V1201&gt;=50%), "Pass", IF(AND(H1201="U", V1201&gt;=60%), "Pass", IF(AND(H1201="O", V1201&gt;=75%), "Pass", "Fail")))</f>
        <v/>
      </c>
      <c r="X1201" s="190">
        <f>IF(AND(Q1201="Pass", W1201="Pass"), "Pass", "Fail")</f>
        <v/>
      </c>
      <c r="Y1201" s="191">
        <f>IF($X1201="Pass",$H1201, IF(H1201="L","I", IF(H1201="U","L", IF(H1201="O","U", "I"))))</f>
        <v/>
      </c>
      <c r="Z1201" s="182" t="n"/>
    </row>
    <row r="1202">
      <c r="A1202" s="185">
        <f>ROW()-2</f>
        <v/>
      </c>
      <c r="B1202" s="133" t="inlineStr">
        <is>
          <t>LN1280</t>
        </is>
      </c>
      <c r="C1202" s="148" t="inlineStr">
        <is>
          <t>KALPANA C</t>
        </is>
      </c>
      <c r="D1202" s="133" t="inlineStr">
        <is>
          <t>QUALITY CONTROL</t>
        </is>
      </c>
      <c r="E1202" s="186" t="inlineStr">
        <is>
          <t>Tire building QA</t>
        </is>
      </c>
      <c r="F1202" s="187" t="n">
        <v>46148</v>
      </c>
      <c r="G1202" s="188">
        <f>NOW()-F1202</f>
        <v/>
      </c>
      <c r="H1202" s="189" t="inlineStr">
        <is>
          <t>L</t>
        </is>
      </c>
      <c r="I1202" s="189" t="inlineStr">
        <is>
          <t>I</t>
        </is>
      </c>
      <c r="J1202" s="189" t="n"/>
      <c r="K1202" s="189" t="n"/>
      <c r="L1202" s="189" t="n"/>
      <c r="M1202" s="189" t="n"/>
      <c r="N1202" s="189" t="n"/>
      <c r="O1202" s="189">
        <f>SUM(J1202:N1202)</f>
        <v/>
      </c>
      <c r="P1202" s="190">
        <f>O1202/IF(H1202="L",20,IF(H1202="U",30,IF(H1202="O",40,IF(H1202="I",20,""))))</f>
        <v/>
      </c>
      <c r="Q1202" s="190">
        <f>IF(AND(H1202="L", P1202&gt;=50%), "Pass", IF(AND(H1202="U", P1202&gt;=60%), "Pass", IF(AND(H1202="O", P1202&gt;=75%), "Pass", "Fail")))</f>
        <v/>
      </c>
      <c r="R1202" s="189" t="n"/>
      <c r="S1202" s="189" t="n"/>
      <c r="T1202" s="189" t="n"/>
      <c r="U1202" s="189">
        <f>SUM(S1202:T1202)</f>
        <v/>
      </c>
      <c r="V1202" s="190">
        <f>U1202/IF(H1202="L",35,IF(H1202="U",35,IF(H1202="O",35,IF(H1202="I",35,""))))</f>
        <v/>
      </c>
      <c r="W1202" s="190">
        <f>IF(AND(H1202="L", V1202&gt;=50%), "Pass", IF(AND(H1202="U", V1202&gt;=60%), "Pass", IF(AND(H1202="O", V1202&gt;=75%), "Pass", "Fail")))</f>
        <v/>
      </c>
      <c r="X1202" s="190">
        <f>IF(AND(Q1202="Pass", W1202="Pass"), "Pass", "Fail")</f>
        <v/>
      </c>
      <c r="Y1202" s="191">
        <f>IF($X1202="Pass",$H1202, IF(H1202="L","I", IF(H1202="U","L", IF(H1202="O","U", "I"))))</f>
        <v/>
      </c>
      <c r="Z1202" s="182" t="n"/>
    </row>
    <row r="1203">
      <c r="A1203" s="185">
        <f>ROW()-2</f>
        <v/>
      </c>
      <c r="B1203" s="133" t="inlineStr">
        <is>
          <t>LN1281</t>
        </is>
      </c>
      <c r="C1203" s="148" t="inlineStr">
        <is>
          <t>JANAKI M</t>
        </is>
      </c>
      <c r="D1203" s="133" t="inlineStr">
        <is>
          <t>QUALITY CONTROL</t>
        </is>
      </c>
      <c r="E1203" s="186" t="inlineStr">
        <is>
          <t>Tire building QA</t>
        </is>
      </c>
      <c r="F1203" s="187" t="n">
        <v>46148</v>
      </c>
      <c r="G1203" s="188">
        <f>NOW()-F1203</f>
        <v/>
      </c>
      <c r="H1203" s="189" t="inlineStr">
        <is>
          <t>L</t>
        </is>
      </c>
      <c r="I1203" s="189" t="inlineStr">
        <is>
          <t>I</t>
        </is>
      </c>
      <c r="J1203" s="189" t="n"/>
      <c r="K1203" s="189" t="n"/>
      <c r="L1203" s="189" t="n"/>
      <c r="M1203" s="189" t="n"/>
      <c r="N1203" s="189" t="n"/>
      <c r="O1203" s="189">
        <f>SUM(J1203:N1203)</f>
        <v/>
      </c>
      <c r="P1203" s="190">
        <f>O1203/IF(H1203="L",20,IF(H1203="U",30,IF(H1203="O",40,IF(H1203="I",20,""))))</f>
        <v/>
      </c>
      <c r="Q1203" s="190">
        <f>IF(AND(H1203="L", P1203&gt;=50%), "Pass", IF(AND(H1203="U", P1203&gt;=60%), "Pass", IF(AND(H1203="O", P1203&gt;=75%), "Pass", "Fail")))</f>
        <v/>
      </c>
      <c r="R1203" s="189" t="n"/>
      <c r="S1203" s="189" t="n"/>
      <c r="T1203" s="189" t="n"/>
      <c r="U1203" s="189">
        <f>SUM(S1203:T1203)</f>
        <v/>
      </c>
      <c r="V1203" s="190">
        <f>U1203/IF(H1203="L",35,IF(H1203="U",35,IF(H1203="O",35,IF(H1203="I",35,""))))</f>
        <v/>
      </c>
      <c r="W1203" s="190">
        <f>IF(AND(H1203="L", V1203&gt;=50%), "Pass", IF(AND(H1203="U", V1203&gt;=60%), "Pass", IF(AND(H1203="O", V1203&gt;=75%), "Pass", "Fail")))</f>
        <v/>
      </c>
      <c r="X1203" s="190">
        <f>IF(AND(Q1203="Pass", W1203="Pass"), "Pass", "Fail")</f>
        <v/>
      </c>
      <c r="Y1203" s="191">
        <f>IF($X1203="Pass",$H1203, IF(H1203="L","I", IF(H1203="U","L", IF(H1203="O","U", "I"))))</f>
        <v/>
      </c>
      <c r="Z1203" s="182" t="n"/>
    </row>
    <row r="1204">
      <c r="A1204" s="185">
        <f>ROW()-2</f>
        <v/>
      </c>
      <c r="B1204" s="133" t="inlineStr">
        <is>
          <t>MG1325</t>
        </is>
      </c>
      <c r="C1204" s="148" t="inlineStr">
        <is>
          <t>CHOKKALINGAM</t>
        </is>
      </c>
      <c r="D1204" s="133" t="inlineStr">
        <is>
          <t>QUALITY CONTROL</t>
        </is>
      </c>
      <c r="E1204" s="186" t="inlineStr">
        <is>
          <t>Tire building QA</t>
        </is>
      </c>
      <c r="F1204" s="187" t="n">
        <v>43278</v>
      </c>
      <c r="G1204" s="188">
        <f>NOW()-F1204</f>
        <v/>
      </c>
      <c r="H1204" s="189" t="inlineStr">
        <is>
          <t>O</t>
        </is>
      </c>
      <c r="I1204" s="189" t="inlineStr">
        <is>
          <t>O</t>
        </is>
      </c>
      <c r="J1204" s="189" t="n">
        <v>10</v>
      </c>
      <c r="K1204" s="189" t="n">
        <v>17</v>
      </c>
      <c r="L1204" s="189" t="n">
        <v>0</v>
      </c>
      <c r="M1204" s="189" t="n">
        <v>9</v>
      </c>
      <c r="N1204" s="189" t="n"/>
      <c r="O1204" s="189">
        <f>SUM(J1204:N1204)</f>
        <v/>
      </c>
      <c r="P1204" s="190">
        <f>O1204/IF(H1204="L",20,IF(H1204="U",30,IF(H1204="O",40,IF(H1204="I",20,""))))</f>
        <v/>
      </c>
      <c r="Q1204" s="190">
        <f>IF(AND(H1204="L", P1204&gt;=50%), "Pass", IF(AND(H1204="U", P1204&gt;=60%), "Pass", IF(AND(H1204="O", P1204&gt;=75%), "Pass", "Fail")))</f>
        <v/>
      </c>
      <c r="R1204" s="189" t="n"/>
      <c r="S1204" s="189" t="n">
        <v>15</v>
      </c>
      <c r="T1204" s="189" t="n">
        <v>15</v>
      </c>
      <c r="U1204" s="189">
        <f>SUM(S1204:T1204)</f>
        <v/>
      </c>
      <c r="V1204" s="190">
        <f>U1204/IF(H1204="L",35,IF(H1204="U",35,IF(H1204="O",35,IF(H1204="I",35,""))))</f>
        <v/>
      </c>
      <c r="W1204" s="190">
        <f>IF(AND(H1204="L", V1204&gt;=50%), "Pass", IF(AND(H1204="U", V1204&gt;=60%), "Pass", IF(AND(H1204="O", V1204&gt;=75%), "Pass", "Fail")))</f>
        <v/>
      </c>
      <c r="X1204" s="190">
        <f>IF(AND(Q1204="Pass", W1204="Pass"), "Pass", "Fail")</f>
        <v/>
      </c>
      <c r="Y1204" s="191">
        <f>IF($X1204="Pass",$H1204, IF(H1204="L","I", IF(H1204="U","L", IF(H1204="O","U", "I"))))</f>
        <v/>
      </c>
      <c r="Z1204" s="182" t="n"/>
    </row>
    <row r="1205">
      <c r="A1205" s="185">
        <f>ROW()-2</f>
        <v/>
      </c>
      <c r="B1205" s="133" t="inlineStr">
        <is>
          <t>PK0822</t>
        </is>
      </c>
      <c r="C1205" s="148" t="inlineStr">
        <is>
          <t>PAL PANDI V</t>
        </is>
      </c>
      <c r="D1205" s="133" t="inlineStr">
        <is>
          <t>QUALITY CONTROL</t>
        </is>
      </c>
      <c r="E1205" s="186" t="inlineStr">
        <is>
          <t>Tire building QA</t>
        </is>
      </c>
      <c r="F1205" s="187" t="n">
        <v>42381</v>
      </c>
      <c r="G1205" s="188">
        <f>NOW()-F1205</f>
        <v/>
      </c>
      <c r="H1205" s="189" t="inlineStr">
        <is>
          <t>O</t>
        </is>
      </c>
      <c r="I1205" s="189" t="inlineStr">
        <is>
          <t>O</t>
        </is>
      </c>
      <c r="J1205" s="189" t="n">
        <v>10</v>
      </c>
      <c r="K1205" s="189" t="n">
        <v>19</v>
      </c>
      <c r="L1205" s="189" t="n">
        <v>0</v>
      </c>
      <c r="M1205" s="189" t="n">
        <v>9</v>
      </c>
      <c r="N1205" s="189" t="n"/>
      <c r="O1205" s="189">
        <f>SUM(J1205:N1205)</f>
        <v/>
      </c>
      <c r="P1205" s="190">
        <f>O1205/IF(H1205="L",20,IF(H1205="U",30,IF(H1205="O",40,IF(H1205="I",20,""))))</f>
        <v/>
      </c>
      <c r="Q1205" s="190">
        <f>IF(AND(H1205="L", P1205&gt;=50%), "Pass", IF(AND(H1205="U", P1205&gt;=60%), "Pass", IF(AND(H1205="O", P1205&gt;=75%), "Pass", "Fail")))</f>
        <v/>
      </c>
      <c r="R1205" s="189" t="n"/>
      <c r="S1205" s="189" t="n">
        <v>15</v>
      </c>
      <c r="T1205" s="189" t="n">
        <v>15</v>
      </c>
      <c r="U1205" s="189">
        <f>SUM(S1205:T1205)</f>
        <v/>
      </c>
      <c r="V1205" s="190">
        <f>U1205/IF(H1205="L",35,IF(H1205="U",35,IF(H1205="O",35,IF(H1205="I",35,""))))</f>
        <v/>
      </c>
      <c r="W1205" s="190">
        <f>IF(AND(H1205="L", V1205&gt;=50%), "Pass", IF(AND(H1205="U", V1205&gt;=60%), "Pass", IF(AND(H1205="O", V1205&gt;=75%), "Pass", "Fail")))</f>
        <v/>
      </c>
      <c r="X1205" s="190">
        <f>IF(AND(Q1205="Pass", W1205="Pass"), "Pass", "Fail")</f>
        <v/>
      </c>
      <c r="Y1205" s="191">
        <f>IF($X1205="Pass",$H1205, IF(H1205="L","I", IF(H1205="U","L", IF(H1205="O","U", "I"))))</f>
        <v/>
      </c>
      <c r="Z1205" s="182" t="n"/>
    </row>
    <row r="1206">
      <c r="A1206" s="185">
        <f>ROW()-2</f>
        <v/>
      </c>
      <c r="B1206" s="133" t="inlineStr">
        <is>
          <t>PK1178</t>
        </is>
      </c>
      <c r="C1206" s="148" t="inlineStr">
        <is>
          <t>SANKAR</t>
        </is>
      </c>
      <c r="D1206" s="133" t="inlineStr">
        <is>
          <t>QUALITY CONTROL</t>
        </is>
      </c>
      <c r="E1206" s="186" t="inlineStr">
        <is>
          <t>Tire building QA</t>
        </is>
      </c>
      <c r="F1206" s="187" t="n">
        <v>44232</v>
      </c>
      <c r="G1206" s="188">
        <f>NOW()-F1206</f>
        <v/>
      </c>
      <c r="H1206" s="189" t="inlineStr">
        <is>
          <t>O</t>
        </is>
      </c>
      <c r="I1206" s="189" t="inlineStr">
        <is>
          <t>O</t>
        </is>
      </c>
      <c r="J1206" s="189" t="n">
        <v>10</v>
      </c>
      <c r="K1206" s="189" t="n">
        <v>17</v>
      </c>
      <c r="L1206" s="189" t="n">
        <v>0</v>
      </c>
      <c r="M1206" s="189" t="n">
        <v>9</v>
      </c>
      <c r="N1206" s="189" t="n"/>
      <c r="O1206" s="189">
        <f>SUM(J1206:N1206)</f>
        <v/>
      </c>
      <c r="P1206" s="190">
        <f>O1206/IF(H1206="L",20,IF(H1206="U",30,IF(H1206="O",40,IF(H1206="I",20,""))))</f>
        <v/>
      </c>
      <c r="Q1206" s="190">
        <f>IF(AND(H1206="L", P1206&gt;=50%), "Pass", IF(AND(H1206="U", P1206&gt;=60%), "Pass", IF(AND(H1206="O", P1206&gt;=75%), "Pass", "Fail")))</f>
        <v/>
      </c>
      <c r="R1206" s="189" t="n"/>
      <c r="S1206" s="189" t="n">
        <v>15</v>
      </c>
      <c r="T1206" s="189" t="n">
        <v>15</v>
      </c>
      <c r="U1206" s="189">
        <f>SUM(S1206:T1206)</f>
        <v/>
      </c>
      <c r="V1206" s="190">
        <f>U1206/IF(H1206="L",35,IF(H1206="U",35,IF(H1206="O",35,IF(H1206="I",35,""))))</f>
        <v/>
      </c>
      <c r="W1206" s="190">
        <f>IF(AND(H1206="L", V1206&gt;=50%), "Pass", IF(AND(H1206="U", V1206&gt;=60%), "Pass", IF(AND(H1206="O", V1206&gt;=75%), "Pass", "Fail")))</f>
        <v/>
      </c>
      <c r="X1206" s="190">
        <f>IF(AND(Q1206="Pass", W1206="Pass"), "Pass", "Fail")</f>
        <v/>
      </c>
      <c r="Y1206" s="191">
        <f>IF($X1206="Pass",$H1206, IF(H1206="L","I", IF(H1206="U","L", IF(H1206="O","U", "I"))))</f>
        <v/>
      </c>
      <c r="Z1206" s="182" t="n"/>
    </row>
    <row r="1207">
      <c r="A1207" s="185">
        <f>ROW()-2</f>
        <v/>
      </c>
      <c r="B1207" s="133" t="inlineStr">
        <is>
          <t>SK2131</t>
        </is>
      </c>
      <c r="C1207" s="148" t="inlineStr">
        <is>
          <t>THANGA VEL S</t>
        </is>
      </c>
      <c r="D1207" s="133" t="inlineStr">
        <is>
          <t>QUALITY CONTROL</t>
        </is>
      </c>
      <c r="E1207" s="186" t="inlineStr">
        <is>
          <t>Tire building QA</t>
        </is>
      </c>
      <c r="F1207" s="187" t="n">
        <v>42500</v>
      </c>
      <c r="G1207" s="188">
        <f>NOW()-F1207</f>
        <v/>
      </c>
      <c r="H1207" s="189" t="inlineStr">
        <is>
          <t>O</t>
        </is>
      </c>
      <c r="I1207" s="189" t="inlineStr">
        <is>
          <t>O</t>
        </is>
      </c>
      <c r="J1207" s="189" t="n">
        <v>10</v>
      </c>
      <c r="K1207" s="189" t="n">
        <v>18</v>
      </c>
      <c r="L1207" s="189" t="n">
        <v>0</v>
      </c>
      <c r="M1207" s="189" t="n">
        <v>9</v>
      </c>
      <c r="N1207" s="189" t="n"/>
      <c r="O1207" s="189">
        <f>SUM(J1207:N1207)</f>
        <v/>
      </c>
      <c r="P1207" s="190">
        <f>O1207/IF(H1207="L",20,IF(H1207="U",30,IF(H1207="O",40,IF(H1207="I",20,""))))</f>
        <v/>
      </c>
      <c r="Q1207" s="190">
        <f>IF(AND(H1207="L", P1207&gt;=50%), "Pass", IF(AND(H1207="U", P1207&gt;=60%), "Pass", IF(AND(H1207="O", P1207&gt;=75%), "Pass", "Fail")))</f>
        <v/>
      </c>
      <c r="R1207" s="189" t="n"/>
      <c r="S1207" s="189" t="n">
        <v>15</v>
      </c>
      <c r="T1207" s="189" t="n">
        <v>15</v>
      </c>
      <c r="U1207" s="189">
        <f>SUM(S1207:T1207)</f>
        <v/>
      </c>
      <c r="V1207" s="190">
        <f>U1207/IF(H1207="L",35,IF(H1207="U",35,IF(H1207="O",35,IF(H1207="I",35,""))))</f>
        <v/>
      </c>
      <c r="W1207" s="190">
        <f>IF(AND(H1207="L", V1207&gt;=50%), "Pass", IF(AND(H1207="U", V1207&gt;=60%), "Pass", IF(AND(H1207="O", V1207&gt;=75%), "Pass", "Fail")))</f>
        <v/>
      </c>
      <c r="X1207" s="190">
        <f>IF(AND(Q1207="Pass", W1207="Pass"), "Pass", "Fail")</f>
        <v/>
      </c>
      <c r="Y1207" s="191">
        <f>IF($X1207="Pass",$H1207, IF(H1207="L","I", IF(H1207="U","L", IF(H1207="O","U", "I"))))</f>
        <v/>
      </c>
      <c r="Z1207" s="182" t="n"/>
    </row>
    <row r="1208">
      <c r="A1208" s="185">
        <f>ROW()-2</f>
        <v/>
      </c>
      <c r="B1208" s="133" t="inlineStr">
        <is>
          <t>SR0499</t>
        </is>
      </c>
      <c r="C1208" s="148" t="inlineStr">
        <is>
          <t>VIGNESH S</t>
        </is>
      </c>
      <c r="D1208" s="133" t="inlineStr">
        <is>
          <t>QUALITY CONTROL</t>
        </is>
      </c>
      <c r="E1208" s="186" t="inlineStr">
        <is>
          <t>Tire building QA</t>
        </is>
      </c>
      <c r="F1208" s="187" t="n">
        <v>42425</v>
      </c>
      <c r="G1208" s="188">
        <f>NOW()-F1208</f>
        <v/>
      </c>
      <c r="H1208" s="189" t="inlineStr">
        <is>
          <t>O</t>
        </is>
      </c>
      <c r="I1208" s="189" t="inlineStr">
        <is>
          <t>O</t>
        </is>
      </c>
      <c r="J1208" s="189" t="n">
        <v>10</v>
      </c>
      <c r="K1208" s="189" t="n">
        <v>16</v>
      </c>
      <c r="L1208" s="189" t="n">
        <v>0</v>
      </c>
      <c r="M1208" s="189" t="n">
        <v>9</v>
      </c>
      <c r="N1208" s="189" t="n"/>
      <c r="O1208" s="189">
        <f>SUM(J1208:N1208)</f>
        <v/>
      </c>
      <c r="P1208" s="190">
        <f>O1208/IF(H1208="L",20,IF(H1208="U",30,IF(H1208="O",40,IF(H1208="I",20,""))))</f>
        <v/>
      </c>
      <c r="Q1208" s="190">
        <f>IF(AND(H1208="L", P1208&gt;=50%), "Pass", IF(AND(H1208="U", P1208&gt;=60%), "Pass", IF(AND(H1208="O", P1208&gt;=75%), "Pass", "Fail")))</f>
        <v/>
      </c>
      <c r="R1208" s="189" t="n"/>
      <c r="S1208" s="189" t="n">
        <v>15</v>
      </c>
      <c r="T1208" s="189" t="n">
        <v>15</v>
      </c>
      <c r="U1208" s="189">
        <f>SUM(S1208:T1208)</f>
        <v/>
      </c>
      <c r="V1208" s="190">
        <f>U1208/IF(H1208="L",35,IF(H1208="U",35,IF(H1208="O",35,IF(H1208="I",35,""))))</f>
        <v/>
      </c>
      <c r="W1208" s="190">
        <f>IF(AND(H1208="L", V1208&gt;=50%), "Pass", IF(AND(H1208="U", V1208&gt;=60%), "Pass", IF(AND(H1208="O", V1208&gt;=75%), "Pass", "Fail")))</f>
        <v/>
      </c>
      <c r="X1208" s="190">
        <f>IF(AND(Q1208="Pass", W1208="Pass"), "Pass", "Fail")</f>
        <v/>
      </c>
      <c r="Y1208" s="191">
        <f>IF($X1208="Pass",$H1208, IF(H1208="L","I", IF(H1208="U","L", IF(H1208="O","U", "I"))))</f>
        <v/>
      </c>
      <c r="Z1208" s="182" t="n"/>
    </row>
    <row r="1209">
      <c r="A1209" s="185">
        <f>ROW()-2</f>
        <v/>
      </c>
      <c r="B1209" s="133" t="inlineStr">
        <is>
          <t>SR1286</t>
        </is>
      </c>
      <c r="C1209" s="148" t="inlineStr">
        <is>
          <t>ARUN</t>
        </is>
      </c>
      <c r="D1209" s="133" t="inlineStr">
        <is>
          <t>QUALITY CONTROL</t>
        </is>
      </c>
      <c r="E1209" s="186" t="inlineStr">
        <is>
          <t>Tire building QA</t>
        </is>
      </c>
      <c r="F1209" s="187" t="n">
        <v>44699</v>
      </c>
      <c r="G1209" s="188">
        <f>NOW()-F1209</f>
        <v/>
      </c>
      <c r="H1209" s="189" t="inlineStr">
        <is>
          <t>O</t>
        </is>
      </c>
      <c r="I1209" s="189" t="inlineStr">
        <is>
          <t>O</t>
        </is>
      </c>
      <c r="J1209" s="189" t="n">
        <v>10</v>
      </c>
      <c r="K1209" s="189" t="n">
        <v>16</v>
      </c>
      <c r="L1209" s="189" t="n">
        <v>0</v>
      </c>
      <c r="M1209" s="189" t="n">
        <v>9</v>
      </c>
      <c r="N1209" s="189" t="n"/>
      <c r="O1209" s="189">
        <f>SUM(J1209:N1209)</f>
        <v/>
      </c>
      <c r="P1209" s="190">
        <f>O1209/IF(H1209="L",20,IF(H1209="U",30,IF(H1209="O",40,IF(H1209="I",20,""))))</f>
        <v/>
      </c>
      <c r="Q1209" s="190">
        <f>IF(AND(H1209="L", P1209&gt;=50%), "Pass", IF(AND(H1209="U", P1209&gt;=60%), "Pass", IF(AND(H1209="O", P1209&gt;=75%), "Pass", "Fail")))</f>
        <v/>
      </c>
      <c r="R1209" s="189" t="n"/>
      <c r="S1209" s="189" t="n">
        <v>15</v>
      </c>
      <c r="T1209" s="189" t="n">
        <v>15</v>
      </c>
      <c r="U1209" s="189">
        <f>SUM(S1209:T1209)</f>
        <v/>
      </c>
      <c r="V1209" s="190">
        <f>U1209/IF(H1209="L",35,IF(H1209="U",35,IF(H1209="O",35,IF(H1209="I",35,""))))</f>
        <v/>
      </c>
      <c r="W1209" s="190">
        <f>IF(AND(H1209="L", V1209&gt;=50%), "Pass", IF(AND(H1209="U", V1209&gt;=60%), "Pass", IF(AND(H1209="O", V1209&gt;=75%), "Pass", "Fail")))</f>
        <v/>
      </c>
      <c r="X1209" s="190">
        <f>IF(AND(Q1209="Pass", W1209="Pass"), "Pass", "Fail")</f>
        <v/>
      </c>
      <c r="Y1209" s="191">
        <f>IF($X1209="Pass",$H1209, IF(H1209="L","I", IF(H1209="U","L", IF(H1209="O","U", "I"))))</f>
        <v/>
      </c>
      <c r="Z1209" s="182" t="n"/>
    </row>
    <row r="1210">
      <c r="A1210" s="185">
        <f>ROW()-2</f>
        <v/>
      </c>
      <c r="B1210" s="133" t="inlineStr">
        <is>
          <t>SR1385</t>
        </is>
      </c>
      <c r="C1210" s="148" t="inlineStr">
        <is>
          <t>VIGNESH K</t>
        </is>
      </c>
      <c r="D1210" s="133" t="inlineStr">
        <is>
          <t>QUALITY CONTROL</t>
        </is>
      </c>
      <c r="E1210" s="186" t="inlineStr">
        <is>
          <t>Tire building QA</t>
        </is>
      </c>
      <c r="F1210" s="187" t="n">
        <v>45090</v>
      </c>
      <c r="G1210" s="188">
        <f>NOW()-F1210</f>
        <v/>
      </c>
      <c r="H1210" s="189" t="inlineStr">
        <is>
          <t>O</t>
        </is>
      </c>
      <c r="I1210" s="189" t="inlineStr">
        <is>
          <t>U</t>
        </is>
      </c>
      <c r="J1210" s="189" t="n">
        <v>7</v>
      </c>
      <c r="K1210" s="189" t="n">
        <v>13</v>
      </c>
      <c r="L1210" s="189" t="n">
        <v>0</v>
      </c>
      <c r="M1210" s="189" t="n">
        <v>8</v>
      </c>
      <c r="N1210" s="189" t="n"/>
      <c r="O1210" s="189">
        <f>SUM(J1210:N1210)</f>
        <v/>
      </c>
      <c r="P1210" s="190">
        <f>O1210/IF(H1210="L",20,IF(H1210="U",30,IF(H1210="O",40,IF(H1210="I",20,""))))</f>
        <v/>
      </c>
      <c r="Q1210" s="190">
        <f>IF(AND(H1210="L", P1210&gt;=50%), "Pass", IF(AND(H1210="U", P1210&gt;=60%), "Pass", IF(AND(H1210="O", P1210&gt;=75%), "Pass", "Fail")))</f>
        <v/>
      </c>
      <c r="R1210" s="189" t="n"/>
      <c r="S1210" s="189" t="n">
        <v>15</v>
      </c>
      <c r="T1210" s="189" t="n">
        <v>15</v>
      </c>
      <c r="U1210" s="189">
        <f>SUM(S1210:T1210)</f>
        <v/>
      </c>
      <c r="V1210" s="190">
        <f>U1210/IF(H1210="L",35,IF(H1210="U",35,IF(H1210="O",35,IF(H1210="I",35,""))))</f>
        <v/>
      </c>
      <c r="W1210" s="190">
        <f>IF(AND(H1210="L", V1210&gt;=50%), "Pass", IF(AND(H1210="U", V1210&gt;=60%), "Pass", IF(AND(H1210="O", V1210&gt;=75%), "Pass", "Fail")))</f>
        <v/>
      </c>
      <c r="X1210" s="190">
        <f>IF(AND(Q1210="Pass", W1210="Pass"), "Pass", "Fail")</f>
        <v/>
      </c>
      <c r="Y1210" s="191">
        <f>IF($X1210="Pass",$H1210, IF(H1210="L","I", IF(H1210="U","L", IF(H1210="O","U", "I"))))</f>
        <v/>
      </c>
      <c r="Z1210" s="182" t="n"/>
    </row>
    <row r="1211">
      <c r="A1211" s="185">
        <f>ROW()-2</f>
        <v/>
      </c>
      <c r="B1211" s="133" t="inlineStr">
        <is>
          <t>750002</t>
        </is>
      </c>
      <c r="C1211" s="148" t="inlineStr">
        <is>
          <t>D MUNEESWARAN</t>
        </is>
      </c>
      <c r="D1211" s="133" t="inlineStr">
        <is>
          <t>QUALITY CONTROL</t>
        </is>
      </c>
      <c r="E1211" s="186" t="inlineStr">
        <is>
          <t>Final Finish QA</t>
        </is>
      </c>
      <c r="F1211" s="187" t="n">
        <v>43262</v>
      </c>
      <c r="G1211" s="188">
        <f>NOW()-F1211</f>
        <v/>
      </c>
      <c r="H1211" s="189" t="inlineStr">
        <is>
          <t>O</t>
        </is>
      </c>
      <c r="I1211" s="189" t="inlineStr">
        <is>
          <t>O</t>
        </is>
      </c>
      <c r="J1211" s="189" t="n"/>
      <c r="K1211" s="189" t="n"/>
      <c r="L1211" s="189" t="n"/>
      <c r="M1211" s="189" t="n"/>
      <c r="N1211" s="189" t="n"/>
      <c r="O1211" s="189">
        <f>SUM(J1211:N1211)</f>
        <v/>
      </c>
      <c r="P1211" s="190">
        <f>O1211/IF(H1211="L",20,IF(H1211="U",30,IF(H1211="O",40,IF(H1211="I",20,""))))</f>
        <v/>
      </c>
      <c r="Q1211" s="190">
        <f>IF(AND(H1211="L", P1211&gt;=50%), "Pass", IF(AND(H1211="U", P1211&gt;=60%), "Pass", IF(AND(H1211="O", P1211&gt;=75%), "Pass", "Fail")))</f>
        <v/>
      </c>
      <c r="R1211" s="189" t="n"/>
      <c r="S1211" s="189" t="n"/>
      <c r="T1211" s="189" t="n"/>
      <c r="U1211" s="189">
        <f>SUM(S1211:T1211)</f>
        <v/>
      </c>
      <c r="V1211" s="190">
        <f>U1211/IF(H1211="L",35,IF(H1211="U",35,IF(H1211="O",35,IF(H1211="I",35,""))))</f>
        <v/>
      </c>
      <c r="W1211" s="190">
        <f>IF(AND(H1211="L", V1211&gt;=50%), "Pass", IF(AND(H1211="U", V1211&gt;=60%), "Pass", IF(AND(H1211="O", V1211&gt;=75%), "Pass", "Fail")))</f>
        <v/>
      </c>
      <c r="X1211" s="190">
        <f>IF(AND(Q1211="Pass", W1211="Pass"), "Pass", "Fail")</f>
        <v/>
      </c>
      <c r="Y1211" s="191">
        <f>IF($X1211="Pass",$H1211, IF(H1211="L","I", IF(H1211="U","L", IF(H1211="O","U", "I"))))</f>
        <v/>
      </c>
      <c r="Z1211" s="182" t="n"/>
    </row>
    <row r="1212">
      <c r="A1212" s="185">
        <f>ROW()-2</f>
        <v/>
      </c>
      <c r="B1212" s="133" t="inlineStr">
        <is>
          <t>750003</t>
        </is>
      </c>
      <c r="C1212" s="148" t="inlineStr">
        <is>
          <t>K SELVA PRABHU</t>
        </is>
      </c>
      <c r="D1212" s="133" t="inlineStr">
        <is>
          <t>QUALITY CONTROL</t>
        </is>
      </c>
      <c r="E1212" s="186" t="inlineStr">
        <is>
          <t>Final Finish QA</t>
        </is>
      </c>
      <c r="F1212" s="187" t="n">
        <v>43262</v>
      </c>
      <c r="G1212" s="188">
        <f>NOW()-F1212</f>
        <v/>
      </c>
      <c r="H1212" s="189" t="inlineStr">
        <is>
          <t>O</t>
        </is>
      </c>
      <c r="I1212" s="189" t="inlineStr">
        <is>
          <t>O</t>
        </is>
      </c>
      <c r="J1212" s="189" t="n"/>
      <c r="K1212" s="189" t="n"/>
      <c r="L1212" s="189" t="n"/>
      <c r="M1212" s="189" t="n"/>
      <c r="N1212" s="189" t="n"/>
      <c r="O1212" s="189">
        <f>SUM(J1212:N1212)</f>
        <v/>
      </c>
      <c r="P1212" s="190">
        <f>O1212/IF(H1212="L",20,IF(H1212="U",30,IF(H1212="O",40,IF(H1212="I",20,""))))</f>
        <v/>
      </c>
      <c r="Q1212" s="190">
        <f>IF(AND(H1212="L", P1212&gt;=50%), "Pass", IF(AND(H1212="U", P1212&gt;=60%), "Pass", IF(AND(H1212="O", P1212&gt;=75%), "Pass", "Fail")))</f>
        <v/>
      </c>
      <c r="R1212" s="189" t="n"/>
      <c r="S1212" s="189" t="n"/>
      <c r="T1212" s="189" t="n"/>
      <c r="U1212" s="189">
        <f>SUM(S1212:T1212)</f>
        <v/>
      </c>
      <c r="V1212" s="190">
        <f>U1212/IF(H1212="L",35,IF(H1212="U",35,IF(H1212="O",35,IF(H1212="I",35,""))))</f>
        <v/>
      </c>
      <c r="W1212" s="190">
        <f>IF(AND(H1212="L", V1212&gt;=50%), "Pass", IF(AND(H1212="U", V1212&gt;=60%), "Pass", IF(AND(H1212="O", V1212&gt;=75%), "Pass", "Fail")))</f>
        <v/>
      </c>
      <c r="X1212" s="190">
        <f>IF(AND(Q1212="Pass", W1212="Pass"), "Pass", "Fail")</f>
        <v/>
      </c>
      <c r="Y1212" s="191">
        <f>IF($X1212="Pass",$H1212, IF(H1212="L","I", IF(H1212="U","L", IF(H1212="O","U", "I"))))</f>
        <v/>
      </c>
      <c r="Z1212" s="182" t="n"/>
    </row>
    <row r="1213">
      <c r="A1213" s="185">
        <f>ROW()-2</f>
        <v/>
      </c>
      <c r="B1213" s="133" t="inlineStr">
        <is>
          <t>750004</t>
        </is>
      </c>
      <c r="C1213" s="148" t="inlineStr">
        <is>
          <t>S JEGAMARI</t>
        </is>
      </c>
      <c r="D1213" s="133" t="inlineStr">
        <is>
          <t>QUALITY CONTROL</t>
        </is>
      </c>
      <c r="E1213" s="186" t="inlineStr">
        <is>
          <t>Final Finish QA</t>
        </is>
      </c>
      <c r="F1213" s="187" t="n">
        <v>43831</v>
      </c>
      <c r="G1213" s="188">
        <f>NOW()-F1213</f>
        <v/>
      </c>
      <c r="H1213" s="189" t="inlineStr">
        <is>
          <t>O</t>
        </is>
      </c>
      <c r="I1213" s="189" t="inlineStr">
        <is>
          <t>O</t>
        </is>
      </c>
      <c r="J1213" s="189" t="n"/>
      <c r="K1213" s="189" t="n"/>
      <c r="L1213" s="189" t="n"/>
      <c r="M1213" s="189" t="n"/>
      <c r="N1213" s="189" t="n"/>
      <c r="O1213" s="189">
        <f>SUM(J1213:N1213)</f>
        <v/>
      </c>
      <c r="P1213" s="190">
        <f>O1213/IF(H1213="L",20,IF(H1213="U",30,IF(H1213="O",40,IF(H1213="I",20,""))))</f>
        <v/>
      </c>
      <c r="Q1213" s="190">
        <f>IF(AND(H1213="L", P1213&gt;=50%), "Pass", IF(AND(H1213="U", P1213&gt;=60%), "Pass", IF(AND(H1213="O", P1213&gt;=75%), "Pass", "Fail")))</f>
        <v/>
      </c>
      <c r="R1213" s="189" t="n"/>
      <c r="S1213" s="189" t="n"/>
      <c r="T1213" s="189" t="n"/>
      <c r="U1213" s="189">
        <f>SUM(S1213:T1213)</f>
        <v/>
      </c>
      <c r="V1213" s="190">
        <f>U1213/IF(H1213="L",35,IF(H1213="U",35,IF(H1213="O",35,IF(H1213="I",35,""))))</f>
        <v/>
      </c>
      <c r="W1213" s="190">
        <f>IF(AND(H1213="L", V1213&gt;=50%), "Pass", IF(AND(H1213="U", V1213&gt;=60%), "Pass", IF(AND(H1213="O", V1213&gt;=75%), "Pass", "Fail")))</f>
        <v/>
      </c>
      <c r="X1213" s="190">
        <f>IF(AND(Q1213="Pass", W1213="Pass"), "Pass", "Fail")</f>
        <v/>
      </c>
      <c r="Y1213" s="191">
        <f>IF($X1213="Pass",$H1213, IF(H1213="L","I", IF(H1213="U","L", IF(H1213="O","U", "I"))))</f>
        <v/>
      </c>
      <c r="Z1213" s="182" t="n"/>
    </row>
    <row r="1214">
      <c r="A1214" s="185">
        <f>ROW()-2</f>
        <v/>
      </c>
      <c r="B1214" s="133" t="inlineStr">
        <is>
          <t>750006</t>
        </is>
      </c>
      <c r="C1214" s="148" t="inlineStr">
        <is>
          <t>E SUDALAIMANI</t>
        </is>
      </c>
      <c r="D1214" s="133" t="inlineStr">
        <is>
          <t>QUALITY CONTROL</t>
        </is>
      </c>
      <c r="E1214" s="186" t="inlineStr">
        <is>
          <t>Final Finish QA</t>
        </is>
      </c>
      <c r="F1214" s="187" t="n">
        <v>43262</v>
      </c>
      <c r="G1214" s="188">
        <f>NOW()-F1214</f>
        <v/>
      </c>
      <c r="H1214" s="189" t="inlineStr">
        <is>
          <t>O</t>
        </is>
      </c>
      <c r="I1214" s="189" t="inlineStr">
        <is>
          <t>O</t>
        </is>
      </c>
      <c r="J1214" s="189" t="n"/>
      <c r="K1214" s="189" t="n"/>
      <c r="L1214" s="189" t="n"/>
      <c r="M1214" s="189" t="n"/>
      <c r="N1214" s="189" t="n"/>
      <c r="O1214" s="189">
        <f>SUM(J1214:N1214)</f>
        <v/>
      </c>
      <c r="P1214" s="190">
        <f>O1214/IF(H1214="L",20,IF(H1214="U",30,IF(H1214="O",40,IF(H1214="I",20,""))))</f>
        <v/>
      </c>
      <c r="Q1214" s="190">
        <f>IF(AND(H1214="L", P1214&gt;=50%), "Pass", IF(AND(H1214="U", P1214&gt;=60%), "Pass", IF(AND(H1214="O", P1214&gt;=75%), "Pass", "Fail")))</f>
        <v/>
      </c>
      <c r="R1214" s="189" t="n"/>
      <c r="S1214" s="189" t="n"/>
      <c r="T1214" s="189" t="n"/>
      <c r="U1214" s="189">
        <f>SUM(S1214:T1214)</f>
        <v/>
      </c>
      <c r="V1214" s="190">
        <f>U1214/IF(H1214="L",35,IF(H1214="U",35,IF(H1214="O",35,IF(H1214="I",35,""))))</f>
        <v/>
      </c>
      <c r="W1214" s="190">
        <f>IF(AND(H1214="L", V1214&gt;=50%), "Pass", IF(AND(H1214="U", V1214&gt;=60%), "Pass", IF(AND(H1214="O", V1214&gt;=75%), "Pass", "Fail")))</f>
        <v/>
      </c>
      <c r="X1214" s="190">
        <f>IF(AND(Q1214="Pass", W1214="Pass"), "Pass", "Fail")</f>
        <v/>
      </c>
      <c r="Y1214" s="191">
        <f>IF($X1214="Pass",$H1214, IF(H1214="L","I", IF(H1214="U","L", IF(H1214="O","U", "I"))))</f>
        <v/>
      </c>
      <c r="Z1214" s="182" t="n"/>
    </row>
    <row r="1215">
      <c r="A1215" s="185">
        <f>ROW()-2</f>
        <v/>
      </c>
      <c r="B1215" s="133" t="inlineStr">
        <is>
          <t>750007</t>
        </is>
      </c>
      <c r="C1215" s="148" t="inlineStr">
        <is>
          <t>K KANNAN PERUMAL</t>
        </is>
      </c>
      <c r="D1215" s="133" t="inlineStr">
        <is>
          <t>QUALITY CONTROL</t>
        </is>
      </c>
      <c r="E1215" s="186" t="inlineStr">
        <is>
          <t>Final Finish QA</t>
        </is>
      </c>
      <c r="F1215" s="187" t="n">
        <v>43293</v>
      </c>
      <c r="G1215" s="188">
        <f>NOW()-F1215</f>
        <v/>
      </c>
      <c r="H1215" s="189" t="inlineStr">
        <is>
          <t>O</t>
        </is>
      </c>
      <c r="I1215" s="189" t="inlineStr">
        <is>
          <t>O</t>
        </is>
      </c>
      <c r="J1215" s="189" t="n"/>
      <c r="K1215" s="189" t="n"/>
      <c r="L1215" s="189" t="n"/>
      <c r="M1215" s="189" t="n"/>
      <c r="N1215" s="189" t="n"/>
      <c r="O1215" s="189">
        <f>SUM(J1215:N1215)</f>
        <v/>
      </c>
      <c r="P1215" s="190">
        <f>O1215/IF(H1215="L",20,IF(H1215="U",30,IF(H1215="O",40,IF(H1215="I",20,""))))</f>
        <v/>
      </c>
      <c r="Q1215" s="190">
        <f>IF(AND(H1215="L", P1215&gt;=50%), "Pass", IF(AND(H1215="U", P1215&gt;=60%), "Pass", IF(AND(H1215="O", P1215&gt;=75%), "Pass", "Fail")))</f>
        <v/>
      </c>
      <c r="R1215" s="189" t="n"/>
      <c r="S1215" s="189" t="n"/>
      <c r="T1215" s="189" t="n"/>
      <c r="U1215" s="189">
        <f>SUM(S1215:T1215)</f>
        <v/>
      </c>
      <c r="V1215" s="190">
        <f>U1215/IF(H1215="L",35,IF(H1215="U",35,IF(H1215="O",35,IF(H1215="I",35,""))))</f>
        <v/>
      </c>
      <c r="W1215" s="190">
        <f>IF(AND(H1215="L", V1215&gt;=50%), "Pass", IF(AND(H1215="U", V1215&gt;=60%), "Pass", IF(AND(H1215="O", V1215&gt;=75%), "Pass", "Fail")))</f>
        <v/>
      </c>
      <c r="X1215" s="190">
        <f>IF(AND(Q1215="Pass", W1215="Pass"), "Pass", "Fail")</f>
        <v/>
      </c>
      <c r="Y1215" s="191">
        <f>IF($X1215="Pass",$H1215, IF(H1215="L","I", IF(H1215="U","L", IF(H1215="O","U", "I"))))</f>
        <v/>
      </c>
      <c r="Z1215" s="182" t="n"/>
    </row>
    <row r="1216">
      <c r="A1216" s="185">
        <f>ROW()-2</f>
        <v/>
      </c>
      <c r="B1216" s="133" t="inlineStr">
        <is>
          <t>750008</t>
        </is>
      </c>
      <c r="C1216" s="148" t="inlineStr">
        <is>
          <t>S THANGARAJ</t>
        </is>
      </c>
      <c r="D1216" s="133" t="inlineStr">
        <is>
          <t>QUALITY CONTROL</t>
        </is>
      </c>
      <c r="E1216" s="186" t="inlineStr">
        <is>
          <t>Final Finish QA</t>
        </is>
      </c>
      <c r="F1216" s="187" t="n">
        <v>43327</v>
      </c>
      <c r="G1216" s="188">
        <f>NOW()-F1216</f>
        <v/>
      </c>
      <c r="H1216" s="189" t="inlineStr">
        <is>
          <t>O</t>
        </is>
      </c>
      <c r="I1216" s="189" t="inlineStr">
        <is>
          <t>O</t>
        </is>
      </c>
      <c r="J1216" s="189" t="n"/>
      <c r="K1216" s="189" t="n"/>
      <c r="L1216" s="189" t="n"/>
      <c r="M1216" s="189" t="n"/>
      <c r="N1216" s="189" t="n"/>
      <c r="O1216" s="189">
        <f>SUM(J1216:N1216)</f>
        <v/>
      </c>
      <c r="P1216" s="190">
        <f>O1216/IF(H1216="L",20,IF(H1216="U",30,IF(H1216="O",40,IF(H1216="I",20,""))))</f>
        <v/>
      </c>
      <c r="Q1216" s="190">
        <f>IF(AND(H1216="L", P1216&gt;=50%), "Pass", IF(AND(H1216="U", P1216&gt;=60%), "Pass", IF(AND(H1216="O", P1216&gt;=75%), "Pass", "Fail")))</f>
        <v/>
      </c>
      <c r="R1216" s="189" t="n"/>
      <c r="S1216" s="189" t="n"/>
      <c r="T1216" s="189" t="n"/>
      <c r="U1216" s="189">
        <f>SUM(S1216:T1216)</f>
        <v/>
      </c>
      <c r="V1216" s="190">
        <f>U1216/IF(H1216="L",35,IF(H1216="U",35,IF(H1216="O",35,IF(H1216="I",35,""))))</f>
        <v/>
      </c>
      <c r="W1216" s="190">
        <f>IF(AND(H1216="L", V1216&gt;=50%), "Pass", IF(AND(H1216="U", V1216&gt;=60%), "Pass", IF(AND(H1216="O", V1216&gt;=75%), "Pass", "Fail")))</f>
        <v/>
      </c>
      <c r="X1216" s="190">
        <f>IF(AND(Q1216="Pass", W1216="Pass"), "Pass", "Fail")</f>
        <v/>
      </c>
      <c r="Y1216" s="191">
        <f>IF($X1216="Pass",$H1216, IF(H1216="L","I", IF(H1216="U","L", IF(H1216="O","U", "I"))))</f>
        <v/>
      </c>
      <c r="Z1216" s="182" t="n"/>
    </row>
    <row r="1217">
      <c r="A1217" s="185">
        <f>ROW()-2</f>
        <v/>
      </c>
      <c r="B1217" s="133" t="inlineStr">
        <is>
          <t>750009</t>
        </is>
      </c>
      <c r="C1217" s="148" t="inlineStr">
        <is>
          <t>G ARUMUGAM @ ARUL</t>
        </is>
      </c>
      <c r="D1217" s="133" t="inlineStr">
        <is>
          <t>QUALITY CONTROL</t>
        </is>
      </c>
      <c r="E1217" s="186" t="inlineStr">
        <is>
          <t>Final Finish QA</t>
        </is>
      </c>
      <c r="F1217" s="187" t="n">
        <v>43262</v>
      </c>
      <c r="G1217" s="188">
        <f>NOW()-F1217</f>
        <v/>
      </c>
      <c r="H1217" s="189" t="inlineStr">
        <is>
          <t>O</t>
        </is>
      </c>
      <c r="I1217" s="189" t="inlineStr">
        <is>
          <t>O</t>
        </is>
      </c>
      <c r="J1217" s="189" t="n"/>
      <c r="K1217" s="189" t="n"/>
      <c r="L1217" s="189" t="n"/>
      <c r="M1217" s="189" t="n"/>
      <c r="N1217" s="189" t="n"/>
      <c r="O1217" s="189">
        <f>SUM(J1217:N1217)</f>
        <v/>
      </c>
      <c r="P1217" s="190">
        <f>O1217/IF(H1217="L",20,IF(H1217="U",30,IF(H1217="O",40,IF(H1217="I",20,""))))</f>
        <v/>
      </c>
      <c r="Q1217" s="190">
        <f>IF(AND(H1217="L", P1217&gt;=50%), "Pass", IF(AND(H1217="U", P1217&gt;=60%), "Pass", IF(AND(H1217="O", P1217&gt;=75%), "Pass", "Fail")))</f>
        <v/>
      </c>
      <c r="R1217" s="189" t="n"/>
      <c r="S1217" s="189" t="n"/>
      <c r="T1217" s="189" t="n"/>
      <c r="U1217" s="189">
        <f>SUM(S1217:T1217)</f>
        <v/>
      </c>
      <c r="V1217" s="190">
        <f>U1217/IF(H1217="L",35,IF(H1217="U",35,IF(H1217="O",35,IF(H1217="I",35,""))))</f>
        <v/>
      </c>
      <c r="W1217" s="190">
        <f>IF(AND(H1217="L", V1217&gt;=50%), "Pass", IF(AND(H1217="U", V1217&gt;=60%), "Pass", IF(AND(H1217="O", V1217&gt;=75%), "Pass", "Fail")))</f>
        <v/>
      </c>
      <c r="X1217" s="190">
        <f>IF(AND(Q1217="Pass", W1217="Pass"), "Pass", "Fail")</f>
        <v/>
      </c>
      <c r="Y1217" s="191">
        <f>IF($X1217="Pass",$H1217, IF(H1217="L","I", IF(H1217="U","L", IF(H1217="O","U", "I"))))</f>
        <v/>
      </c>
      <c r="Z1217" s="182" t="n"/>
    </row>
    <row r="1218">
      <c r="A1218" s="185">
        <f>ROW()-2</f>
        <v/>
      </c>
      <c r="B1218" s="133" t="inlineStr">
        <is>
          <t>750011</t>
        </is>
      </c>
      <c r="C1218" s="148" t="inlineStr">
        <is>
          <t>P GANAPATHI</t>
        </is>
      </c>
      <c r="D1218" s="133" t="inlineStr">
        <is>
          <t>QUALITY CONTROL</t>
        </is>
      </c>
      <c r="E1218" s="186" t="inlineStr">
        <is>
          <t>Final Finish QA</t>
        </is>
      </c>
      <c r="F1218" s="187" t="n">
        <v>43262</v>
      </c>
      <c r="G1218" s="188">
        <f>NOW()-F1218</f>
        <v/>
      </c>
      <c r="H1218" s="189" t="inlineStr">
        <is>
          <t>O</t>
        </is>
      </c>
      <c r="I1218" s="189" t="inlineStr">
        <is>
          <t>O</t>
        </is>
      </c>
      <c r="J1218" s="189" t="n"/>
      <c r="K1218" s="189" t="n"/>
      <c r="L1218" s="189" t="n"/>
      <c r="M1218" s="189" t="n"/>
      <c r="N1218" s="189" t="n"/>
      <c r="O1218" s="189">
        <f>SUM(J1218:N1218)</f>
        <v/>
      </c>
      <c r="P1218" s="190">
        <f>O1218/IF(H1218="L",20,IF(H1218="U",30,IF(H1218="O",40,IF(H1218="I",20,""))))</f>
        <v/>
      </c>
      <c r="Q1218" s="190">
        <f>IF(AND(H1218="L", P1218&gt;=50%), "Pass", IF(AND(H1218="U", P1218&gt;=60%), "Pass", IF(AND(H1218="O", P1218&gt;=75%), "Pass", "Fail")))</f>
        <v/>
      </c>
      <c r="R1218" s="189" t="n"/>
      <c r="S1218" s="189" t="n"/>
      <c r="T1218" s="189" t="n"/>
      <c r="U1218" s="189">
        <f>SUM(S1218:T1218)</f>
        <v/>
      </c>
      <c r="V1218" s="190">
        <f>U1218/IF(H1218="L",35,IF(H1218="U",35,IF(H1218="O",35,IF(H1218="I",35,""))))</f>
        <v/>
      </c>
      <c r="W1218" s="190">
        <f>IF(AND(H1218="L", V1218&gt;=50%), "Pass", IF(AND(H1218="U", V1218&gt;=60%), "Pass", IF(AND(H1218="O", V1218&gt;=75%), "Pass", "Fail")))</f>
        <v/>
      </c>
      <c r="X1218" s="190">
        <f>IF(AND(Q1218="Pass", W1218="Pass"), "Pass", "Fail")</f>
        <v/>
      </c>
      <c r="Y1218" s="191">
        <f>IF($X1218="Pass",$H1218, IF(H1218="L","I", IF(H1218="U","L", IF(H1218="O","U", "I"))))</f>
        <v/>
      </c>
      <c r="Z1218" s="182" t="n"/>
    </row>
    <row r="1219">
      <c r="A1219" s="185">
        <f>ROW()-2</f>
        <v/>
      </c>
      <c r="B1219" s="133" t="inlineStr">
        <is>
          <t>750013</t>
        </is>
      </c>
      <c r="C1219" s="148" t="inlineStr">
        <is>
          <t>S KANNAN</t>
        </is>
      </c>
      <c r="D1219" s="133" t="inlineStr">
        <is>
          <t>QUALITY CONTROL</t>
        </is>
      </c>
      <c r="E1219" s="186" t="inlineStr">
        <is>
          <t>Final Finish QA</t>
        </is>
      </c>
      <c r="F1219" s="187" t="n">
        <v>43264</v>
      </c>
      <c r="G1219" s="188">
        <f>NOW()-F1219</f>
        <v/>
      </c>
      <c r="H1219" s="189" t="inlineStr">
        <is>
          <t>O</t>
        </is>
      </c>
      <c r="I1219" s="189" t="inlineStr">
        <is>
          <t>O</t>
        </is>
      </c>
      <c r="J1219" s="189" t="n"/>
      <c r="K1219" s="189" t="n"/>
      <c r="L1219" s="189" t="n"/>
      <c r="M1219" s="189" t="n"/>
      <c r="N1219" s="189" t="n"/>
      <c r="O1219" s="189">
        <f>SUM(J1219:N1219)</f>
        <v/>
      </c>
      <c r="P1219" s="190">
        <f>O1219/IF(H1219="L",20,IF(H1219="U",30,IF(H1219="O",40,IF(H1219="I",20,""))))</f>
        <v/>
      </c>
      <c r="Q1219" s="190">
        <f>IF(AND(H1219="L", P1219&gt;=50%), "Pass", IF(AND(H1219="U", P1219&gt;=60%), "Pass", IF(AND(H1219="O", P1219&gt;=75%), "Pass", "Fail")))</f>
        <v/>
      </c>
      <c r="R1219" s="189" t="n"/>
      <c r="S1219" s="189" t="n"/>
      <c r="T1219" s="189" t="n"/>
      <c r="U1219" s="189">
        <f>SUM(S1219:T1219)</f>
        <v/>
      </c>
      <c r="V1219" s="190">
        <f>U1219/IF(H1219="L",35,IF(H1219="U",35,IF(H1219="O",35,IF(H1219="I",35,""))))</f>
        <v/>
      </c>
      <c r="W1219" s="190">
        <f>IF(AND(H1219="L", V1219&gt;=50%), "Pass", IF(AND(H1219="U", V1219&gt;=60%), "Pass", IF(AND(H1219="O", V1219&gt;=75%), "Pass", "Fail")))</f>
        <v/>
      </c>
      <c r="X1219" s="190">
        <f>IF(AND(Q1219="Pass", W1219="Pass"), "Pass", "Fail")</f>
        <v/>
      </c>
      <c r="Y1219" s="191">
        <f>IF($X1219="Pass",$H1219, IF(H1219="L","I", IF(H1219="U","L", IF(H1219="O","U", "I"))))</f>
        <v/>
      </c>
      <c r="Z1219" s="182" t="n"/>
    </row>
    <row r="1220">
      <c r="A1220" s="185">
        <f>ROW()-2</f>
        <v/>
      </c>
      <c r="B1220" s="133" t="inlineStr">
        <is>
          <t>750015</t>
        </is>
      </c>
      <c r="C1220" s="148" t="inlineStr">
        <is>
          <t>C SAMUVEL</t>
        </is>
      </c>
      <c r="D1220" s="133" t="inlineStr">
        <is>
          <t>QUALITY CONTROL</t>
        </is>
      </c>
      <c r="E1220" s="186" t="inlineStr">
        <is>
          <t>Final Finish QA</t>
        </is>
      </c>
      <c r="F1220" s="187" t="n">
        <v>43293</v>
      </c>
      <c r="G1220" s="188">
        <f>NOW()-F1220</f>
        <v/>
      </c>
      <c r="H1220" s="189" t="inlineStr">
        <is>
          <t>O</t>
        </is>
      </c>
      <c r="I1220" s="189" t="inlineStr">
        <is>
          <t>O</t>
        </is>
      </c>
      <c r="J1220" s="189" t="n"/>
      <c r="K1220" s="189" t="n"/>
      <c r="L1220" s="189" t="n"/>
      <c r="M1220" s="189" t="n"/>
      <c r="N1220" s="189" t="n"/>
      <c r="O1220" s="189">
        <f>SUM(J1220:N1220)</f>
        <v/>
      </c>
      <c r="P1220" s="190">
        <f>O1220/IF(H1220="L",20,IF(H1220="U",30,IF(H1220="O",40,IF(H1220="I",20,""))))</f>
        <v/>
      </c>
      <c r="Q1220" s="190">
        <f>IF(AND(H1220="L", P1220&gt;=50%), "Pass", IF(AND(H1220="U", P1220&gt;=60%), "Pass", IF(AND(H1220="O", P1220&gt;=75%), "Pass", "Fail")))</f>
        <v/>
      </c>
      <c r="R1220" s="189" t="n"/>
      <c r="S1220" s="189" t="n"/>
      <c r="T1220" s="189" t="n"/>
      <c r="U1220" s="189">
        <f>SUM(S1220:T1220)</f>
        <v/>
      </c>
      <c r="V1220" s="190">
        <f>U1220/IF(H1220="L",35,IF(H1220="U",35,IF(H1220="O",35,IF(H1220="I",35,""))))</f>
        <v/>
      </c>
      <c r="W1220" s="190">
        <f>IF(AND(H1220="L", V1220&gt;=50%), "Pass", IF(AND(H1220="U", V1220&gt;=60%), "Pass", IF(AND(H1220="O", V1220&gt;=75%), "Pass", "Fail")))</f>
        <v/>
      </c>
      <c r="X1220" s="190">
        <f>IF(AND(Q1220="Pass", W1220="Pass"), "Pass", "Fail")</f>
        <v/>
      </c>
      <c r="Y1220" s="191">
        <f>IF($X1220="Pass",$H1220, IF(H1220="L","I", IF(H1220="U","L", IF(H1220="O","U", "I"))))</f>
        <v/>
      </c>
      <c r="Z1220" s="182" t="n"/>
    </row>
    <row r="1221">
      <c r="A1221" s="185">
        <f>ROW()-2</f>
        <v/>
      </c>
      <c r="B1221" s="133" t="inlineStr">
        <is>
          <t>750016</t>
        </is>
      </c>
      <c r="C1221" s="148" t="inlineStr">
        <is>
          <t>E MUTHU RAJ</t>
        </is>
      </c>
      <c r="D1221" s="133" t="inlineStr">
        <is>
          <t>QUALITY CONTROL</t>
        </is>
      </c>
      <c r="E1221" s="186" t="inlineStr">
        <is>
          <t>Final Finish QA</t>
        </is>
      </c>
      <c r="F1221" s="187" t="n">
        <v>43293</v>
      </c>
      <c r="G1221" s="188">
        <f>NOW()-F1221</f>
        <v/>
      </c>
      <c r="H1221" s="189" t="inlineStr">
        <is>
          <t>O</t>
        </is>
      </c>
      <c r="I1221" s="189" t="inlineStr">
        <is>
          <t>O</t>
        </is>
      </c>
      <c r="J1221" s="189" t="n"/>
      <c r="K1221" s="189" t="n"/>
      <c r="L1221" s="189" t="n"/>
      <c r="M1221" s="189" t="n"/>
      <c r="N1221" s="189" t="n"/>
      <c r="O1221" s="189">
        <f>SUM(J1221:N1221)</f>
        <v/>
      </c>
      <c r="P1221" s="190">
        <f>O1221/IF(H1221="L",20,IF(H1221="U",30,IF(H1221="O",40,IF(H1221="I",20,""))))</f>
        <v/>
      </c>
      <c r="Q1221" s="190">
        <f>IF(AND(H1221="L", P1221&gt;=50%), "Pass", IF(AND(H1221="U", P1221&gt;=60%), "Pass", IF(AND(H1221="O", P1221&gt;=75%), "Pass", "Fail")))</f>
        <v/>
      </c>
      <c r="R1221" s="189" t="n"/>
      <c r="S1221" s="189" t="n"/>
      <c r="T1221" s="189" t="n"/>
      <c r="U1221" s="189">
        <f>SUM(S1221:T1221)</f>
        <v/>
      </c>
      <c r="V1221" s="190">
        <f>U1221/IF(H1221="L",35,IF(H1221="U",35,IF(H1221="O",35,IF(H1221="I",35,""))))</f>
        <v/>
      </c>
      <c r="W1221" s="190">
        <f>IF(AND(H1221="L", V1221&gt;=50%), "Pass", IF(AND(H1221="U", V1221&gt;=60%), "Pass", IF(AND(H1221="O", V1221&gt;=75%), "Pass", "Fail")))</f>
        <v/>
      </c>
      <c r="X1221" s="190">
        <f>IF(AND(Q1221="Pass", W1221="Pass"), "Pass", "Fail")</f>
        <v/>
      </c>
      <c r="Y1221" s="191">
        <f>IF($X1221="Pass",$H1221, IF(H1221="L","I", IF(H1221="U","L", IF(H1221="O","U", "I"))))</f>
        <v/>
      </c>
      <c r="Z1221" s="182" t="n"/>
    </row>
    <row r="1222">
      <c r="A1222" s="185">
        <f>ROW()-2</f>
        <v/>
      </c>
      <c r="B1222" s="133" t="inlineStr">
        <is>
          <t>750018</t>
        </is>
      </c>
      <c r="C1222" s="148" t="inlineStr">
        <is>
          <t>R SENTHIL</t>
        </is>
      </c>
      <c r="D1222" s="133" t="inlineStr">
        <is>
          <t>QUALITY CONTROL</t>
        </is>
      </c>
      <c r="E1222" s="186" t="inlineStr">
        <is>
          <t>Final Finish QA</t>
        </is>
      </c>
      <c r="F1222" s="187" t="n">
        <v>43262</v>
      </c>
      <c r="G1222" s="188">
        <f>NOW()-F1222</f>
        <v/>
      </c>
      <c r="H1222" s="189" t="inlineStr">
        <is>
          <t>O</t>
        </is>
      </c>
      <c r="I1222" s="189" t="inlineStr">
        <is>
          <t>O</t>
        </is>
      </c>
      <c r="J1222" s="189" t="n"/>
      <c r="K1222" s="189" t="n"/>
      <c r="L1222" s="189" t="n"/>
      <c r="M1222" s="189" t="n"/>
      <c r="N1222" s="189" t="n"/>
      <c r="O1222" s="189">
        <f>SUM(J1222:N1222)</f>
        <v/>
      </c>
      <c r="P1222" s="190">
        <f>O1222/IF(H1222="L",20,IF(H1222="U",30,IF(H1222="O",40,IF(H1222="I",20,""))))</f>
        <v/>
      </c>
      <c r="Q1222" s="190">
        <f>IF(AND(H1222="L", P1222&gt;=50%), "Pass", IF(AND(H1222="U", P1222&gt;=60%), "Pass", IF(AND(H1222="O", P1222&gt;=75%), "Pass", "Fail")))</f>
        <v/>
      </c>
      <c r="R1222" s="189" t="n"/>
      <c r="S1222" s="189" t="n"/>
      <c r="T1222" s="189" t="n"/>
      <c r="U1222" s="189">
        <f>SUM(S1222:T1222)</f>
        <v/>
      </c>
      <c r="V1222" s="190">
        <f>U1222/IF(H1222="L",35,IF(H1222="U",35,IF(H1222="O",35,IF(H1222="I",35,""))))</f>
        <v/>
      </c>
      <c r="W1222" s="190">
        <f>IF(AND(H1222="L", V1222&gt;=50%), "Pass", IF(AND(H1222="U", V1222&gt;=60%), "Pass", IF(AND(H1222="O", V1222&gt;=75%), "Pass", "Fail")))</f>
        <v/>
      </c>
      <c r="X1222" s="190">
        <f>IF(AND(Q1222="Pass", W1222="Pass"), "Pass", "Fail")</f>
        <v/>
      </c>
      <c r="Y1222" s="191">
        <f>IF($X1222="Pass",$H1222, IF(H1222="L","I", IF(H1222="U","L", IF(H1222="O","U", "I"))))</f>
        <v/>
      </c>
      <c r="Z1222" s="182" t="n"/>
    </row>
    <row r="1223">
      <c r="A1223" s="185">
        <f>ROW()-2</f>
        <v/>
      </c>
      <c r="B1223" s="133" t="inlineStr">
        <is>
          <t>750019</t>
        </is>
      </c>
      <c r="C1223" s="148" t="inlineStr">
        <is>
          <t>S KARTHIKEYAN</t>
        </is>
      </c>
      <c r="D1223" s="133" t="inlineStr">
        <is>
          <t>QUALITY CONTROL</t>
        </is>
      </c>
      <c r="E1223" s="186" t="inlineStr">
        <is>
          <t>Final Finish QA</t>
        </is>
      </c>
      <c r="F1223" s="187" t="n">
        <v>43262</v>
      </c>
      <c r="G1223" s="188">
        <f>NOW()-F1223</f>
        <v/>
      </c>
      <c r="H1223" s="189" t="inlineStr">
        <is>
          <t>O</t>
        </is>
      </c>
      <c r="I1223" s="189" t="inlineStr">
        <is>
          <t>O</t>
        </is>
      </c>
      <c r="J1223" s="189" t="n"/>
      <c r="K1223" s="189" t="n"/>
      <c r="L1223" s="189" t="n"/>
      <c r="M1223" s="189" t="n"/>
      <c r="N1223" s="189" t="n"/>
      <c r="O1223" s="189">
        <f>SUM(J1223:N1223)</f>
        <v/>
      </c>
      <c r="P1223" s="190">
        <f>O1223/IF(H1223="L",20,IF(H1223="U",30,IF(H1223="O",40,IF(H1223="I",20,""))))</f>
        <v/>
      </c>
      <c r="Q1223" s="190">
        <f>IF(AND(H1223="L", P1223&gt;=50%), "Pass", IF(AND(H1223="U", P1223&gt;=60%), "Pass", IF(AND(H1223="O", P1223&gt;=75%), "Pass", "Fail")))</f>
        <v/>
      </c>
      <c r="R1223" s="189" t="n"/>
      <c r="S1223" s="189" t="n"/>
      <c r="T1223" s="189" t="n"/>
      <c r="U1223" s="189">
        <f>SUM(S1223:T1223)</f>
        <v/>
      </c>
      <c r="V1223" s="190">
        <f>U1223/IF(H1223="L",35,IF(H1223="U",35,IF(H1223="O",35,IF(H1223="I",35,""))))</f>
        <v/>
      </c>
      <c r="W1223" s="190">
        <f>IF(AND(H1223="L", V1223&gt;=50%), "Pass", IF(AND(H1223="U", V1223&gt;=60%), "Pass", IF(AND(H1223="O", V1223&gt;=75%), "Pass", "Fail")))</f>
        <v/>
      </c>
      <c r="X1223" s="190">
        <f>IF(AND(Q1223="Pass", W1223="Pass"), "Pass", "Fail")</f>
        <v/>
      </c>
      <c r="Y1223" s="191">
        <f>IF($X1223="Pass",$H1223, IF(H1223="L","I", IF(H1223="U","L", IF(H1223="O","U", "I"))))</f>
        <v/>
      </c>
      <c r="Z1223" s="182" t="n"/>
    </row>
    <row r="1224">
      <c r="A1224" s="185">
        <f>ROW()-2</f>
        <v/>
      </c>
      <c r="B1224" s="133" t="inlineStr">
        <is>
          <t>750021</t>
        </is>
      </c>
      <c r="C1224" s="148" t="inlineStr">
        <is>
          <t>K GNANARAJ</t>
        </is>
      </c>
      <c r="D1224" s="133" t="inlineStr">
        <is>
          <t>QUALITY CONTROL</t>
        </is>
      </c>
      <c r="E1224" s="186" t="inlineStr">
        <is>
          <t>Final Finish QA</t>
        </is>
      </c>
      <c r="F1224" s="187" t="n">
        <v>43831</v>
      </c>
      <c r="G1224" s="188">
        <f>NOW()-F1224</f>
        <v/>
      </c>
      <c r="H1224" s="189" t="inlineStr">
        <is>
          <t>O</t>
        </is>
      </c>
      <c r="I1224" s="189" t="inlineStr">
        <is>
          <t>O</t>
        </is>
      </c>
      <c r="J1224" s="189" t="n"/>
      <c r="K1224" s="189" t="n"/>
      <c r="L1224" s="189" t="n"/>
      <c r="M1224" s="189" t="n"/>
      <c r="N1224" s="189" t="n"/>
      <c r="O1224" s="189">
        <f>SUM(J1224:N1224)</f>
        <v/>
      </c>
      <c r="P1224" s="190">
        <f>O1224/IF(H1224="L",20,IF(H1224="U",30,IF(H1224="O",40,IF(H1224="I",20,""))))</f>
        <v/>
      </c>
      <c r="Q1224" s="190">
        <f>IF(AND(H1224="L", P1224&gt;=50%), "Pass", IF(AND(H1224="U", P1224&gt;=60%), "Pass", IF(AND(H1224="O", P1224&gt;=75%), "Pass", "Fail")))</f>
        <v/>
      </c>
      <c r="R1224" s="189" t="n"/>
      <c r="S1224" s="189" t="n"/>
      <c r="T1224" s="189" t="n"/>
      <c r="U1224" s="189">
        <f>SUM(S1224:T1224)</f>
        <v/>
      </c>
      <c r="V1224" s="190">
        <f>U1224/IF(H1224="L",35,IF(H1224="U",35,IF(H1224="O",35,IF(H1224="I",35,""))))</f>
        <v/>
      </c>
      <c r="W1224" s="190">
        <f>IF(AND(H1224="L", V1224&gt;=50%), "Pass", IF(AND(H1224="U", V1224&gt;=60%), "Pass", IF(AND(H1224="O", V1224&gt;=75%), "Pass", "Fail")))</f>
        <v/>
      </c>
      <c r="X1224" s="190">
        <f>IF(AND(Q1224="Pass", W1224="Pass"), "Pass", "Fail")</f>
        <v/>
      </c>
      <c r="Y1224" s="191">
        <f>IF($X1224="Pass",$H1224, IF(H1224="L","I", IF(H1224="U","L", IF(H1224="O","U", "I"))))</f>
        <v/>
      </c>
      <c r="Z1224" s="182" t="n"/>
    </row>
    <row r="1225">
      <c r="A1225" s="185">
        <f>ROW()-2</f>
        <v/>
      </c>
      <c r="B1225" s="133" t="inlineStr">
        <is>
          <t>750022</t>
        </is>
      </c>
      <c r="C1225" s="148" t="inlineStr">
        <is>
          <t>A NEW PRAVEEN</t>
        </is>
      </c>
      <c r="D1225" s="133" t="inlineStr">
        <is>
          <t>QUALITY CONTROL</t>
        </is>
      </c>
      <c r="E1225" s="186" t="inlineStr">
        <is>
          <t>Final Finish QA</t>
        </is>
      </c>
      <c r="F1225" s="187" t="n">
        <v>43262</v>
      </c>
      <c r="G1225" s="188">
        <f>NOW()-F1225</f>
        <v/>
      </c>
      <c r="H1225" s="189" t="inlineStr">
        <is>
          <t>O</t>
        </is>
      </c>
      <c r="I1225" s="189" t="inlineStr">
        <is>
          <t>O</t>
        </is>
      </c>
      <c r="J1225" s="189" t="n"/>
      <c r="K1225" s="189" t="n"/>
      <c r="L1225" s="189" t="n"/>
      <c r="M1225" s="189" t="n"/>
      <c r="N1225" s="189" t="n"/>
      <c r="O1225" s="189">
        <f>SUM(J1225:N1225)</f>
        <v/>
      </c>
      <c r="P1225" s="190">
        <f>O1225/IF(H1225="L",20,IF(H1225="U",30,IF(H1225="O",40,IF(H1225="I",20,""))))</f>
        <v/>
      </c>
      <c r="Q1225" s="190">
        <f>IF(AND(H1225="L", P1225&gt;=50%), "Pass", IF(AND(H1225="U", P1225&gt;=60%), "Pass", IF(AND(H1225="O", P1225&gt;=75%), "Pass", "Fail")))</f>
        <v/>
      </c>
      <c r="R1225" s="189" t="n"/>
      <c r="S1225" s="189" t="n"/>
      <c r="T1225" s="189" t="n"/>
      <c r="U1225" s="189">
        <f>SUM(S1225:T1225)</f>
        <v/>
      </c>
      <c r="V1225" s="190">
        <f>U1225/IF(H1225="L",35,IF(H1225="U",35,IF(H1225="O",35,IF(H1225="I",35,""))))</f>
        <v/>
      </c>
      <c r="W1225" s="190">
        <f>IF(AND(H1225="L", V1225&gt;=50%), "Pass", IF(AND(H1225="U", V1225&gt;=60%), "Pass", IF(AND(H1225="O", V1225&gt;=75%), "Pass", "Fail")))</f>
        <v/>
      </c>
      <c r="X1225" s="190">
        <f>IF(AND(Q1225="Pass", W1225="Pass"), "Pass", "Fail")</f>
        <v/>
      </c>
      <c r="Y1225" s="191">
        <f>IF($X1225="Pass",$H1225, IF(H1225="L","I", IF(H1225="U","L", IF(H1225="O","U", "I"))))</f>
        <v/>
      </c>
      <c r="Z1225" s="182" t="n"/>
    </row>
    <row r="1226">
      <c r="A1226" s="185">
        <f>ROW()-2</f>
        <v/>
      </c>
      <c r="B1226" s="133" t="inlineStr">
        <is>
          <t>750025</t>
        </is>
      </c>
      <c r="C1226" s="148" t="inlineStr">
        <is>
          <t>R VISU</t>
        </is>
      </c>
      <c r="D1226" s="133" t="inlineStr">
        <is>
          <t>QUALITY CONTROL</t>
        </is>
      </c>
      <c r="E1226" s="186" t="inlineStr">
        <is>
          <t>Final Finish QA</t>
        </is>
      </c>
      <c r="F1226" s="187" t="n">
        <v>43294</v>
      </c>
      <c r="G1226" s="188">
        <f>NOW()-F1226</f>
        <v/>
      </c>
      <c r="H1226" s="189" t="inlineStr">
        <is>
          <t>O</t>
        </is>
      </c>
      <c r="I1226" s="189" t="inlineStr">
        <is>
          <t>O</t>
        </is>
      </c>
      <c r="J1226" s="189" t="n"/>
      <c r="K1226" s="189" t="n"/>
      <c r="L1226" s="189" t="n"/>
      <c r="M1226" s="189" t="n"/>
      <c r="N1226" s="189" t="n"/>
      <c r="O1226" s="189">
        <f>SUM(J1226:N1226)</f>
        <v/>
      </c>
      <c r="P1226" s="190">
        <f>O1226/IF(H1226="L",20,IF(H1226="U",30,IF(H1226="O",40,IF(H1226="I",20,""))))</f>
        <v/>
      </c>
      <c r="Q1226" s="190">
        <f>IF(AND(H1226="L", P1226&gt;=50%), "Pass", IF(AND(H1226="U", P1226&gt;=60%), "Pass", IF(AND(H1226="O", P1226&gt;=75%), "Pass", "Fail")))</f>
        <v/>
      </c>
      <c r="R1226" s="189" t="n"/>
      <c r="S1226" s="189" t="n"/>
      <c r="T1226" s="189" t="n"/>
      <c r="U1226" s="189">
        <f>SUM(S1226:T1226)</f>
        <v/>
      </c>
      <c r="V1226" s="190">
        <f>U1226/IF(H1226="L",35,IF(H1226="U",35,IF(H1226="O",35,IF(H1226="I",35,""))))</f>
        <v/>
      </c>
      <c r="W1226" s="190">
        <f>IF(AND(H1226="L", V1226&gt;=50%), "Pass", IF(AND(H1226="U", V1226&gt;=60%), "Pass", IF(AND(H1226="O", V1226&gt;=75%), "Pass", "Fail")))</f>
        <v/>
      </c>
      <c r="X1226" s="190">
        <f>IF(AND(Q1226="Pass", W1226="Pass"), "Pass", "Fail")</f>
        <v/>
      </c>
      <c r="Y1226" s="191">
        <f>IF($X1226="Pass",$H1226, IF(H1226="L","I", IF(H1226="U","L", IF(H1226="O","U", "I"))))</f>
        <v/>
      </c>
      <c r="Z1226" s="182" t="n"/>
    </row>
    <row r="1227">
      <c r="A1227" s="185">
        <f>ROW()-2</f>
        <v/>
      </c>
      <c r="B1227" s="133" t="inlineStr">
        <is>
          <t>750026</t>
        </is>
      </c>
      <c r="C1227" s="148" t="inlineStr">
        <is>
          <t>M RAM KULASEKARARAJA</t>
        </is>
      </c>
      <c r="D1227" s="133" t="inlineStr">
        <is>
          <t>QUALITY CONTROL</t>
        </is>
      </c>
      <c r="E1227" s="186" t="inlineStr">
        <is>
          <t>Final Finish QA</t>
        </is>
      </c>
      <c r="F1227" s="187" t="n">
        <v>43293</v>
      </c>
      <c r="G1227" s="188">
        <f>NOW()-F1227</f>
        <v/>
      </c>
      <c r="H1227" s="189" t="inlineStr">
        <is>
          <t>O</t>
        </is>
      </c>
      <c r="I1227" s="189" t="inlineStr">
        <is>
          <t>O</t>
        </is>
      </c>
      <c r="J1227" s="189" t="n"/>
      <c r="K1227" s="189" t="n"/>
      <c r="L1227" s="189" t="n"/>
      <c r="M1227" s="189" t="n"/>
      <c r="N1227" s="189" t="n"/>
      <c r="O1227" s="189">
        <f>SUM(J1227:N1227)</f>
        <v/>
      </c>
      <c r="P1227" s="190">
        <f>O1227/IF(H1227="L",20,IF(H1227="U",30,IF(H1227="O",40,IF(H1227="I",20,""))))</f>
        <v/>
      </c>
      <c r="Q1227" s="190">
        <f>IF(AND(H1227="L", P1227&gt;=50%), "Pass", IF(AND(H1227="U", P1227&gt;=60%), "Pass", IF(AND(H1227="O", P1227&gt;=75%), "Pass", "Fail")))</f>
        <v/>
      </c>
      <c r="R1227" s="189" t="n"/>
      <c r="S1227" s="189" t="n"/>
      <c r="T1227" s="189" t="n"/>
      <c r="U1227" s="189">
        <f>SUM(S1227:T1227)</f>
        <v/>
      </c>
      <c r="V1227" s="190">
        <f>U1227/IF(H1227="L",35,IF(H1227="U",35,IF(H1227="O",35,IF(H1227="I",35,""))))</f>
        <v/>
      </c>
      <c r="W1227" s="190">
        <f>IF(AND(H1227="L", V1227&gt;=50%), "Pass", IF(AND(H1227="U", V1227&gt;=60%), "Pass", IF(AND(H1227="O", V1227&gt;=75%), "Pass", "Fail")))</f>
        <v/>
      </c>
      <c r="X1227" s="190">
        <f>IF(AND(Q1227="Pass", W1227="Pass"), "Pass", "Fail")</f>
        <v/>
      </c>
      <c r="Y1227" s="191">
        <f>IF($X1227="Pass",$H1227, IF(H1227="L","I", IF(H1227="U","L", IF(H1227="O","U", "I"))))</f>
        <v/>
      </c>
      <c r="Z1227" s="182" t="n"/>
    </row>
    <row r="1228">
      <c r="A1228" s="185">
        <f>ROW()-2</f>
        <v/>
      </c>
      <c r="B1228" s="133" t="inlineStr">
        <is>
          <t>750027</t>
        </is>
      </c>
      <c r="C1228" s="148" t="inlineStr">
        <is>
          <t>M MANIKANDAN</t>
        </is>
      </c>
      <c r="D1228" s="133" t="inlineStr">
        <is>
          <t>QUALITY CONTROL</t>
        </is>
      </c>
      <c r="E1228" s="186" t="inlineStr">
        <is>
          <t>Final Finish QA</t>
        </is>
      </c>
      <c r="F1228" s="187" t="n">
        <v>43262</v>
      </c>
      <c r="G1228" s="188">
        <f>NOW()-F1228</f>
        <v/>
      </c>
      <c r="H1228" s="189" t="inlineStr">
        <is>
          <t>O</t>
        </is>
      </c>
      <c r="I1228" s="189" t="inlineStr">
        <is>
          <t>O</t>
        </is>
      </c>
      <c r="J1228" s="189" t="n"/>
      <c r="K1228" s="189" t="n"/>
      <c r="L1228" s="189" t="n"/>
      <c r="M1228" s="189" t="n"/>
      <c r="N1228" s="189" t="n"/>
      <c r="O1228" s="189">
        <f>SUM(J1228:N1228)</f>
        <v/>
      </c>
      <c r="P1228" s="190">
        <f>O1228/IF(H1228="L",20,IF(H1228="U",30,IF(H1228="O",40,IF(H1228="I",20,""))))</f>
        <v/>
      </c>
      <c r="Q1228" s="190">
        <f>IF(AND(H1228="L", P1228&gt;=50%), "Pass", IF(AND(H1228="U", P1228&gt;=60%), "Pass", IF(AND(H1228="O", P1228&gt;=75%), "Pass", "Fail")))</f>
        <v/>
      </c>
      <c r="R1228" s="189" t="n"/>
      <c r="S1228" s="189" t="n"/>
      <c r="T1228" s="189" t="n"/>
      <c r="U1228" s="189">
        <f>SUM(S1228:T1228)</f>
        <v/>
      </c>
      <c r="V1228" s="190">
        <f>U1228/IF(H1228="L",35,IF(H1228="U",35,IF(H1228="O",35,IF(H1228="I",35,""))))</f>
        <v/>
      </c>
      <c r="W1228" s="190">
        <f>IF(AND(H1228="L", V1228&gt;=50%), "Pass", IF(AND(H1228="U", V1228&gt;=60%), "Pass", IF(AND(H1228="O", V1228&gt;=75%), "Pass", "Fail")))</f>
        <v/>
      </c>
      <c r="X1228" s="190">
        <f>IF(AND(Q1228="Pass", W1228="Pass"), "Pass", "Fail")</f>
        <v/>
      </c>
      <c r="Y1228" s="191">
        <f>IF($X1228="Pass",$H1228, IF(H1228="L","I", IF(H1228="U","L", IF(H1228="O","U", "I"))))</f>
        <v/>
      </c>
      <c r="Z1228" s="182" t="n"/>
    </row>
    <row r="1229">
      <c r="A1229" s="185">
        <f>ROW()-2</f>
        <v/>
      </c>
      <c r="B1229" s="133" t="inlineStr">
        <is>
          <t>750028</t>
        </is>
      </c>
      <c r="C1229" s="148" t="inlineStr">
        <is>
          <t>S RAJESH KANNAN</t>
        </is>
      </c>
      <c r="D1229" s="133" t="inlineStr">
        <is>
          <t>QUALITY CONTROL</t>
        </is>
      </c>
      <c r="E1229" s="186" t="inlineStr">
        <is>
          <t>Final Finish QA</t>
        </is>
      </c>
      <c r="F1229" s="187" t="n">
        <v>43344</v>
      </c>
      <c r="G1229" s="188">
        <f>NOW()-F1229</f>
        <v/>
      </c>
      <c r="H1229" s="189" t="inlineStr">
        <is>
          <t>O</t>
        </is>
      </c>
      <c r="I1229" s="189" t="inlineStr">
        <is>
          <t>O</t>
        </is>
      </c>
      <c r="J1229" s="189" t="n"/>
      <c r="K1229" s="189" t="n"/>
      <c r="L1229" s="189" t="n"/>
      <c r="M1229" s="189" t="n"/>
      <c r="N1229" s="189" t="n"/>
      <c r="O1229" s="189">
        <f>SUM(J1229:N1229)</f>
        <v/>
      </c>
      <c r="P1229" s="190">
        <f>O1229/IF(H1229="L",20,IF(H1229="U",30,IF(H1229="O",40,IF(H1229="I",20,""))))</f>
        <v/>
      </c>
      <c r="Q1229" s="190">
        <f>IF(AND(H1229="L", P1229&gt;=50%), "Pass", IF(AND(H1229="U", P1229&gt;=60%), "Pass", IF(AND(H1229="O", P1229&gt;=75%), "Pass", "Fail")))</f>
        <v/>
      </c>
      <c r="R1229" s="189" t="n"/>
      <c r="S1229" s="189" t="n"/>
      <c r="T1229" s="189" t="n"/>
      <c r="U1229" s="189">
        <f>SUM(S1229:T1229)</f>
        <v/>
      </c>
      <c r="V1229" s="190">
        <f>U1229/IF(H1229="L",35,IF(H1229="U",35,IF(H1229="O",35,IF(H1229="I",35,""))))</f>
        <v/>
      </c>
      <c r="W1229" s="190">
        <f>IF(AND(H1229="L", V1229&gt;=50%), "Pass", IF(AND(H1229="U", V1229&gt;=60%), "Pass", IF(AND(H1229="O", V1229&gt;=75%), "Pass", "Fail")))</f>
        <v/>
      </c>
      <c r="X1229" s="190">
        <f>IF(AND(Q1229="Pass", W1229="Pass"), "Pass", "Fail")</f>
        <v/>
      </c>
      <c r="Y1229" s="191">
        <f>IF($X1229="Pass",$H1229, IF(H1229="L","I", IF(H1229="U","L", IF(H1229="O","U", "I"))))</f>
        <v/>
      </c>
      <c r="Z1229" s="182" t="n"/>
    </row>
    <row r="1230">
      <c r="A1230" s="185">
        <f>ROW()-2</f>
        <v/>
      </c>
      <c r="B1230" s="133" t="inlineStr">
        <is>
          <t>750030</t>
        </is>
      </c>
      <c r="C1230" s="148" t="inlineStr">
        <is>
          <t>O THANGAMARI</t>
        </is>
      </c>
      <c r="D1230" s="133" t="inlineStr">
        <is>
          <t>QUALITY CONTROL</t>
        </is>
      </c>
      <c r="E1230" s="186" t="inlineStr">
        <is>
          <t>Final Finish QA</t>
        </is>
      </c>
      <c r="F1230" s="187" t="n">
        <v>43262</v>
      </c>
      <c r="G1230" s="188">
        <f>NOW()-F1230</f>
        <v/>
      </c>
      <c r="H1230" s="189" t="inlineStr">
        <is>
          <t>O</t>
        </is>
      </c>
      <c r="I1230" s="189" t="inlineStr">
        <is>
          <t>O</t>
        </is>
      </c>
      <c r="J1230" s="189" t="n"/>
      <c r="K1230" s="189" t="n"/>
      <c r="L1230" s="189" t="n"/>
      <c r="M1230" s="189" t="n"/>
      <c r="N1230" s="189" t="n"/>
      <c r="O1230" s="189">
        <f>SUM(J1230:N1230)</f>
        <v/>
      </c>
      <c r="P1230" s="190">
        <f>O1230/IF(H1230="L",20,IF(H1230="U",30,IF(H1230="O",40,IF(H1230="I",20,""))))</f>
        <v/>
      </c>
      <c r="Q1230" s="190">
        <f>IF(AND(H1230="L", P1230&gt;=50%), "Pass", IF(AND(H1230="U", P1230&gt;=60%), "Pass", IF(AND(H1230="O", P1230&gt;=75%), "Pass", "Fail")))</f>
        <v/>
      </c>
      <c r="R1230" s="189" t="n"/>
      <c r="S1230" s="189" t="n"/>
      <c r="T1230" s="189" t="n"/>
      <c r="U1230" s="189">
        <f>SUM(S1230:T1230)</f>
        <v/>
      </c>
      <c r="V1230" s="190">
        <f>U1230/IF(H1230="L",35,IF(H1230="U",35,IF(H1230="O",35,IF(H1230="I",35,""))))</f>
        <v/>
      </c>
      <c r="W1230" s="190">
        <f>IF(AND(H1230="L", V1230&gt;=50%), "Pass", IF(AND(H1230="U", V1230&gt;=60%), "Pass", IF(AND(H1230="O", V1230&gt;=75%), "Pass", "Fail")))</f>
        <v/>
      </c>
      <c r="X1230" s="190">
        <f>IF(AND(Q1230="Pass", W1230="Pass"), "Pass", "Fail")</f>
        <v/>
      </c>
      <c r="Y1230" s="191">
        <f>IF($X1230="Pass",$H1230, IF(H1230="L","I", IF(H1230="U","L", IF(H1230="O","U", "I"))))</f>
        <v/>
      </c>
      <c r="Z1230" s="182" t="n"/>
    </row>
    <row r="1231">
      <c r="A1231" s="185">
        <f>ROW()-2</f>
        <v/>
      </c>
      <c r="B1231" s="133" t="inlineStr">
        <is>
          <t>750031</t>
        </is>
      </c>
      <c r="C1231" s="148" t="inlineStr">
        <is>
          <t>S MURUGESH</t>
        </is>
      </c>
      <c r="D1231" s="133" t="inlineStr">
        <is>
          <t>QUALITY CONTROL</t>
        </is>
      </c>
      <c r="E1231" s="186" t="inlineStr">
        <is>
          <t>Final Finish QA</t>
        </is>
      </c>
      <c r="F1231" s="187" t="n">
        <v>43294</v>
      </c>
      <c r="G1231" s="188">
        <f>NOW()-F1231</f>
        <v/>
      </c>
      <c r="H1231" s="189" t="inlineStr">
        <is>
          <t>O</t>
        </is>
      </c>
      <c r="I1231" s="189" t="inlineStr">
        <is>
          <t>O</t>
        </is>
      </c>
      <c r="J1231" s="189" t="n"/>
      <c r="K1231" s="189" t="n"/>
      <c r="L1231" s="189" t="n"/>
      <c r="M1231" s="189" t="n"/>
      <c r="N1231" s="189" t="n"/>
      <c r="O1231" s="189">
        <f>SUM(J1231:N1231)</f>
        <v/>
      </c>
      <c r="P1231" s="190">
        <f>O1231/IF(H1231="L",20,IF(H1231="U",30,IF(H1231="O",40,IF(H1231="I",20,""))))</f>
        <v/>
      </c>
      <c r="Q1231" s="190">
        <f>IF(AND(H1231="L", P1231&gt;=50%), "Pass", IF(AND(H1231="U", P1231&gt;=60%), "Pass", IF(AND(H1231="O", P1231&gt;=75%), "Pass", "Fail")))</f>
        <v/>
      </c>
      <c r="R1231" s="189" t="n"/>
      <c r="S1231" s="189" t="n"/>
      <c r="T1231" s="189" t="n"/>
      <c r="U1231" s="189">
        <f>SUM(S1231:T1231)</f>
        <v/>
      </c>
      <c r="V1231" s="190">
        <f>U1231/IF(H1231="L",35,IF(H1231="U",35,IF(H1231="O",35,IF(H1231="I",35,""))))</f>
        <v/>
      </c>
      <c r="W1231" s="190">
        <f>IF(AND(H1231="L", V1231&gt;=50%), "Pass", IF(AND(H1231="U", V1231&gt;=60%), "Pass", IF(AND(H1231="O", V1231&gt;=75%), "Pass", "Fail")))</f>
        <v/>
      </c>
      <c r="X1231" s="190">
        <f>IF(AND(Q1231="Pass", W1231="Pass"), "Pass", "Fail")</f>
        <v/>
      </c>
      <c r="Y1231" s="191">
        <f>IF($X1231="Pass",$H1231, IF(H1231="L","I", IF(H1231="U","L", IF(H1231="O","U", "I"))))</f>
        <v/>
      </c>
      <c r="Z1231" s="182" t="n"/>
    </row>
    <row r="1232">
      <c r="A1232" s="185">
        <f>ROW()-2</f>
        <v/>
      </c>
      <c r="B1232" s="133" t="inlineStr">
        <is>
          <t>750032</t>
        </is>
      </c>
      <c r="C1232" s="148" t="inlineStr">
        <is>
          <t>M VEL MURUGAN 27</t>
        </is>
      </c>
      <c r="D1232" s="133" t="inlineStr">
        <is>
          <t>QUALITY CONTROL</t>
        </is>
      </c>
      <c r="E1232" s="186" t="inlineStr">
        <is>
          <t>Final Finish QA</t>
        </is>
      </c>
      <c r="F1232" s="187" t="n">
        <v>43295</v>
      </c>
      <c r="G1232" s="188">
        <f>NOW()-F1232</f>
        <v/>
      </c>
      <c r="H1232" s="189" t="inlineStr">
        <is>
          <t>O</t>
        </is>
      </c>
      <c r="I1232" s="189" t="inlineStr">
        <is>
          <t>O</t>
        </is>
      </c>
      <c r="J1232" s="189" t="n"/>
      <c r="K1232" s="189" t="n"/>
      <c r="L1232" s="189" t="n"/>
      <c r="M1232" s="189" t="n"/>
      <c r="N1232" s="189" t="n"/>
      <c r="O1232" s="189">
        <f>SUM(J1232:N1232)</f>
        <v/>
      </c>
      <c r="P1232" s="190">
        <f>O1232/IF(H1232="L",20,IF(H1232="U",30,IF(H1232="O",40,IF(H1232="I",20,""))))</f>
        <v/>
      </c>
      <c r="Q1232" s="190">
        <f>IF(AND(H1232="L", P1232&gt;=50%), "Pass", IF(AND(H1232="U", P1232&gt;=60%), "Pass", IF(AND(H1232="O", P1232&gt;=75%), "Pass", "Fail")))</f>
        <v/>
      </c>
      <c r="R1232" s="189" t="n"/>
      <c r="S1232" s="189" t="n"/>
      <c r="T1232" s="189" t="n"/>
      <c r="U1232" s="189">
        <f>SUM(S1232:T1232)</f>
        <v/>
      </c>
      <c r="V1232" s="190">
        <f>U1232/IF(H1232="L",35,IF(H1232="U",35,IF(H1232="O",35,IF(H1232="I",35,""))))</f>
        <v/>
      </c>
      <c r="W1232" s="190">
        <f>IF(AND(H1232="L", V1232&gt;=50%), "Pass", IF(AND(H1232="U", V1232&gt;=60%), "Pass", IF(AND(H1232="O", V1232&gt;=75%), "Pass", "Fail")))</f>
        <v/>
      </c>
      <c r="X1232" s="190">
        <f>IF(AND(Q1232="Pass", W1232="Pass"), "Pass", "Fail")</f>
        <v/>
      </c>
      <c r="Y1232" s="191">
        <f>IF($X1232="Pass",$H1232, IF(H1232="L","I", IF(H1232="U","L", IF(H1232="O","U", "I"))))</f>
        <v/>
      </c>
      <c r="Z1232" s="182" t="n"/>
    </row>
    <row r="1233">
      <c r="A1233" s="185">
        <f>ROW()-2</f>
        <v/>
      </c>
      <c r="B1233" s="133" t="inlineStr">
        <is>
          <t>750034</t>
        </is>
      </c>
      <c r="C1233" s="148" t="inlineStr">
        <is>
          <t>M ARUMUGA KANI</t>
        </is>
      </c>
      <c r="D1233" s="133" t="inlineStr">
        <is>
          <t>QUALITY CONTROL</t>
        </is>
      </c>
      <c r="E1233" s="186" t="inlineStr">
        <is>
          <t>Final Finish QA</t>
        </is>
      </c>
      <c r="F1233" s="187" t="n">
        <v>43262</v>
      </c>
      <c r="G1233" s="188">
        <f>NOW()-F1233</f>
        <v/>
      </c>
      <c r="H1233" s="189" t="inlineStr">
        <is>
          <t>O</t>
        </is>
      </c>
      <c r="I1233" s="189" t="inlineStr">
        <is>
          <t>O</t>
        </is>
      </c>
      <c r="J1233" s="189" t="n"/>
      <c r="K1233" s="189" t="n"/>
      <c r="L1233" s="189" t="n"/>
      <c r="M1233" s="189" t="n"/>
      <c r="N1233" s="189" t="n"/>
      <c r="O1233" s="189">
        <f>SUM(J1233:N1233)</f>
        <v/>
      </c>
      <c r="P1233" s="190">
        <f>O1233/IF(H1233="L",20,IF(H1233="U",30,IF(H1233="O",40,IF(H1233="I",20,""))))</f>
        <v/>
      </c>
      <c r="Q1233" s="190">
        <f>IF(AND(H1233="L", P1233&gt;=50%), "Pass", IF(AND(H1233="U", P1233&gt;=60%), "Pass", IF(AND(H1233="O", P1233&gt;=75%), "Pass", "Fail")))</f>
        <v/>
      </c>
      <c r="R1233" s="189" t="n"/>
      <c r="S1233" s="189" t="n"/>
      <c r="T1233" s="189" t="n"/>
      <c r="U1233" s="189">
        <f>SUM(S1233:T1233)</f>
        <v/>
      </c>
      <c r="V1233" s="190">
        <f>U1233/IF(H1233="L",35,IF(H1233="U",35,IF(H1233="O",35,IF(H1233="I",35,""))))</f>
        <v/>
      </c>
      <c r="W1233" s="190">
        <f>IF(AND(H1233="L", V1233&gt;=50%), "Pass", IF(AND(H1233="U", V1233&gt;=60%), "Pass", IF(AND(H1233="O", V1233&gt;=75%), "Pass", "Fail")))</f>
        <v/>
      </c>
      <c r="X1233" s="190">
        <f>IF(AND(Q1233="Pass", W1233="Pass"), "Pass", "Fail")</f>
        <v/>
      </c>
      <c r="Y1233" s="191">
        <f>IF($X1233="Pass",$H1233, IF(H1233="L","I", IF(H1233="U","L", IF(H1233="O","U", "I"))))</f>
        <v/>
      </c>
      <c r="Z1233" s="182" t="n"/>
    </row>
    <row r="1234">
      <c r="A1234" s="185">
        <f>ROW()-2</f>
        <v/>
      </c>
      <c r="B1234" s="133" t="inlineStr">
        <is>
          <t>750035</t>
        </is>
      </c>
      <c r="C1234" s="148" t="inlineStr">
        <is>
          <t>C MANIMARAN</t>
        </is>
      </c>
      <c r="D1234" s="133" t="inlineStr">
        <is>
          <t>QUALITY CONTROL</t>
        </is>
      </c>
      <c r="E1234" s="186" t="inlineStr">
        <is>
          <t>Final Finish QA</t>
        </is>
      </c>
      <c r="F1234" s="187" t="n">
        <v>43262</v>
      </c>
      <c r="G1234" s="188">
        <f>NOW()-F1234</f>
        <v/>
      </c>
      <c r="H1234" s="189" t="inlineStr">
        <is>
          <t>O</t>
        </is>
      </c>
      <c r="I1234" s="189" t="inlineStr">
        <is>
          <t>O</t>
        </is>
      </c>
      <c r="J1234" s="189" t="n"/>
      <c r="K1234" s="189" t="n"/>
      <c r="L1234" s="189" t="n"/>
      <c r="M1234" s="189" t="n"/>
      <c r="N1234" s="189" t="n"/>
      <c r="O1234" s="189">
        <f>SUM(J1234:N1234)</f>
        <v/>
      </c>
      <c r="P1234" s="190">
        <f>O1234/IF(H1234="L",20,IF(H1234="U",30,IF(H1234="O",40,IF(H1234="I",20,""))))</f>
        <v/>
      </c>
      <c r="Q1234" s="190">
        <f>IF(AND(H1234="L", P1234&gt;=50%), "Pass", IF(AND(H1234="U", P1234&gt;=60%), "Pass", IF(AND(H1234="O", P1234&gt;=75%), "Pass", "Fail")))</f>
        <v/>
      </c>
      <c r="R1234" s="189" t="n"/>
      <c r="S1234" s="189" t="n"/>
      <c r="T1234" s="189" t="n"/>
      <c r="U1234" s="189">
        <f>SUM(S1234:T1234)</f>
        <v/>
      </c>
      <c r="V1234" s="190">
        <f>U1234/IF(H1234="L",35,IF(H1234="U",35,IF(H1234="O",35,IF(H1234="I",35,""))))</f>
        <v/>
      </c>
      <c r="W1234" s="190">
        <f>IF(AND(H1234="L", V1234&gt;=50%), "Pass", IF(AND(H1234="U", V1234&gt;=60%), "Pass", IF(AND(H1234="O", V1234&gt;=75%), "Pass", "Fail")))</f>
        <v/>
      </c>
      <c r="X1234" s="190">
        <f>IF(AND(Q1234="Pass", W1234="Pass"), "Pass", "Fail")</f>
        <v/>
      </c>
      <c r="Y1234" s="191">
        <f>IF($X1234="Pass",$H1234, IF(H1234="L","I", IF(H1234="U","L", IF(H1234="O","U", "I"))))</f>
        <v/>
      </c>
      <c r="Z1234" s="182" t="n"/>
    </row>
    <row r="1235">
      <c r="A1235" s="185">
        <f>ROW()-2</f>
        <v/>
      </c>
      <c r="B1235" s="133" t="inlineStr">
        <is>
          <t>750036</t>
        </is>
      </c>
      <c r="C1235" s="148" t="inlineStr">
        <is>
          <t>P GOWRI SANKAR</t>
        </is>
      </c>
      <c r="D1235" s="133" t="inlineStr">
        <is>
          <t>QUALITY CONTROL</t>
        </is>
      </c>
      <c r="E1235" s="186" t="inlineStr">
        <is>
          <t>Final Finish QA</t>
        </is>
      </c>
      <c r="F1235" s="187" t="n">
        <v>43262</v>
      </c>
      <c r="G1235" s="188">
        <f>NOW()-F1235</f>
        <v/>
      </c>
      <c r="H1235" s="189" t="inlineStr">
        <is>
          <t>O</t>
        </is>
      </c>
      <c r="I1235" s="189" t="inlineStr">
        <is>
          <t>O</t>
        </is>
      </c>
      <c r="J1235" s="189" t="n"/>
      <c r="K1235" s="189" t="n"/>
      <c r="L1235" s="189" t="n"/>
      <c r="M1235" s="189" t="n"/>
      <c r="N1235" s="189" t="n"/>
      <c r="O1235" s="189">
        <f>SUM(J1235:N1235)</f>
        <v/>
      </c>
      <c r="P1235" s="190">
        <f>O1235/IF(H1235="L",20,IF(H1235="U",30,IF(H1235="O",40,IF(H1235="I",20,""))))</f>
        <v/>
      </c>
      <c r="Q1235" s="190">
        <f>IF(AND(H1235="L", P1235&gt;=50%), "Pass", IF(AND(H1235="U", P1235&gt;=60%), "Pass", IF(AND(H1235="O", P1235&gt;=75%), "Pass", "Fail")))</f>
        <v/>
      </c>
      <c r="R1235" s="189" t="n"/>
      <c r="S1235" s="189" t="n"/>
      <c r="T1235" s="189" t="n"/>
      <c r="U1235" s="189">
        <f>SUM(S1235:T1235)</f>
        <v/>
      </c>
      <c r="V1235" s="190">
        <f>U1235/IF(H1235="L",35,IF(H1235="U",35,IF(H1235="O",35,IF(H1235="I",35,""))))</f>
        <v/>
      </c>
      <c r="W1235" s="190">
        <f>IF(AND(H1235="L", V1235&gt;=50%), "Pass", IF(AND(H1235="U", V1235&gt;=60%), "Pass", IF(AND(H1235="O", V1235&gt;=75%), "Pass", "Fail")))</f>
        <v/>
      </c>
      <c r="X1235" s="190">
        <f>IF(AND(Q1235="Pass", W1235="Pass"), "Pass", "Fail")</f>
        <v/>
      </c>
      <c r="Y1235" s="191">
        <f>IF($X1235="Pass",$H1235, IF(H1235="L","I", IF(H1235="U","L", IF(H1235="O","U", "I"))))</f>
        <v/>
      </c>
      <c r="Z1235" s="182" t="n"/>
    </row>
    <row r="1236">
      <c r="A1236" s="185">
        <f>ROW()-2</f>
        <v/>
      </c>
      <c r="B1236" s="133" t="inlineStr">
        <is>
          <t>750037</t>
        </is>
      </c>
      <c r="C1236" s="148" t="inlineStr">
        <is>
          <t>M KARTHIKEYAN 39</t>
        </is>
      </c>
      <c r="D1236" s="133" t="inlineStr">
        <is>
          <t>QUALITY CONTROL</t>
        </is>
      </c>
      <c r="E1236" s="186" t="inlineStr">
        <is>
          <t>Final Finish QA</t>
        </is>
      </c>
      <c r="F1236" s="187" t="n">
        <v>43262</v>
      </c>
      <c r="G1236" s="188">
        <f>NOW()-F1236</f>
        <v/>
      </c>
      <c r="H1236" s="189" t="inlineStr">
        <is>
          <t>O</t>
        </is>
      </c>
      <c r="I1236" s="189" t="inlineStr">
        <is>
          <t>O</t>
        </is>
      </c>
      <c r="J1236" s="189" t="n"/>
      <c r="K1236" s="189" t="n"/>
      <c r="L1236" s="189" t="n"/>
      <c r="M1236" s="189" t="n"/>
      <c r="N1236" s="189" t="n"/>
      <c r="O1236" s="189">
        <f>SUM(J1236:N1236)</f>
        <v/>
      </c>
      <c r="P1236" s="190">
        <f>O1236/IF(H1236="L",20,IF(H1236="U",30,IF(H1236="O",40,IF(H1236="I",20,""))))</f>
        <v/>
      </c>
      <c r="Q1236" s="190">
        <f>IF(AND(H1236="L", P1236&gt;=50%), "Pass", IF(AND(H1236="U", P1236&gt;=60%), "Pass", IF(AND(H1236="O", P1236&gt;=75%), "Pass", "Fail")))</f>
        <v/>
      </c>
      <c r="R1236" s="189" t="n"/>
      <c r="S1236" s="189" t="n"/>
      <c r="T1236" s="189" t="n"/>
      <c r="U1236" s="189">
        <f>SUM(S1236:T1236)</f>
        <v/>
      </c>
      <c r="V1236" s="190">
        <f>U1236/IF(H1236="L",35,IF(H1236="U",35,IF(H1236="O",35,IF(H1236="I",35,""))))</f>
        <v/>
      </c>
      <c r="W1236" s="190">
        <f>IF(AND(H1236="L", V1236&gt;=50%), "Pass", IF(AND(H1236="U", V1236&gt;=60%), "Pass", IF(AND(H1236="O", V1236&gt;=75%), "Pass", "Fail")))</f>
        <v/>
      </c>
      <c r="X1236" s="190">
        <f>IF(AND(Q1236="Pass", W1236="Pass"), "Pass", "Fail")</f>
        <v/>
      </c>
      <c r="Y1236" s="191">
        <f>IF($X1236="Pass",$H1236, IF(H1236="L","I", IF(H1236="U","L", IF(H1236="O","U", "I"))))</f>
        <v/>
      </c>
      <c r="Z1236" s="182" t="n"/>
    </row>
    <row r="1237">
      <c r="A1237" s="185">
        <f>ROW()-2</f>
        <v/>
      </c>
      <c r="B1237" s="133" t="inlineStr">
        <is>
          <t>750056</t>
        </is>
      </c>
      <c r="C1237" s="148" t="inlineStr">
        <is>
          <t>N SELVAM</t>
        </is>
      </c>
      <c r="D1237" s="133" t="inlineStr">
        <is>
          <t>QUALITY CONTROL</t>
        </is>
      </c>
      <c r="E1237" s="186" t="inlineStr">
        <is>
          <t>Final Finish QA</t>
        </is>
      </c>
      <c r="F1237" s="187" t="n">
        <v>43419</v>
      </c>
      <c r="G1237" s="188">
        <f>NOW()-F1237</f>
        <v/>
      </c>
      <c r="H1237" s="189" t="inlineStr">
        <is>
          <t>O</t>
        </is>
      </c>
      <c r="I1237" s="189" t="inlineStr">
        <is>
          <t>O</t>
        </is>
      </c>
      <c r="J1237" s="189" t="n"/>
      <c r="K1237" s="189" t="n"/>
      <c r="L1237" s="189" t="n"/>
      <c r="M1237" s="189" t="n"/>
      <c r="N1237" s="189" t="n"/>
      <c r="O1237" s="189">
        <f>SUM(J1237:N1237)</f>
        <v/>
      </c>
      <c r="P1237" s="190">
        <f>O1237/IF(H1237="L",20,IF(H1237="U",30,IF(H1237="O",40,IF(H1237="I",20,""))))</f>
        <v/>
      </c>
      <c r="Q1237" s="190">
        <f>IF(AND(H1237="L", P1237&gt;=50%), "Pass", IF(AND(H1237="U", P1237&gt;=60%), "Pass", IF(AND(H1237="O", P1237&gt;=75%), "Pass", "Fail")))</f>
        <v/>
      </c>
      <c r="R1237" s="189" t="n"/>
      <c r="S1237" s="189" t="n"/>
      <c r="T1237" s="189" t="n"/>
      <c r="U1237" s="189">
        <f>SUM(S1237:T1237)</f>
        <v/>
      </c>
      <c r="V1237" s="190">
        <f>U1237/IF(H1237="L",35,IF(H1237="U",35,IF(H1237="O",35,IF(H1237="I",35,""))))</f>
        <v/>
      </c>
      <c r="W1237" s="190">
        <f>IF(AND(H1237="L", V1237&gt;=50%), "Pass", IF(AND(H1237="U", V1237&gt;=60%), "Pass", IF(AND(H1237="O", V1237&gt;=75%), "Pass", "Fail")))</f>
        <v/>
      </c>
      <c r="X1237" s="190">
        <f>IF(AND(Q1237="Pass", W1237="Pass"), "Pass", "Fail")</f>
        <v/>
      </c>
      <c r="Y1237" s="191">
        <f>IF($X1237="Pass",$H1237, IF(H1237="L","I", IF(H1237="U","L", IF(H1237="O","U", "I"))))</f>
        <v/>
      </c>
      <c r="Z1237" s="182" t="n"/>
    </row>
    <row r="1238">
      <c r="A1238" s="185">
        <f>ROW()-2</f>
        <v/>
      </c>
      <c r="B1238" s="133" t="inlineStr">
        <is>
          <t>750057</t>
        </is>
      </c>
      <c r="C1238" s="148" t="inlineStr">
        <is>
          <t>M SIVA</t>
        </is>
      </c>
      <c r="D1238" s="133" t="inlineStr">
        <is>
          <t>QUALITY CONTROL</t>
        </is>
      </c>
      <c r="E1238" s="186" t="inlineStr">
        <is>
          <t>Final Finish QA</t>
        </is>
      </c>
      <c r="F1238" s="187" t="n">
        <v>43413</v>
      </c>
      <c r="G1238" s="188">
        <f>NOW()-F1238</f>
        <v/>
      </c>
      <c r="H1238" s="189" t="inlineStr">
        <is>
          <t>O</t>
        </is>
      </c>
      <c r="I1238" s="189" t="inlineStr">
        <is>
          <t>O</t>
        </is>
      </c>
      <c r="J1238" s="189" t="n"/>
      <c r="K1238" s="189" t="n"/>
      <c r="L1238" s="189" t="n"/>
      <c r="M1238" s="189" t="n"/>
      <c r="N1238" s="189" t="n"/>
      <c r="O1238" s="189">
        <f>SUM(J1238:N1238)</f>
        <v/>
      </c>
      <c r="P1238" s="190">
        <f>O1238/IF(H1238="L",20,IF(H1238="U",30,IF(H1238="O",40,IF(H1238="I",20,""))))</f>
        <v/>
      </c>
      <c r="Q1238" s="190">
        <f>IF(AND(H1238="L", P1238&gt;=50%), "Pass", IF(AND(H1238="U", P1238&gt;=60%), "Pass", IF(AND(H1238="O", P1238&gt;=75%), "Pass", "Fail")))</f>
        <v/>
      </c>
      <c r="R1238" s="189" t="n"/>
      <c r="S1238" s="189" t="n"/>
      <c r="T1238" s="189" t="n"/>
      <c r="U1238" s="189">
        <f>SUM(S1238:T1238)</f>
        <v/>
      </c>
      <c r="V1238" s="190">
        <f>U1238/IF(H1238="L",35,IF(H1238="U",35,IF(H1238="O",35,IF(H1238="I",35,""))))</f>
        <v/>
      </c>
      <c r="W1238" s="190">
        <f>IF(AND(H1238="L", V1238&gt;=50%), "Pass", IF(AND(H1238="U", V1238&gt;=60%), "Pass", IF(AND(H1238="O", V1238&gt;=75%), "Pass", "Fail")))</f>
        <v/>
      </c>
      <c r="X1238" s="190">
        <f>IF(AND(Q1238="Pass", W1238="Pass"), "Pass", "Fail")</f>
        <v/>
      </c>
      <c r="Y1238" s="191">
        <f>IF($X1238="Pass",$H1238, IF(H1238="L","I", IF(H1238="U","L", IF(H1238="O","U", "I"))))</f>
        <v/>
      </c>
      <c r="Z1238" s="182" t="n"/>
    </row>
    <row r="1239">
      <c r="A1239" s="185">
        <f>ROW()-2</f>
        <v/>
      </c>
      <c r="B1239" s="133" t="inlineStr">
        <is>
          <t>750063</t>
        </is>
      </c>
      <c r="C1239" s="148" t="inlineStr">
        <is>
          <t>HARIRAM</t>
        </is>
      </c>
      <c r="D1239" s="133" t="inlineStr">
        <is>
          <t>QUALITY CONTROL</t>
        </is>
      </c>
      <c r="E1239" s="186" t="inlineStr">
        <is>
          <t>Final Finish QA</t>
        </is>
      </c>
      <c r="F1239" s="187" t="n">
        <v>43459</v>
      </c>
      <c r="G1239" s="188">
        <f>NOW()-F1239</f>
        <v/>
      </c>
      <c r="H1239" s="189" t="inlineStr">
        <is>
          <t>O</t>
        </is>
      </c>
      <c r="I1239" s="189" t="inlineStr">
        <is>
          <t>O</t>
        </is>
      </c>
      <c r="J1239" s="189" t="n"/>
      <c r="K1239" s="189" t="n"/>
      <c r="L1239" s="189" t="n"/>
      <c r="M1239" s="189" t="n"/>
      <c r="N1239" s="189" t="n"/>
      <c r="O1239" s="189">
        <f>SUM(J1239:N1239)</f>
        <v/>
      </c>
      <c r="P1239" s="190">
        <f>O1239/IF(H1239="L",20,IF(H1239="U",30,IF(H1239="O",40,IF(H1239="I",20,""))))</f>
        <v/>
      </c>
      <c r="Q1239" s="190">
        <f>IF(AND(H1239="L", P1239&gt;=50%), "Pass", IF(AND(H1239="U", P1239&gt;=60%), "Pass", IF(AND(H1239="O", P1239&gt;=75%), "Pass", "Fail")))</f>
        <v/>
      </c>
      <c r="R1239" s="189" t="n"/>
      <c r="S1239" s="189" t="n"/>
      <c r="T1239" s="189" t="n"/>
      <c r="U1239" s="189">
        <f>SUM(S1239:T1239)</f>
        <v/>
      </c>
      <c r="V1239" s="190">
        <f>U1239/IF(H1239="L",35,IF(H1239="U",35,IF(H1239="O",35,IF(H1239="I",35,""))))</f>
        <v/>
      </c>
      <c r="W1239" s="190">
        <f>IF(AND(H1239="L", V1239&gt;=50%), "Pass", IF(AND(H1239="U", V1239&gt;=60%), "Pass", IF(AND(H1239="O", V1239&gt;=75%), "Pass", "Fail")))</f>
        <v/>
      </c>
      <c r="X1239" s="190">
        <f>IF(AND(Q1239="Pass", W1239="Pass"), "Pass", "Fail")</f>
        <v/>
      </c>
      <c r="Y1239" s="191">
        <f>IF($X1239="Pass",$H1239, IF(H1239="L","I", IF(H1239="U","L", IF(H1239="O","U", "I"))))</f>
        <v/>
      </c>
      <c r="Z1239" s="182" t="n"/>
    </row>
    <row r="1240">
      <c r="A1240" s="185">
        <f>ROW()-2</f>
        <v/>
      </c>
      <c r="B1240" s="133" t="inlineStr">
        <is>
          <t>750066</t>
        </is>
      </c>
      <c r="C1240" s="148" t="inlineStr">
        <is>
          <t>S MANIKANDASENTHILKUMAR</t>
        </is>
      </c>
      <c r="D1240" s="133" t="inlineStr">
        <is>
          <t>QUALITY CONTROL</t>
        </is>
      </c>
      <c r="E1240" s="186" t="inlineStr">
        <is>
          <t>Final Finish QA</t>
        </is>
      </c>
      <c r="F1240" s="187" t="n">
        <v>43262</v>
      </c>
      <c r="G1240" s="188">
        <f>NOW()-F1240</f>
        <v/>
      </c>
      <c r="H1240" s="189" t="inlineStr">
        <is>
          <t>O</t>
        </is>
      </c>
      <c r="I1240" s="189" t="inlineStr">
        <is>
          <t>O</t>
        </is>
      </c>
      <c r="J1240" s="189" t="n"/>
      <c r="K1240" s="189" t="n"/>
      <c r="L1240" s="189" t="n"/>
      <c r="M1240" s="189" t="n"/>
      <c r="N1240" s="189" t="n"/>
      <c r="O1240" s="189">
        <f>SUM(J1240:N1240)</f>
        <v/>
      </c>
      <c r="P1240" s="190">
        <f>O1240/IF(H1240="L",20,IF(H1240="U",30,IF(H1240="O",40,IF(H1240="I",20,""))))</f>
        <v/>
      </c>
      <c r="Q1240" s="190">
        <f>IF(AND(H1240="L", P1240&gt;=50%), "Pass", IF(AND(H1240="U", P1240&gt;=60%), "Pass", IF(AND(H1240="O", P1240&gt;=75%), "Pass", "Fail")))</f>
        <v/>
      </c>
      <c r="R1240" s="189" t="n"/>
      <c r="S1240" s="189" t="n"/>
      <c r="T1240" s="189" t="n"/>
      <c r="U1240" s="189">
        <f>SUM(S1240:T1240)</f>
        <v/>
      </c>
      <c r="V1240" s="190">
        <f>U1240/IF(H1240="L",35,IF(H1240="U",35,IF(H1240="O",35,IF(H1240="I",35,""))))</f>
        <v/>
      </c>
      <c r="W1240" s="190">
        <f>IF(AND(H1240="L", V1240&gt;=50%), "Pass", IF(AND(H1240="U", V1240&gt;=60%), "Pass", IF(AND(H1240="O", V1240&gt;=75%), "Pass", "Fail")))</f>
        <v/>
      </c>
      <c r="X1240" s="190">
        <f>IF(AND(Q1240="Pass", W1240="Pass"), "Pass", "Fail")</f>
        <v/>
      </c>
      <c r="Y1240" s="191">
        <f>IF($X1240="Pass",$H1240, IF(H1240="L","I", IF(H1240="U","L", IF(H1240="O","U", "I"))))</f>
        <v/>
      </c>
      <c r="Z1240" s="182" t="n"/>
    </row>
    <row r="1241">
      <c r="A1241" s="185">
        <f>ROW()-2</f>
        <v/>
      </c>
      <c r="B1241" s="133" t="inlineStr">
        <is>
          <t>750092</t>
        </is>
      </c>
      <c r="C1241" s="148" t="inlineStr">
        <is>
          <t>MANIKANDAN</t>
        </is>
      </c>
      <c r="D1241" s="133" t="inlineStr">
        <is>
          <t>QUALITY CONTROL</t>
        </is>
      </c>
      <c r="E1241" s="186" t="inlineStr">
        <is>
          <t>Final Finish QA</t>
        </is>
      </c>
      <c r="F1241" s="187" t="n">
        <v>43831</v>
      </c>
      <c r="G1241" s="188">
        <f>NOW()-F1241</f>
        <v/>
      </c>
      <c r="H1241" s="189" t="inlineStr">
        <is>
          <t>O</t>
        </is>
      </c>
      <c r="I1241" s="189" t="inlineStr">
        <is>
          <t>O</t>
        </is>
      </c>
      <c r="J1241" s="189" t="n"/>
      <c r="K1241" s="189" t="n"/>
      <c r="L1241" s="189" t="n"/>
      <c r="M1241" s="189" t="n"/>
      <c r="N1241" s="189" t="n"/>
      <c r="O1241" s="189">
        <f>SUM(J1241:N1241)</f>
        <v/>
      </c>
      <c r="P1241" s="190">
        <f>O1241/IF(H1241="L",20,IF(H1241="U",30,IF(H1241="O",40,IF(H1241="I",20,""))))</f>
        <v/>
      </c>
      <c r="Q1241" s="190">
        <f>IF(AND(H1241="L", P1241&gt;=50%), "Pass", IF(AND(H1241="U", P1241&gt;=60%), "Pass", IF(AND(H1241="O", P1241&gt;=75%), "Pass", "Fail")))</f>
        <v/>
      </c>
      <c r="R1241" s="189" t="n"/>
      <c r="S1241" s="189" t="n"/>
      <c r="T1241" s="189" t="n"/>
      <c r="U1241" s="189">
        <f>SUM(S1241:T1241)</f>
        <v/>
      </c>
      <c r="V1241" s="190">
        <f>U1241/IF(H1241="L",35,IF(H1241="U",35,IF(H1241="O",35,IF(H1241="I",35,""))))</f>
        <v/>
      </c>
      <c r="W1241" s="190">
        <f>IF(AND(H1241="L", V1241&gt;=50%), "Pass", IF(AND(H1241="U", V1241&gt;=60%), "Pass", IF(AND(H1241="O", V1241&gt;=75%), "Pass", "Fail")))</f>
        <v/>
      </c>
      <c r="X1241" s="190">
        <f>IF(AND(Q1241="Pass", W1241="Pass"), "Pass", "Fail")</f>
        <v/>
      </c>
      <c r="Y1241" s="191">
        <f>IF($X1241="Pass",$H1241, IF(H1241="L","I", IF(H1241="U","L", IF(H1241="O","U", "I"))))</f>
        <v/>
      </c>
      <c r="Z1241" s="182" t="n"/>
    </row>
    <row r="1242">
      <c r="A1242" s="185">
        <f>ROW()-2</f>
        <v/>
      </c>
      <c r="B1242" s="133" t="inlineStr">
        <is>
          <t>750138</t>
        </is>
      </c>
      <c r="C1242" s="148" t="inlineStr">
        <is>
          <t>M SIVASUBRAMANIARAJA</t>
        </is>
      </c>
      <c r="D1242" s="133" t="inlineStr">
        <is>
          <t>QUALITY CONTROL</t>
        </is>
      </c>
      <c r="E1242" s="186" t="inlineStr">
        <is>
          <t>Final Finish QA</t>
        </is>
      </c>
      <c r="F1242" s="187" t="n">
        <v>43898</v>
      </c>
      <c r="G1242" s="188">
        <f>NOW()-F1242</f>
        <v/>
      </c>
      <c r="H1242" s="189" t="inlineStr">
        <is>
          <t>O</t>
        </is>
      </c>
      <c r="I1242" s="189" t="inlineStr">
        <is>
          <t>O</t>
        </is>
      </c>
      <c r="J1242" s="189" t="n"/>
      <c r="K1242" s="189" t="n"/>
      <c r="L1242" s="189" t="n"/>
      <c r="M1242" s="189" t="n"/>
      <c r="N1242" s="189" t="n"/>
      <c r="O1242" s="189">
        <f>SUM(J1242:N1242)</f>
        <v/>
      </c>
      <c r="P1242" s="190">
        <f>O1242/IF(H1242="L",20,IF(H1242="U",30,IF(H1242="O",40,IF(H1242="I",20,""))))</f>
        <v/>
      </c>
      <c r="Q1242" s="190">
        <f>IF(AND(H1242="L", P1242&gt;=50%), "Pass", IF(AND(H1242="U", P1242&gt;=60%), "Pass", IF(AND(H1242="O", P1242&gt;=75%), "Pass", "Fail")))</f>
        <v/>
      </c>
      <c r="R1242" s="189" t="n"/>
      <c r="S1242" s="189" t="n"/>
      <c r="T1242" s="189" t="n"/>
      <c r="U1242" s="189">
        <f>SUM(S1242:T1242)</f>
        <v/>
      </c>
      <c r="V1242" s="190">
        <f>U1242/IF(H1242="L",35,IF(H1242="U",35,IF(H1242="O",35,IF(H1242="I",35,""))))</f>
        <v/>
      </c>
      <c r="W1242" s="190">
        <f>IF(AND(H1242="L", V1242&gt;=50%), "Pass", IF(AND(H1242="U", V1242&gt;=60%), "Pass", IF(AND(H1242="O", V1242&gt;=75%), "Pass", "Fail")))</f>
        <v/>
      </c>
      <c r="X1242" s="190">
        <f>IF(AND(Q1242="Pass", W1242="Pass"), "Pass", "Fail")</f>
        <v/>
      </c>
      <c r="Y1242" s="191">
        <f>IF($X1242="Pass",$H1242, IF(H1242="L","I", IF(H1242="U","L", IF(H1242="O","U", "I"))))</f>
        <v/>
      </c>
      <c r="Z1242" s="182" t="n"/>
    </row>
    <row r="1243">
      <c r="A1243" s="185">
        <f>ROW()-2</f>
        <v/>
      </c>
      <c r="B1243" s="133" t="inlineStr">
        <is>
          <t>750141</t>
        </is>
      </c>
      <c r="C1243" s="148" t="inlineStr">
        <is>
          <t>BALAJI M</t>
        </is>
      </c>
      <c r="D1243" s="133" t="inlineStr">
        <is>
          <t>QUALITY CONTROL</t>
        </is>
      </c>
      <c r="E1243" s="186" t="inlineStr">
        <is>
          <t>Final Finish QA</t>
        </is>
      </c>
      <c r="F1243" s="187" t="n">
        <v>43966</v>
      </c>
      <c r="G1243" s="188">
        <f>NOW()-F1243</f>
        <v/>
      </c>
      <c r="H1243" s="189" t="inlineStr">
        <is>
          <t>O</t>
        </is>
      </c>
      <c r="I1243" s="189" t="inlineStr">
        <is>
          <t>O</t>
        </is>
      </c>
      <c r="J1243" s="189" t="n"/>
      <c r="K1243" s="189" t="n"/>
      <c r="L1243" s="189" t="n"/>
      <c r="M1243" s="189" t="n"/>
      <c r="N1243" s="189" t="n"/>
      <c r="O1243" s="189">
        <f>SUM(J1243:N1243)</f>
        <v/>
      </c>
      <c r="P1243" s="190">
        <f>O1243/IF(H1243="L",20,IF(H1243="U",30,IF(H1243="O",40,IF(H1243="I",20,""))))</f>
        <v/>
      </c>
      <c r="Q1243" s="190">
        <f>IF(AND(H1243="L", P1243&gt;=50%), "Pass", IF(AND(H1243="U", P1243&gt;=60%), "Pass", IF(AND(H1243="O", P1243&gt;=75%), "Pass", "Fail")))</f>
        <v/>
      </c>
      <c r="R1243" s="189" t="n"/>
      <c r="S1243" s="189" t="n"/>
      <c r="T1243" s="189" t="n"/>
      <c r="U1243" s="189">
        <f>SUM(S1243:T1243)</f>
        <v/>
      </c>
      <c r="V1243" s="190">
        <f>U1243/IF(H1243="L",35,IF(H1243="U",35,IF(H1243="O",35,IF(H1243="I",35,""))))</f>
        <v/>
      </c>
      <c r="W1243" s="190">
        <f>IF(AND(H1243="L", V1243&gt;=50%), "Pass", IF(AND(H1243="U", V1243&gt;=60%), "Pass", IF(AND(H1243="O", V1243&gt;=75%), "Pass", "Fail")))</f>
        <v/>
      </c>
      <c r="X1243" s="190">
        <f>IF(AND(Q1243="Pass", W1243="Pass"), "Pass", "Fail")</f>
        <v/>
      </c>
      <c r="Y1243" s="191">
        <f>IF($X1243="Pass",$H1243, IF(H1243="L","I", IF(H1243="U","L", IF(H1243="O","U", "I"))))</f>
        <v/>
      </c>
      <c r="Z1243" s="182" t="n"/>
    </row>
    <row r="1244">
      <c r="A1244" s="185">
        <f>ROW()-2</f>
        <v/>
      </c>
      <c r="B1244" s="133" t="inlineStr">
        <is>
          <t>750146</t>
        </is>
      </c>
      <c r="C1244" s="148" t="inlineStr">
        <is>
          <t>ARUN SANKAR</t>
        </is>
      </c>
      <c r="D1244" s="133" t="inlineStr">
        <is>
          <t>QUALITY CONTROL</t>
        </is>
      </c>
      <c r="E1244" s="186" t="inlineStr">
        <is>
          <t>Final Finish QA</t>
        </is>
      </c>
      <c r="F1244" s="187" t="n">
        <v>43966</v>
      </c>
      <c r="G1244" s="188">
        <f>NOW()-F1244</f>
        <v/>
      </c>
      <c r="H1244" s="189" t="inlineStr">
        <is>
          <t>O</t>
        </is>
      </c>
      <c r="I1244" s="189" t="inlineStr">
        <is>
          <t>O</t>
        </is>
      </c>
      <c r="J1244" s="189" t="n"/>
      <c r="K1244" s="189" t="n"/>
      <c r="L1244" s="189" t="n"/>
      <c r="M1244" s="189" t="n"/>
      <c r="N1244" s="189" t="n"/>
      <c r="O1244" s="189">
        <f>SUM(J1244:N1244)</f>
        <v/>
      </c>
      <c r="P1244" s="190">
        <f>O1244/IF(H1244="L",20,IF(H1244="U",30,IF(H1244="O",40,IF(H1244="I",20,""))))</f>
        <v/>
      </c>
      <c r="Q1244" s="190">
        <f>IF(AND(H1244="L", P1244&gt;=50%), "Pass", IF(AND(H1244="U", P1244&gt;=60%), "Pass", IF(AND(H1244="O", P1244&gt;=75%), "Pass", "Fail")))</f>
        <v/>
      </c>
      <c r="R1244" s="189" t="n"/>
      <c r="S1244" s="189" t="n"/>
      <c r="T1244" s="189" t="n"/>
      <c r="U1244" s="189">
        <f>SUM(S1244:T1244)</f>
        <v/>
      </c>
      <c r="V1244" s="190">
        <f>U1244/IF(H1244="L",35,IF(H1244="U",35,IF(H1244="O",35,IF(H1244="I",35,""))))</f>
        <v/>
      </c>
      <c r="W1244" s="190">
        <f>IF(AND(H1244="L", V1244&gt;=50%), "Pass", IF(AND(H1244="U", V1244&gt;=60%), "Pass", IF(AND(H1244="O", V1244&gt;=75%), "Pass", "Fail")))</f>
        <v/>
      </c>
      <c r="X1244" s="190">
        <f>IF(AND(Q1244="Pass", W1244="Pass"), "Pass", "Fail")</f>
        <v/>
      </c>
      <c r="Y1244" s="191">
        <f>IF($X1244="Pass",$H1244, IF(H1244="L","I", IF(H1244="U","L", IF(H1244="O","U", "I"))))</f>
        <v/>
      </c>
      <c r="Z1244" s="182" t="n"/>
    </row>
    <row r="1245">
      <c r="A1245" s="185">
        <f>ROW()-2</f>
        <v/>
      </c>
      <c r="B1245" s="133" t="inlineStr">
        <is>
          <t>750179</t>
        </is>
      </c>
      <c r="C1245" s="148" t="inlineStr">
        <is>
          <t>ESAKKI RAJA</t>
        </is>
      </c>
      <c r="D1245" s="133" t="inlineStr">
        <is>
          <t>QUALITY CONTROL</t>
        </is>
      </c>
      <c r="E1245" s="186" t="inlineStr">
        <is>
          <t>Final Finish QA</t>
        </is>
      </c>
      <c r="F1245" s="187" t="n">
        <v>44548</v>
      </c>
      <c r="G1245" s="188">
        <f>NOW()-F1245</f>
        <v/>
      </c>
      <c r="H1245" s="189" t="inlineStr">
        <is>
          <t>O</t>
        </is>
      </c>
      <c r="I1245" s="189" t="inlineStr">
        <is>
          <t>O</t>
        </is>
      </c>
      <c r="J1245" s="189" t="n"/>
      <c r="K1245" s="189" t="n"/>
      <c r="L1245" s="189" t="n"/>
      <c r="M1245" s="189" t="n"/>
      <c r="N1245" s="189" t="n"/>
      <c r="O1245" s="189">
        <f>SUM(J1245:N1245)</f>
        <v/>
      </c>
      <c r="P1245" s="190">
        <f>O1245/IF(H1245="L",20,IF(H1245="U",30,IF(H1245="O",40,IF(H1245="I",20,""))))</f>
        <v/>
      </c>
      <c r="Q1245" s="190">
        <f>IF(AND(H1245="L", P1245&gt;=50%), "Pass", IF(AND(H1245="U", P1245&gt;=60%), "Pass", IF(AND(H1245="O", P1245&gt;=75%), "Pass", "Fail")))</f>
        <v/>
      </c>
      <c r="R1245" s="189" t="n"/>
      <c r="S1245" s="189" t="n"/>
      <c r="T1245" s="189" t="n"/>
      <c r="U1245" s="189">
        <f>SUM(S1245:T1245)</f>
        <v/>
      </c>
      <c r="V1245" s="190">
        <f>U1245/IF(H1245="L",35,IF(H1245="U",35,IF(H1245="O",35,IF(H1245="I",35,""))))</f>
        <v/>
      </c>
      <c r="W1245" s="190">
        <f>IF(AND(H1245="L", V1245&gt;=50%), "Pass", IF(AND(H1245="U", V1245&gt;=60%), "Pass", IF(AND(H1245="O", V1245&gt;=75%), "Pass", "Fail")))</f>
        <v/>
      </c>
      <c r="X1245" s="190">
        <f>IF(AND(Q1245="Pass", W1245="Pass"), "Pass", "Fail")</f>
        <v/>
      </c>
      <c r="Y1245" s="191">
        <f>IF($X1245="Pass",$H1245, IF(H1245="L","I", IF(H1245="U","L", IF(H1245="O","U", "I"))))</f>
        <v/>
      </c>
      <c r="Z1245" s="182" t="n"/>
    </row>
    <row r="1246">
      <c r="A1246" s="185">
        <f>ROW()-2</f>
        <v/>
      </c>
      <c r="B1246" s="133" t="inlineStr">
        <is>
          <t>750182</t>
        </is>
      </c>
      <c r="C1246" s="148" t="inlineStr">
        <is>
          <t>ADHIBAN B</t>
        </is>
      </c>
      <c r="D1246" s="133" t="inlineStr">
        <is>
          <t>QUALITY CONTROL</t>
        </is>
      </c>
      <c r="E1246" s="186" t="inlineStr">
        <is>
          <t>Final Finish QA</t>
        </is>
      </c>
      <c r="F1246" s="187" t="n">
        <v>44551</v>
      </c>
      <c r="G1246" s="188">
        <f>NOW()-F1246</f>
        <v/>
      </c>
      <c r="H1246" s="189" t="inlineStr">
        <is>
          <t>O</t>
        </is>
      </c>
      <c r="I1246" s="189" t="inlineStr">
        <is>
          <t>O</t>
        </is>
      </c>
      <c r="J1246" s="189" t="n"/>
      <c r="K1246" s="189" t="n"/>
      <c r="L1246" s="189" t="n"/>
      <c r="M1246" s="189" t="n"/>
      <c r="N1246" s="189" t="n"/>
      <c r="O1246" s="189">
        <f>SUM(J1246:N1246)</f>
        <v/>
      </c>
      <c r="P1246" s="190">
        <f>O1246/IF(H1246="L",20,IF(H1246="U",30,IF(H1246="O",40,IF(H1246="I",20,""))))</f>
        <v/>
      </c>
      <c r="Q1246" s="190">
        <f>IF(AND(H1246="L", P1246&gt;=50%), "Pass", IF(AND(H1246="U", P1246&gt;=60%), "Pass", IF(AND(H1246="O", P1246&gt;=75%), "Pass", "Fail")))</f>
        <v/>
      </c>
      <c r="R1246" s="189" t="n"/>
      <c r="S1246" s="189" t="n"/>
      <c r="T1246" s="189" t="n"/>
      <c r="U1246" s="189">
        <f>SUM(S1246:T1246)</f>
        <v/>
      </c>
      <c r="V1246" s="190">
        <f>U1246/IF(H1246="L",35,IF(H1246="U",35,IF(H1246="O",35,IF(H1246="I",35,""))))</f>
        <v/>
      </c>
      <c r="W1246" s="190">
        <f>IF(AND(H1246="L", V1246&gt;=50%), "Pass", IF(AND(H1246="U", V1246&gt;=60%), "Pass", IF(AND(H1246="O", V1246&gt;=75%), "Pass", "Fail")))</f>
        <v/>
      </c>
      <c r="X1246" s="190">
        <f>IF(AND(Q1246="Pass", W1246="Pass"), "Pass", "Fail")</f>
        <v/>
      </c>
      <c r="Y1246" s="191">
        <f>IF($X1246="Pass",$H1246, IF(H1246="L","I", IF(H1246="U","L", IF(H1246="O","U", "I"))))</f>
        <v/>
      </c>
      <c r="Z1246" s="182" t="n"/>
    </row>
    <row r="1247">
      <c r="A1247" s="185">
        <f>ROW()-2</f>
        <v/>
      </c>
      <c r="B1247" s="133" t="inlineStr">
        <is>
          <t>750196</t>
        </is>
      </c>
      <c r="C1247" s="148" t="inlineStr">
        <is>
          <t>MANIKANDAN</t>
        </is>
      </c>
      <c r="D1247" s="133" t="inlineStr">
        <is>
          <t>QUALITY CONTROL</t>
        </is>
      </c>
      <c r="E1247" s="186" t="inlineStr">
        <is>
          <t>Final Finish QA</t>
        </is>
      </c>
      <c r="F1247" s="187" t="n">
        <v>44769</v>
      </c>
      <c r="G1247" s="188">
        <f>NOW()-F1247</f>
        <v/>
      </c>
      <c r="H1247" s="189" t="inlineStr">
        <is>
          <t>O</t>
        </is>
      </c>
      <c r="I1247" s="189" t="inlineStr">
        <is>
          <t>U</t>
        </is>
      </c>
      <c r="J1247" s="189" t="n"/>
      <c r="K1247" s="189" t="n"/>
      <c r="L1247" s="189" t="n"/>
      <c r="M1247" s="189" t="n"/>
      <c r="N1247" s="189" t="n"/>
      <c r="O1247" s="189">
        <f>SUM(J1247:N1247)</f>
        <v/>
      </c>
      <c r="P1247" s="190">
        <f>O1247/IF(H1247="L",20,IF(H1247="U",30,IF(H1247="O",40,IF(H1247="I",20,""))))</f>
        <v/>
      </c>
      <c r="Q1247" s="190">
        <f>IF(AND(H1247="L", P1247&gt;=50%), "Pass", IF(AND(H1247="U", P1247&gt;=60%), "Pass", IF(AND(H1247="O", P1247&gt;=75%), "Pass", "Fail")))</f>
        <v/>
      </c>
      <c r="R1247" s="189" t="n"/>
      <c r="S1247" s="189" t="n"/>
      <c r="T1247" s="189" t="n"/>
      <c r="U1247" s="189">
        <f>SUM(S1247:T1247)</f>
        <v/>
      </c>
      <c r="V1247" s="190">
        <f>U1247/IF(H1247="L",35,IF(H1247="U",35,IF(H1247="O",35,IF(H1247="I",35,""))))</f>
        <v/>
      </c>
      <c r="W1247" s="190">
        <f>IF(AND(H1247="L", V1247&gt;=50%), "Pass", IF(AND(H1247="U", V1247&gt;=60%), "Pass", IF(AND(H1247="O", V1247&gt;=75%), "Pass", "Fail")))</f>
        <v/>
      </c>
      <c r="X1247" s="190">
        <f>IF(AND(Q1247="Pass", W1247="Pass"), "Pass", "Fail")</f>
        <v/>
      </c>
      <c r="Y1247" s="191">
        <f>IF($X1247="Pass",$H1247, IF(H1247="L","I", IF(H1247="U","L", IF(H1247="O","U", "I"))))</f>
        <v/>
      </c>
      <c r="Z1247" s="182" t="n"/>
    </row>
    <row r="1248">
      <c r="A1248" s="185">
        <f>ROW()-2</f>
        <v/>
      </c>
      <c r="B1248" s="133" t="inlineStr">
        <is>
          <t>750198</t>
        </is>
      </c>
      <c r="C1248" s="148" t="inlineStr">
        <is>
          <t>GANGAI BABU</t>
        </is>
      </c>
      <c r="D1248" s="133" t="inlineStr">
        <is>
          <t>QUALITY CONTROL</t>
        </is>
      </c>
      <c r="E1248" s="186" t="inlineStr">
        <is>
          <t>Final Finish QA</t>
        </is>
      </c>
      <c r="F1248" s="187" t="n">
        <v>44771</v>
      </c>
      <c r="G1248" s="188">
        <f>NOW()-F1248</f>
        <v/>
      </c>
      <c r="H1248" s="189" t="inlineStr">
        <is>
          <t>O</t>
        </is>
      </c>
      <c r="I1248" s="189" t="inlineStr">
        <is>
          <t>U</t>
        </is>
      </c>
      <c r="J1248" s="189" t="n"/>
      <c r="K1248" s="189" t="n"/>
      <c r="L1248" s="189" t="n"/>
      <c r="M1248" s="189" t="n"/>
      <c r="N1248" s="189" t="n"/>
      <c r="O1248" s="189">
        <f>SUM(J1248:N1248)</f>
        <v/>
      </c>
      <c r="P1248" s="190">
        <f>O1248/IF(H1248="L",20,IF(H1248="U",30,IF(H1248="O",40,IF(H1248="I",20,""))))</f>
        <v/>
      </c>
      <c r="Q1248" s="190">
        <f>IF(AND(H1248="L", P1248&gt;=50%), "Pass", IF(AND(H1248="U", P1248&gt;=60%), "Pass", IF(AND(H1248="O", P1248&gt;=75%), "Pass", "Fail")))</f>
        <v/>
      </c>
      <c r="R1248" s="189" t="n"/>
      <c r="S1248" s="189" t="n"/>
      <c r="T1248" s="189" t="n"/>
      <c r="U1248" s="189">
        <f>SUM(S1248:T1248)</f>
        <v/>
      </c>
      <c r="V1248" s="190">
        <f>U1248/IF(H1248="L",35,IF(H1248="U",35,IF(H1248="O",35,IF(H1248="I",35,""))))</f>
        <v/>
      </c>
      <c r="W1248" s="190">
        <f>IF(AND(H1248="L", V1248&gt;=50%), "Pass", IF(AND(H1248="U", V1248&gt;=60%), "Pass", IF(AND(H1248="O", V1248&gt;=75%), "Pass", "Fail")))</f>
        <v/>
      </c>
      <c r="X1248" s="190">
        <f>IF(AND(Q1248="Pass", W1248="Pass"), "Pass", "Fail")</f>
        <v/>
      </c>
      <c r="Y1248" s="191">
        <f>IF($X1248="Pass",$H1248, IF(H1248="L","I", IF(H1248="U","L", IF(H1248="O","U", "I"))))</f>
        <v/>
      </c>
      <c r="Z1248" s="182" t="n"/>
    </row>
    <row r="1249">
      <c r="A1249" s="185">
        <f>ROW()-2</f>
        <v/>
      </c>
      <c r="B1249" s="133" t="inlineStr">
        <is>
          <t>750219</t>
        </is>
      </c>
      <c r="C1249" s="148" t="inlineStr">
        <is>
          <t>BENI PRASATH</t>
        </is>
      </c>
      <c r="D1249" s="133" t="inlineStr">
        <is>
          <t>QUALITY CONTROL</t>
        </is>
      </c>
      <c r="E1249" s="186" t="inlineStr">
        <is>
          <t>Final Finish QA</t>
        </is>
      </c>
      <c r="F1249" s="187" t="n">
        <v>44818</v>
      </c>
      <c r="G1249" s="188">
        <f>NOW()-F1249</f>
        <v/>
      </c>
      <c r="H1249" s="189" t="inlineStr">
        <is>
          <t>O</t>
        </is>
      </c>
      <c r="I1249" s="189" t="inlineStr">
        <is>
          <t>U</t>
        </is>
      </c>
      <c r="J1249" s="189" t="n"/>
      <c r="K1249" s="189" t="n"/>
      <c r="L1249" s="189" t="n"/>
      <c r="M1249" s="189" t="n"/>
      <c r="N1249" s="189" t="n"/>
      <c r="O1249" s="189">
        <f>SUM(J1249:N1249)</f>
        <v/>
      </c>
      <c r="P1249" s="190">
        <f>O1249/IF(H1249="L",20,IF(H1249="U",30,IF(H1249="O",40,IF(H1249="I",20,""))))</f>
        <v/>
      </c>
      <c r="Q1249" s="190">
        <f>IF(AND(H1249="L", P1249&gt;=50%), "Pass", IF(AND(H1249="U", P1249&gt;=60%), "Pass", IF(AND(H1249="O", P1249&gt;=75%), "Pass", "Fail")))</f>
        <v/>
      </c>
      <c r="R1249" s="189" t="n"/>
      <c r="S1249" s="189" t="n"/>
      <c r="T1249" s="189" t="n"/>
      <c r="U1249" s="189">
        <f>SUM(S1249:T1249)</f>
        <v/>
      </c>
      <c r="V1249" s="190">
        <f>U1249/IF(H1249="L",35,IF(H1249="U",35,IF(H1249="O",35,IF(H1249="I",35,""))))</f>
        <v/>
      </c>
      <c r="W1249" s="190">
        <f>IF(AND(H1249="L", V1249&gt;=50%), "Pass", IF(AND(H1249="U", V1249&gt;=60%), "Pass", IF(AND(H1249="O", V1249&gt;=75%), "Pass", "Fail")))</f>
        <v/>
      </c>
      <c r="X1249" s="190">
        <f>IF(AND(Q1249="Pass", W1249="Pass"), "Pass", "Fail")</f>
        <v/>
      </c>
      <c r="Y1249" s="191">
        <f>IF($X1249="Pass",$H1249, IF(H1249="L","I", IF(H1249="U","L", IF(H1249="O","U", "I"))))</f>
        <v/>
      </c>
      <c r="Z1249" s="182" t="n"/>
    </row>
    <row r="1250">
      <c r="A1250" s="185">
        <f>ROW()-2</f>
        <v/>
      </c>
      <c r="B1250" s="133" t="inlineStr">
        <is>
          <t>750223</t>
        </is>
      </c>
      <c r="C1250" s="148" t="inlineStr">
        <is>
          <t>PANGAJANARAYANAN P</t>
        </is>
      </c>
      <c r="D1250" s="133" t="inlineStr">
        <is>
          <t>QUALITY CONTROL</t>
        </is>
      </c>
      <c r="E1250" s="186" t="inlineStr">
        <is>
          <t>Final Finish QA</t>
        </is>
      </c>
      <c r="F1250" s="187" t="n">
        <v>44823</v>
      </c>
      <c r="G1250" s="188">
        <f>NOW()-F1250</f>
        <v/>
      </c>
      <c r="H1250" s="189" t="inlineStr">
        <is>
          <t>O</t>
        </is>
      </c>
      <c r="I1250" s="189" t="inlineStr">
        <is>
          <t>U</t>
        </is>
      </c>
      <c r="J1250" s="189" t="n"/>
      <c r="K1250" s="189" t="n"/>
      <c r="L1250" s="189" t="n"/>
      <c r="M1250" s="189" t="n"/>
      <c r="N1250" s="189" t="n"/>
      <c r="O1250" s="189">
        <f>SUM(J1250:N1250)</f>
        <v/>
      </c>
      <c r="P1250" s="190">
        <f>O1250/IF(H1250="L",20,IF(H1250="U",30,IF(H1250="O",40,IF(H1250="I",20,""))))</f>
        <v/>
      </c>
      <c r="Q1250" s="190">
        <f>IF(AND(H1250="L", P1250&gt;=50%), "Pass", IF(AND(H1250="U", P1250&gt;=60%), "Pass", IF(AND(H1250="O", P1250&gt;=75%), "Pass", "Fail")))</f>
        <v/>
      </c>
      <c r="R1250" s="189" t="n"/>
      <c r="S1250" s="189" t="n"/>
      <c r="T1250" s="189" t="n"/>
      <c r="U1250" s="189">
        <f>SUM(S1250:T1250)</f>
        <v/>
      </c>
      <c r="V1250" s="190">
        <f>U1250/IF(H1250="L",35,IF(H1250="U",35,IF(H1250="O",35,IF(H1250="I",35,""))))</f>
        <v/>
      </c>
      <c r="W1250" s="190">
        <f>IF(AND(H1250="L", V1250&gt;=50%), "Pass", IF(AND(H1250="U", V1250&gt;=60%), "Pass", IF(AND(H1250="O", V1250&gt;=75%), "Pass", "Fail")))</f>
        <v/>
      </c>
      <c r="X1250" s="190">
        <f>IF(AND(Q1250="Pass", W1250="Pass"), "Pass", "Fail")</f>
        <v/>
      </c>
      <c r="Y1250" s="191">
        <f>IF($X1250="Pass",$H1250, IF(H1250="L","I", IF(H1250="U","L", IF(H1250="O","U", "I"))))</f>
        <v/>
      </c>
      <c r="Z1250" s="182" t="n"/>
    </row>
    <row r="1251">
      <c r="A1251" s="185">
        <f>ROW()-2</f>
        <v/>
      </c>
      <c r="B1251" s="133" t="inlineStr">
        <is>
          <t>750260</t>
        </is>
      </c>
      <c r="C1251" s="148" t="inlineStr">
        <is>
          <t>VENKATESH S</t>
        </is>
      </c>
      <c r="D1251" s="133" t="inlineStr">
        <is>
          <t>QUALITY CONTROL</t>
        </is>
      </c>
      <c r="E1251" s="186" t="inlineStr">
        <is>
          <t>Final Finish QA</t>
        </is>
      </c>
      <c r="F1251" s="187" t="n">
        <v>45303</v>
      </c>
      <c r="G1251" s="188">
        <f>NOW()-F1251</f>
        <v/>
      </c>
      <c r="H1251" s="189" t="inlineStr">
        <is>
          <t>O</t>
        </is>
      </c>
      <c r="I1251" s="189" t="inlineStr">
        <is>
          <t>U</t>
        </is>
      </c>
      <c r="J1251" s="189" t="n"/>
      <c r="K1251" s="189" t="n"/>
      <c r="L1251" s="189" t="n"/>
      <c r="M1251" s="189" t="n"/>
      <c r="N1251" s="189" t="n"/>
      <c r="O1251" s="189">
        <f>SUM(J1251:N1251)</f>
        <v/>
      </c>
      <c r="P1251" s="190">
        <f>O1251/IF(H1251="L",20,IF(H1251="U",30,IF(H1251="O",40,IF(H1251="I",20,""))))</f>
        <v/>
      </c>
      <c r="Q1251" s="190">
        <f>IF(AND(H1251="L", P1251&gt;=50%), "Pass", IF(AND(H1251="U", P1251&gt;=60%), "Pass", IF(AND(H1251="O", P1251&gt;=75%), "Pass", "Fail")))</f>
        <v/>
      </c>
      <c r="R1251" s="189" t="n"/>
      <c r="S1251" s="189" t="n"/>
      <c r="T1251" s="189" t="n"/>
      <c r="U1251" s="189">
        <f>SUM(S1251:T1251)</f>
        <v/>
      </c>
      <c r="V1251" s="190">
        <f>U1251/IF(H1251="L",35,IF(H1251="U",35,IF(H1251="O",35,IF(H1251="I",35,""))))</f>
        <v/>
      </c>
      <c r="W1251" s="190">
        <f>IF(AND(H1251="L", V1251&gt;=50%), "Pass", IF(AND(H1251="U", V1251&gt;=60%), "Pass", IF(AND(H1251="O", V1251&gt;=75%), "Pass", "Fail")))</f>
        <v/>
      </c>
      <c r="X1251" s="190">
        <f>IF(AND(Q1251="Pass", W1251="Pass"), "Pass", "Fail")</f>
        <v/>
      </c>
      <c r="Y1251" s="191">
        <f>IF($X1251="Pass",$H1251, IF(H1251="L","I", IF(H1251="U","L", IF(H1251="O","U", "I"))))</f>
        <v/>
      </c>
      <c r="Z1251" s="182" t="n"/>
    </row>
    <row r="1252">
      <c r="A1252" s="185">
        <f>ROW()-2</f>
        <v/>
      </c>
      <c r="B1252" s="133" t="inlineStr">
        <is>
          <t>750267</t>
        </is>
      </c>
      <c r="C1252" s="148" t="inlineStr">
        <is>
          <t>ESAKKI ESAKKIMUTHU</t>
        </is>
      </c>
      <c r="D1252" s="133" t="inlineStr">
        <is>
          <t>QUALITY CONTROL</t>
        </is>
      </c>
      <c r="E1252" s="186" t="inlineStr">
        <is>
          <t>Final Finish QA</t>
        </is>
      </c>
      <c r="F1252" s="187" t="n">
        <v>45337</v>
      </c>
      <c r="G1252" s="188">
        <f>NOW()-F1252</f>
        <v/>
      </c>
      <c r="H1252" s="189" t="inlineStr">
        <is>
          <t>O</t>
        </is>
      </c>
      <c r="I1252" s="189" t="inlineStr">
        <is>
          <t>U</t>
        </is>
      </c>
      <c r="J1252" s="189" t="n"/>
      <c r="K1252" s="189" t="n"/>
      <c r="L1252" s="189" t="n"/>
      <c r="M1252" s="189" t="n"/>
      <c r="N1252" s="189" t="n"/>
      <c r="O1252" s="189">
        <f>SUM(J1252:N1252)</f>
        <v/>
      </c>
      <c r="P1252" s="190">
        <f>O1252/IF(H1252="L",20,IF(H1252="U",30,IF(H1252="O",40,IF(H1252="I",20,""))))</f>
        <v/>
      </c>
      <c r="Q1252" s="190">
        <f>IF(AND(H1252="L", P1252&gt;=50%), "Pass", IF(AND(H1252="U", P1252&gt;=60%), "Pass", IF(AND(H1252="O", P1252&gt;=75%), "Pass", "Fail")))</f>
        <v/>
      </c>
      <c r="R1252" s="189" t="n"/>
      <c r="S1252" s="189" t="n"/>
      <c r="T1252" s="189" t="n"/>
      <c r="U1252" s="189">
        <f>SUM(S1252:T1252)</f>
        <v/>
      </c>
      <c r="V1252" s="190">
        <f>U1252/IF(H1252="L",35,IF(H1252="U",35,IF(H1252="O",35,IF(H1252="I",35,""))))</f>
        <v/>
      </c>
      <c r="W1252" s="190">
        <f>IF(AND(H1252="L", V1252&gt;=50%), "Pass", IF(AND(H1252="U", V1252&gt;=60%), "Pass", IF(AND(H1252="O", V1252&gt;=75%), "Pass", "Fail")))</f>
        <v/>
      </c>
      <c r="X1252" s="190">
        <f>IF(AND(Q1252="Pass", W1252="Pass"), "Pass", "Fail")</f>
        <v/>
      </c>
      <c r="Y1252" s="191">
        <f>IF($X1252="Pass",$H1252, IF(H1252="L","I", IF(H1252="U","L", IF(H1252="O","U", "I"))))</f>
        <v/>
      </c>
      <c r="Z1252" s="182" t="n"/>
    </row>
    <row r="1253">
      <c r="A1253" s="185">
        <f>ROW()-2</f>
        <v/>
      </c>
      <c r="B1253" s="133" t="inlineStr">
        <is>
          <t>750272</t>
        </is>
      </c>
      <c r="C1253" s="148" t="inlineStr">
        <is>
          <t>SIVASUBRAMANIAN M</t>
        </is>
      </c>
      <c r="D1253" s="133" t="inlineStr">
        <is>
          <t>QUALITY CONTROL</t>
        </is>
      </c>
      <c r="E1253" s="186" t="inlineStr">
        <is>
          <t>Final Finish QA</t>
        </is>
      </c>
      <c r="F1253" s="187" t="n">
        <v>45348</v>
      </c>
      <c r="G1253" s="188">
        <f>NOW()-F1253</f>
        <v/>
      </c>
      <c r="H1253" s="189" t="inlineStr">
        <is>
          <t>O</t>
        </is>
      </c>
      <c r="I1253" s="189" t="inlineStr">
        <is>
          <t>U</t>
        </is>
      </c>
      <c r="J1253" s="189" t="n"/>
      <c r="K1253" s="189" t="n"/>
      <c r="L1253" s="189" t="n"/>
      <c r="M1253" s="189" t="n"/>
      <c r="N1253" s="189" t="n"/>
      <c r="O1253" s="189">
        <f>SUM(J1253:N1253)</f>
        <v/>
      </c>
      <c r="P1253" s="190">
        <f>O1253/IF(H1253="L",20,IF(H1253="U",30,IF(H1253="O",40,IF(H1253="I",20,""))))</f>
        <v/>
      </c>
      <c r="Q1253" s="190">
        <f>IF(AND(H1253="L", P1253&gt;=50%), "Pass", IF(AND(H1253="U", P1253&gt;=60%), "Pass", IF(AND(H1253="O", P1253&gt;=75%), "Pass", "Fail")))</f>
        <v/>
      </c>
      <c r="R1253" s="189" t="n"/>
      <c r="S1253" s="189" t="n"/>
      <c r="T1253" s="189" t="n"/>
      <c r="U1253" s="189">
        <f>SUM(S1253:T1253)</f>
        <v/>
      </c>
      <c r="V1253" s="190">
        <f>U1253/IF(H1253="L",35,IF(H1253="U",35,IF(H1253="O",35,IF(H1253="I",35,""))))</f>
        <v/>
      </c>
      <c r="W1253" s="190">
        <f>IF(AND(H1253="L", V1253&gt;=50%), "Pass", IF(AND(H1253="U", V1253&gt;=60%), "Pass", IF(AND(H1253="O", V1253&gt;=75%), "Pass", "Fail")))</f>
        <v/>
      </c>
      <c r="X1253" s="190">
        <f>IF(AND(Q1253="Pass", W1253="Pass"), "Pass", "Fail")</f>
        <v/>
      </c>
      <c r="Y1253" s="191">
        <f>IF($X1253="Pass",$H1253, IF(H1253="L","I", IF(H1253="U","L", IF(H1253="O","U", "I"))))</f>
        <v/>
      </c>
      <c r="Z1253" s="182" t="n"/>
    </row>
    <row r="1254">
      <c r="A1254" s="185">
        <f>ROW()-2</f>
        <v/>
      </c>
      <c r="B1254" s="133" t="inlineStr">
        <is>
          <t>750297</t>
        </is>
      </c>
      <c r="C1254" s="148" t="inlineStr">
        <is>
          <t>PERIYASAMY</t>
        </is>
      </c>
      <c r="D1254" s="133" t="inlineStr">
        <is>
          <t>QUALITY CONTROL</t>
        </is>
      </c>
      <c r="E1254" s="186" t="inlineStr">
        <is>
          <t>Final Finish QA</t>
        </is>
      </c>
      <c r="F1254" s="187" t="n">
        <v>45621</v>
      </c>
      <c r="G1254" s="188">
        <f>NOW()-F1254</f>
        <v/>
      </c>
      <c r="H1254" s="189" t="inlineStr">
        <is>
          <t>U</t>
        </is>
      </c>
      <c r="I1254" s="189" t="inlineStr">
        <is>
          <t>L</t>
        </is>
      </c>
      <c r="J1254" s="189" t="n"/>
      <c r="K1254" s="189" t="n"/>
      <c r="L1254" s="189" t="n"/>
      <c r="M1254" s="189" t="n"/>
      <c r="N1254" s="189" t="n"/>
      <c r="O1254" s="189">
        <f>SUM(J1254:N1254)</f>
        <v/>
      </c>
      <c r="P1254" s="190">
        <f>O1254/IF(H1254="L",20,IF(H1254="U",30,IF(H1254="O",40,IF(H1254="I",20,""))))</f>
        <v/>
      </c>
      <c r="Q1254" s="190">
        <f>IF(AND(H1254="L", P1254&gt;=50%), "Pass", IF(AND(H1254="U", P1254&gt;=60%), "Pass", IF(AND(H1254="O", P1254&gt;=75%), "Pass", "Fail")))</f>
        <v/>
      </c>
      <c r="R1254" s="189" t="n"/>
      <c r="S1254" s="189" t="n"/>
      <c r="T1254" s="189" t="n"/>
      <c r="U1254" s="189">
        <f>SUM(S1254:T1254)</f>
        <v/>
      </c>
      <c r="V1254" s="190">
        <f>U1254/IF(H1254="L",35,IF(H1254="U",35,IF(H1254="O",35,IF(H1254="I",35,""))))</f>
        <v/>
      </c>
      <c r="W1254" s="190">
        <f>IF(AND(H1254="L", V1254&gt;=50%), "Pass", IF(AND(H1254="U", V1254&gt;=60%), "Pass", IF(AND(H1254="O", V1254&gt;=75%), "Pass", "Fail")))</f>
        <v/>
      </c>
      <c r="X1254" s="190">
        <f>IF(AND(Q1254="Pass", W1254="Pass"), "Pass", "Fail")</f>
        <v/>
      </c>
      <c r="Y1254" s="191">
        <f>IF($X1254="Pass",$H1254, IF(H1254="L","I", IF(H1254="U","L", IF(H1254="O","U", "I"))))</f>
        <v/>
      </c>
      <c r="Z1254" s="182" t="n"/>
    </row>
    <row r="1255">
      <c r="A1255" s="185">
        <f>ROW()-2</f>
        <v/>
      </c>
      <c r="B1255" s="133" t="inlineStr">
        <is>
          <t>750315</t>
        </is>
      </c>
      <c r="C1255" s="148" t="inlineStr">
        <is>
          <t>SIVARANJAN</t>
        </is>
      </c>
      <c r="D1255" s="133" t="inlineStr">
        <is>
          <t>QUALITY CONTROL</t>
        </is>
      </c>
      <c r="E1255" s="186" t="inlineStr">
        <is>
          <t>Final Finish QA</t>
        </is>
      </c>
      <c r="F1255" s="187" t="n">
        <v>45793</v>
      </c>
      <c r="G1255" s="188">
        <f>NOW()-F1255</f>
        <v/>
      </c>
      <c r="H1255" s="189" t="inlineStr">
        <is>
          <t>U</t>
        </is>
      </c>
      <c r="I1255" s="189" t="inlineStr">
        <is>
          <t>L</t>
        </is>
      </c>
      <c r="J1255" s="189" t="n"/>
      <c r="K1255" s="189" t="n"/>
      <c r="L1255" s="189" t="n"/>
      <c r="M1255" s="189" t="n"/>
      <c r="N1255" s="189" t="n"/>
      <c r="O1255" s="189">
        <f>SUM(J1255:N1255)</f>
        <v/>
      </c>
      <c r="P1255" s="190">
        <f>O1255/IF(H1255="L",20,IF(H1255="U",30,IF(H1255="O",40,IF(H1255="I",20,""))))</f>
        <v/>
      </c>
      <c r="Q1255" s="190">
        <f>IF(AND(H1255="L", P1255&gt;=50%), "Pass", IF(AND(H1255="U", P1255&gt;=60%), "Pass", IF(AND(H1255="O", P1255&gt;=75%), "Pass", "Fail")))</f>
        <v/>
      </c>
      <c r="R1255" s="189" t="n"/>
      <c r="S1255" s="189" t="n"/>
      <c r="T1255" s="189" t="n"/>
      <c r="U1255" s="189">
        <f>SUM(S1255:T1255)</f>
        <v/>
      </c>
      <c r="V1255" s="190">
        <f>U1255/IF(H1255="L",35,IF(H1255="U",35,IF(H1255="O",35,IF(H1255="I",35,""))))</f>
        <v/>
      </c>
      <c r="W1255" s="190">
        <f>IF(AND(H1255="L", V1255&gt;=50%), "Pass", IF(AND(H1255="U", V1255&gt;=60%), "Pass", IF(AND(H1255="O", V1255&gt;=75%), "Pass", "Fail")))</f>
        <v/>
      </c>
      <c r="X1255" s="190">
        <f>IF(AND(Q1255="Pass", W1255="Pass"), "Pass", "Fail")</f>
        <v/>
      </c>
      <c r="Y1255" s="191">
        <f>IF($X1255="Pass",$H1255, IF(H1255="L","I", IF(H1255="U","L", IF(H1255="O","U", "I"))))</f>
        <v/>
      </c>
      <c r="Z1255" s="182" t="n"/>
    </row>
    <row r="1256">
      <c r="A1256" s="185">
        <f>ROW()-2</f>
        <v/>
      </c>
      <c r="B1256" s="133" t="inlineStr">
        <is>
          <t>750319</t>
        </is>
      </c>
      <c r="C1256" s="148" t="inlineStr">
        <is>
          <t>RAJKUMAR S</t>
        </is>
      </c>
      <c r="D1256" s="133" t="inlineStr">
        <is>
          <t>QUALITY CONTROL</t>
        </is>
      </c>
      <c r="E1256" s="186" t="inlineStr">
        <is>
          <t>Final Finish QA</t>
        </is>
      </c>
      <c r="F1256" s="187" t="n">
        <v>45797</v>
      </c>
      <c r="G1256" s="188">
        <f>NOW()-F1256</f>
        <v/>
      </c>
      <c r="H1256" s="189" t="inlineStr">
        <is>
          <t>U</t>
        </is>
      </c>
      <c r="I1256" s="189" t="inlineStr">
        <is>
          <t>L</t>
        </is>
      </c>
      <c r="J1256" s="189" t="n"/>
      <c r="K1256" s="189" t="n"/>
      <c r="L1256" s="189" t="n"/>
      <c r="M1256" s="189" t="n"/>
      <c r="N1256" s="189" t="n"/>
      <c r="O1256" s="189">
        <f>SUM(J1256:N1256)</f>
        <v/>
      </c>
      <c r="P1256" s="190">
        <f>O1256/IF(H1256="L",20,IF(H1256="U",30,IF(H1256="O",40,IF(H1256="I",20,""))))</f>
        <v/>
      </c>
      <c r="Q1256" s="190">
        <f>IF(AND(H1256="L", P1256&gt;=50%), "Pass", IF(AND(H1256="U", P1256&gt;=60%), "Pass", IF(AND(H1256="O", P1256&gt;=75%), "Pass", "Fail")))</f>
        <v/>
      </c>
      <c r="R1256" s="189" t="n"/>
      <c r="S1256" s="189" t="n"/>
      <c r="T1256" s="189" t="n"/>
      <c r="U1256" s="189">
        <f>SUM(S1256:T1256)</f>
        <v/>
      </c>
      <c r="V1256" s="190">
        <f>U1256/IF(H1256="L",35,IF(H1256="U",35,IF(H1256="O",35,IF(H1256="I",35,""))))</f>
        <v/>
      </c>
      <c r="W1256" s="190">
        <f>IF(AND(H1256="L", V1256&gt;=50%), "Pass", IF(AND(H1256="U", V1256&gt;=60%), "Pass", IF(AND(H1256="O", V1256&gt;=75%), "Pass", "Fail")))</f>
        <v/>
      </c>
      <c r="X1256" s="190">
        <f>IF(AND(Q1256="Pass", W1256="Pass"), "Pass", "Fail")</f>
        <v/>
      </c>
      <c r="Y1256" s="191">
        <f>IF($X1256="Pass",$H1256, IF(H1256="L","I", IF(H1256="U","L", IF(H1256="O","U", "I"))))</f>
        <v/>
      </c>
      <c r="Z1256" s="182" t="n"/>
    </row>
    <row r="1257">
      <c r="A1257" s="185">
        <f>ROW()-2</f>
        <v/>
      </c>
      <c r="B1257" s="133" t="inlineStr">
        <is>
          <t>750332</t>
        </is>
      </c>
      <c r="C1257" s="148" t="inlineStr">
        <is>
          <t>MUTHU KARTHIK R</t>
        </is>
      </c>
      <c r="D1257" s="133" t="inlineStr">
        <is>
          <t>QUALITY CONTROL</t>
        </is>
      </c>
      <c r="E1257" s="186" t="inlineStr">
        <is>
          <t>Final Finish QA</t>
        </is>
      </c>
      <c r="F1257" s="187" t="n">
        <v>45824</v>
      </c>
      <c r="G1257" s="188">
        <f>NOW()-F1257</f>
        <v/>
      </c>
      <c r="H1257" s="189" t="inlineStr">
        <is>
          <t>U</t>
        </is>
      </c>
      <c r="I1257" s="189" t="inlineStr">
        <is>
          <t>L</t>
        </is>
      </c>
      <c r="J1257" s="189" t="n"/>
      <c r="K1257" s="189" t="n"/>
      <c r="L1257" s="189" t="n"/>
      <c r="M1257" s="189" t="n"/>
      <c r="N1257" s="189" t="n"/>
      <c r="O1257" s="189">
        <f>SUM(J1257:N1257)</f>
        <v/>
      </c>
      <c r="P1257" s="190">
        <f>O1257/IF(H1257="L",20,IF(H1257="U",30,IF(H1257="O",40,IF(H1257="I",20,""))))</f>
        <v/>
      </c>
      <c r="Q1257" s="190">
        <f>IF(AND(H1257="L", P1257&gt;=50%), "Pass", IF(AND(H1257="U", P1257&gt;=60%), "Pass", IF(AND(H1257="O", P1257&gt;=75%), "Pass", "Fail")))</f>
        <v/>
      </c>
      <c r="R1257" s="189" t="n"/>
      <c r="S1257" s="189" t="n"/>
      <c r="T1257" s="189" t="n"/>
      <c r="U1257" s="189">
        <f>SUM(S1257:T1257)</f>
        <v/>
      </c>
      <c r="V1257" s="190">
        <f>U1257/IF(H1257="L",35,IF(H1257="U",35,IF(H1257="O",35,IF(H1257="I",35,""))))</f>
        <v/>
      </c>
      <c r="W1257" s="190">
        <f>IF(AND(H1257="L", V1257&gt;=50%), "Pass", IF(AND(H1257="U", V1257&gt;=60%), "Pass", IF(AND(H1257="O", V1257&gt;=75%), "Pass", "Fail")))</f>
        <v/>
      </c>
      <c r="X1257" s="190">
        <f>IF(AND(Q1257="Pass", W1257="Pass"), "Pass", "Fail")</f>
        <v/>
      </c>
      <c r="Y1257" s="191">
        <f>IF($X1257="Pass",$H1257, IF(H1257="L","I", IF(H1257="U","L", IF(H1257="O","U", "I"))))</f>
        <v/>
      </c>
      <c r="Z1257" s="182" t="n"/>
    </row>
    <row r="1258">
      <c r="A1258" s="185">
        <f>ROW()-2</f>
        <v/>
      </c>
      <c r="B1258" s="133" t="inlineStr">
        <is>
          <t>750336</t>
        </is>
      </c>
      <c r="C1258" s="148" t="inlineStr">
        <is>
          <t>SIVAMANI</t>
        </is>
      </c>
      <c r="D1258" s="133" t="inlineStr">
        <is>
          <t>QUALITY CONTROL</t>
        </is>
      </c>
      <c r="E1258" s="186" t="inlineStr">
        <is>
          <t>Final Finish QA</t>
        </is>
      </c>
      <c r="F1258" s="187" t="n">
        <v>45850</v>
      </c>
      <c r="G1258" s="188">
        <f>NOW()-F1258</f>
        <v/>
      </c>
      <c r="H1258" s="189" t="inlineStr">
        <is>
          <t>U</t>
        </is>
      </c>
      <c r="I1258" s="189" t="inlineStr">
        <is>
          <t>L</t>
        </is>
      </c>
      <c r="J1258" s="189" t="n"/>
      <c r="K1258" s="189" t="n"/>
      <c r="L1258" s="189" t="n"/>
      <c r="M1258" s="189" t="n"/>
      <c r="N1258" s="189" t="n"/>
      <c r="O1258" s="189">
        <f>SUM(J1258:N1258)</f>
        <v/>
      </c>
      <c r="P1258" s="190">
        <f>O1258/IF(H1258="L",20,IF(H1258="U",30,IF(H1258="O",40,IF(H1258="I",20,""))))</f>
        <v/>
      </c>
      <c r="Q1258" s="190">
        <f>IF(AND(H1258="L", P1258&gt;=50%), "Pass", IF(AND(H1258="U", P1258&gt;=60%), "Pass", IF(AND(H1258="O", P1258&gt;=75%), "Pass", "Fail")))</f>
        <v/>
      </c>
      <c r="R1258" s="189" t="n"/>
      <c r="S1258" s="189" t="n"/>
      <c r="T1258" s="189" t="n"/>
      <c r="U1258" s="189">
        <f>SUM(S1258:T1258)</f>
        <v/>
      </c>
      <c r="V1258" s="190">
        <f>U1258/IF(H1258="L",35,IF(H1258="U",35,IF(H1258="O",35,IF(H1258="I",35,""))))</f>
        <v/>
      </c>
      <c r="W1258" s="190">
        <f>IF(AND(H1258="L", V1258&gt;=50%), "Pass", IF(AND(H1258="U", V1258&gt;=60%), "Pass", IF(AND(H1258="O", V1258&gt;=75%), "Pass", "Fail")))</f>
        <v/>
      </c>
      <c r="X1258" s="190">
        <f>IF(AND(Q1258="Pass", W1258="Pass"), "Pass", "Fail")</f>
        <v/>
      </c>
      <c r="Y1258" s="191">
        <f>IF($X1258="Pass",$H1258, IF(H1258="L","I", IF(H1258="U","L", IF(H1258="O","U", "I"))))</f>
        <v/>
      </c>
      <c r="Z1258" s="182" t="n"/>
    </row>
    <row r="1259">
      <c r="A1259" s="185">
        <f>ROW()-2</f>
        <v/>
      </c>
      <c r="B1259" s="133" t="inlineStr">
        <is>
          <t>750341</t>
        </is>
      </c>
      <c r="C1259" s="148" t="inlineStr">
        <is>
          <t>RAJA PALAVESAM</t>
        </is>
      </c>
      <c r="D1259" s="133" t="inlineStr">
        <is>
          <t>QUALITY CONTROL</t>
        </is>
      </c>
      <c r="E1259" s="186" t="inlineStr">
        <is>
          <t>Final Finish QA</t>
        </is>
      </c>
      <c r="F1259" s="187" t="n">
        <v>45944</v>
      </c>
      <c r="G1259" s="188">
        <f>NOW()-F1259</f>
        <v/>
      </c>
      <c r="H1259" s="189" t="inlineStr">
        <is>
          <t>U</t>
        </is>
      </c>
      <c r="I1259" s="189" t="inlineStr">
        <is>
          <t>L</t>
        </is>
      </c>
      <c r="J1259" s="189" t="n"/>
      <c r="K1259" s="189" t="n"/>
      <c r="L1259" s="189" t="n"/>
      <c r="M1259" s="189" t="n"/>
      <c r="N1259" s="189" t="n"/>
      <c r="O1259" s="189">
        <f>SUM(J1259:N1259)</f>
        <v/>
      </c>
      <c r="P1259" s="190">
        <f>O1259/IF(H1259="L",20,IF(H1259="U",30,IF(H1259="O",40,IF(H1259="I",20,""))))</f>
        <v/>
      </c>
      <c r="Q1259" s="190">
        <f>IF(AND(H1259="L", P1259&gt;=50%), "Pass", IF(AND(H1259="U", P1259&gt;=60%), "Pass", IF(AND(H1259="O", P1259&gt;=75%), "Pass", "Fail")))</f>
        <v/>
      </c>
      <c r="R1259" s="189" t="n"/>
      <c r="S1259" s="189" t="n"/>
      <c r="T1259" s="189" t="n"/>
      <c r="U1259" s="189">
        <f>SUM(S1259:T1259)</f>
        <v/>
      </c>
      <c r="V1259" s="190">
        <f>U1259/IF(H1259="L",35,IF(H1259="U",35,IF(H1259="O",35,IF(H1259="I",35,""))))</f>
        <v/>
      </c>
      <c r="W1259" s="190">
        <f>IF(AND(H1259="L", V1259&gt;=50%), "Pass", IF(AND(H1259="U", V1259&gt;=60%), "Pass", IF(AND(H1259="O", V1259&gt;=75%), "Pass", "Fail")))</f>
        <v/>
      </c>
      <c r="X1259" s="190">
        <f>IF(AND(Q1259="Pass", W1259="Pass"), "Pass", "Fail")</f>
        <v/>
      </c>
      <c r="Y1259" s="191">
        <f>IF($X1259="Pass",$H1259, IF(H1259="L","I", IF(H1259="U","L", IF(H1259="O","U", "I"))))</f>
        <v/>
      </c>
      <c r="Z1259" s="182" t="n"/>
    </row>
    <row r="1260">
      <c r="A1260" s="185">
        <f>ROW()-2</f>
        <v/>
      </c>
      <c r="B1260" s="133" t="inlineStr">
        <is>
          <t>750345</t>
        </is>
      </c>
      <c r="C1260" s="148" t="inlineStr">
        <is>
          <t>GURUMOORTHY MURUGAN</t>
        </is>
      </c>
      <c r="D1260" s="133" t="inlineStr">
        <is>
          <t>QUALITY CONTROL</t>
        </is>
      </c>
      <c r="E1260" s="186" t="inlineStr">
        <is>
          <t>Final Finish QA</t>
        </is>
      </c>
      <c r="F1260" s="187" t="n">
        <v>46008</v>
      </c>
      <c r="G1260" s="188">
        <f>NOW()-F1260</f>
        <v/>
      </c>
      <c r="H1260" s="189" t="inlineStr">
        <is>
          <t>U</t>
        </is>
      </c>
      <c r="I1260" s="189" t="inlineStr">
        <is>
          <t>L</t>
        </is>
      </c>
      <c r="J1260" s="189" t="n"/>
      <c r="K1260" s="189" t="n"/>
      <c r="L1260" s="189" t="n"/>
      <c r="M1260" s="189" t="n"/>
      <c r="N1260" s="189" t="n"/>
      <c r="O1260" s="189">
        <f>SUM(J1260:N1260)</f>
        <v/>
      </c>
      <c r="P1260" s="190">
        <f>O1260/IF(H1260="L",20,IF(H1260="U",30,IF(H1260="O",40,IF(H1260="I",20,""))))</f>
        <v/>
      </c>
      <c r="Q1260" s="190">
        <f>IF(AND(H1260="L", P1260&gt;=50%), "Pass", IF(AND(H1260="U", P1260&gt;=60%), "Pass", IF(AND(H1260="O", P1260&gt;=75%), "Pass", "Fail")))</f>
        <v/>
      </c>
      <c r="R1260" s="189" t="n"/>
      <c r="S1260" s="189" t="n"/>
      <c r="T1260" s="189" t="n"/>
      <c r="U1260" s="189">
        <f>SUM(S1260:T1260)</f>
        <v/>
      </c>
      <c r="V1260" s="190">
        <f>U1260/IF(H1260="L",35,IF(H1260="U",35,IF(H1260="O",35,IF(H1260="I",35,""))))</f>
        <v/>
      </c>
      <c r="W1260" s="190">
        <f>IF(AND(H1260="L", V1260&gt;=50%), "Pass", IF(AND(H1260="U", V1260&gt;=60%), "Pass", IF(AND(H1260="O", V1260&gt;=75%), "Pass", "Fail")))</f>
        <v/>
      </c>
      <c r="X1260" s="190">
        <f>IF(AND(Q1260="Pass", W1260="Pass"), "Pass", "Fail")</f>
        <v/>
      </c>
      <c r="Y1260" s="191">
        <f>IF($X1260="Pass",$H1260, IF(H1260="L","I", IF(H1260="U","L", IF(H1260="O","U", "I"))))</f>
        <v/>
      </c>
      <c r="Z1260" s="182" t="n"/>
    </row>
    <row r="1261">
      <c r="A1261" s="185">
        <f>ROW()-2</f>
        <v/>
      </c>
      <c r="B1261" s="133" t="inlineStr">
        <is>
          <t>750346</t>
        </is>
      </c>
      <c r="C1261" s="148" t="inlineStr">
        <is>
          <t>PUSHPARAJ</t>
        </is>
      </c>
      <c r="D1261" s="133" t="inlineStr">
        <is>
          <t>QUALITY CONTROL</t>
        </is>
      </c>
      <c r="E1261" s="186" t="inlineStr">
        <is>
          <t>Final Finish QA</t>
        </is>
      </c>
      <c r="F1261" s="187" t="n">
        <v>46027</v>
      </c>
      <c r="G1261" s="188">
        <f>NOW()-F1261</f>
        <v/>
      </c>
      <c r="H1261" s="189" t="inlineStr">
        <is>
          <t>U</t>
        </is>
      </c>
      <c r="I1261" s="189" t="inlineStr">
        <is>
          <t>L</t>
        </is>
      </c>
      <c r="J1261" s="189" t="n"/>
      <c r="K1261" s="189" t="n"/>
      <c r="L1261" s="189" t="n"/>
      <c r="M1261" s="189" t="n"/>
      <c r="N1261" s="189" t="n"/>
      <c r="O1261" s="189">
        <f>SUM(J1261:N1261)</f>
        <v/>
      </c>
      <c r="P1261" s="190">
        <f>O1261/IF(H1261="L",20,IF(H1261="U",30,IF(H1261="O",40,IF(H1261="I",20,""))))</f>
        <v/>
      </c>
      <c r="Q1261" s="190">
        <f>IF(AND(H1261="L", P1261&gt;=50%), "Pass", IF(AND(H1261="U", P1261&gt;=60%), "Pass", IF(AND(H1261="O", P1261&gt;=75%), "Pass", "Fail")))</f>
        <v/>
      </c>
      <c r="R1261" s="189" t="n"/>
      <c r="S1261" s="189" t="n"/>
      <c r="T1261" s="189" t="n"/>
      <c r="U1261" s="189">
        <f>SUM(S1261:T1261)</f>
        <v/>
      </c>
      <c r="V1261" s="190">
        <f>U1261/IF(H1261="L",35,IF(H1261="U",35,IF(H1261="O",35,IF(H1261="I",35,""))))</f>
        <v/>
      </c>
      <c r="W1261" s="190">
        <f>IF(AND(H1261="L", V1261&gt;=50%), "Pass", IF(AND(H1261="U", V1261&gt;=60%), "Pass", IF(AND(H1261="O", V1261&gt;=75%), "Pass", "Fail")))</f>
        <v/>
      </c>
      <c r="X1261" s="190">
        <f>IF(AND(Q1261="Pass", W1261="Pass"), "Pass", "Fail")</f>
        <v/>
      </c>
      <c r="Y1261" s="191">
        <f>IF($X1261="Pass",$H1261, IF(H1261="L","I", IF(H1261="U","L", IF(H1261="O","U", "I"))))</f>
        <v/>
      </c>
      <c r="Z1261" s="182" t="n"/>
    </row>
    <row r="1262">
      <c r="A1262" s="185">
        <f>ROW()-2</f>
        <v/>
      </c>
      <c r="B1262" s="133" t="inlineStr">
        <is>
          <t>750351</t>
        </is>
      </c>
      <c r="C1262" s="148" t="inlineStr">
        <is>
          <t>VALAICHITHAMBARAKANDHAN</t>
        </is>
      </c>
      <c r="D1262" s="133" t="inlineStr">
        <is>
          <t>QUALITY CONTROL</t>
        </is>
      </c>
      <c r="E1262" s="186" t="inlineStr">
        <is>
          <t>Final Finish QA</t>
        </is>
      </c>
      <c r="F1262" s="187" t="n">
        <v>46056</v>
      </c>
      <c r="G1262" s="188">
        <f>NOW()-F1262</f>
        <v/>
      </c>
      <c r="H1262" s="189" t="inlineStr">
        <is>
          <t>U</t>
        </is>
      </c>
      <c r="I1262" s="189" t="inlineStr">
        <is>
          <t>L</t>
        </is>
      </c>
      <c r="J1262" s="189" t="n"/>
      <c r="K1262" s="189" t="n"/>
      <c r="L1262" s="189" t="n"/>
      <c r="M1262" s="189" t="n"/>
      <c r="N1262" s="189" t="n"/>
      <c r="O1262" s="189">
        <f>SUM(J1262:N1262)</f>
        <v/>
      </c>
      <c r="P1262" s="190">
        <f>O1262/IF(H1262="L",20,IF(H1262="U",30,IF(H1262="O",40,IF(H1262="I",20,""))))</f>
        <v/>
      </c>
      <c r="Q1262" s="190">
        <f>IF(AND(H1262="L", P1262&gt;=50%), "Pass", IF(AND(H1262="U", P1262&gt;=60%), "Pass", IF(AND(H1262="O", P1262&gt;=75%), "Pass", "Fail")))</f>
        <v/>
      </c>
      <c r="R1262" s="189" t="n"/>
      <c r="S1262" s="189" t="n"/>
      <c r="T1262" s="189" t="n"/>
      <c r="U1262" s="189">
        <f>SUM(S1262:T1262)</f>
        <v/>
      </c>
      <c r="V1262" s="190">
        <f>U1262/IF(H1262="L",35,IF(H1262="U",35,IF(H1262="O",35,IF(H1262="I",35,""))))</f>
        <v/>
      </c>
      <c r="W1262" s="190">
        <f>IF(AND(H1262="L", V1262&gt;=50%), "Pass", IF(AND(H1262="U", V1262&gt;=60%), "Pass", IF(AND(H1262="O", V1262&gt;=75%), "Pass", "Fail")))</f>
        <v/>
      </c>
      <c r="X1262" s="190">
        <f>IF(AND(Q1262="Pass", W1262="Pass"), "Pass", "Fail")</f>
        <v/>
      </c>
      <c r="Y1262" s="191">
        <f>IF($X1262="Pass",$H1262, IF(H1262="L","I", IF(H1262="U","L", IF(H1262="O","U", "I"))))</f>
        <v/>
      </c>
      <c r="Z1262" s="182" t="n"/>
    </row>
    <row r="1263">
      <c r="A1263" s="185">
        <f>ROW()-2</f>
        <v/>
      </c>
      <c r="B1263" s="133" t="inlineStr">
        <is>
          <t>750359</t>
        </is>
      </c>
      <c r="C1263" s="148" t="inlineStr">
        <is>
          <t>SANTHANAKUMAR</t>
        </is>
      </c>
      <c r="D1263" s="133" t="inlineStr">
        <is>
          <t>QUALITY CONTROL</t>
        </is>
      </c>
      <c r="E1263" s="186" t="inlineStr">
        <is>
          <t>Final Finish QA</t>
        </is>
      </c>
      <c r="F1263" s="187" t="n">
        <v>46144</v>
      </c>
      <c r="G1263" s="188">
        <f>NOW()-F1263</f>
        <v/>
      </c>
      <c r="H1263" s="189" t="inlineStr">
        <is>
          <t>L</t>
        </is>
      </c>
      <c r="I1263" s="189" t="inlineStr">
        <is>
          <t>I</t>
        </is>
      </c>
      <c r="J1263" s="189" t="n"/>
      <c r="K1263" s="189" t="n"/>
      <c r="L1263" s="189" t="n"/>
      <c r="M1263" s="189" t="n"/>
      <c r="N1263" s="189" t="n"/>
      <c r="O1263" s="189">
        <f>SUM(J1263:N1263)</f>
        <v/>
      </c>
      <c r="P1263" s="190">
        <f>O1263/IF(H1263="L",20,IF(H1263="U",30,IF(H1263="O",40,IF(H1263="I",20,""))))</f>
        <v/>
      </c>
      <c r="Q1263" s="190">
        <f>IF(AND(H1263="L", P1263&gt;=50%), "Pass", IF(AND(H1263="U", P1263&gt;=60%), "Pass", IF(AND(H1263="O", P1263&gt;=75%), "Pass", "Fail")))</f>
        <v/>
      </c>
      <c r="R1263" s="189" t="n"/>
      <c r="S1263" s="189" t="n"/>
      <c r="T1263" s="189" t="n"/>
      <c r="U1263" s="189">
        <f>SUM(S1263:T1263)</f>
        <v/>
      </c>
      <c r="V1263" s="190">
        <f>U1263/IF(H1263="L",35,IF(H1263="U",35,IF(H1263="O",35,IF(H1263="I",35,""))))</f>
        <v/>
      </c>
      <c r="W1263" s="190">
        <f>IF(AND(H1263="L", V1263&gt;=50%), "Pass", IF(AND(H1263="U", V1263&gt;=60%), "Pass", IF(AND(H1263="O", V1263&gt;=75%), "Pass", "Fail")))</f>
        <v/>
      </c>
      <c r="X1263" s="190">
        <f>IF(AND(Q1263="Pass", W1263="Pass"), "Pass", "Fail")</f>
        <v/>
      </c>
      <c r="Y1263" s="191">
        <f>IF($X1263="Pass",$H1263, IF(H1263="L","I", IF(H1263="U","L", IF(H1263="O","U", "I"))))</f>
        <v/>
      </c>
      <c r="Z1263" s="182" t="n"/>
    </row>
    <row r="1264">
      <c r="A1264" s="185">
        <f>ROW()-2</f>
        <v/>
      </c>
      <c r="B1264" s="133" t="inlineStr">
        <is>
          <t>750361</t>
        </is>
      </c>
      <c r="C1264" s="148" t="inlineStr">
        <is>
          <t>MARIMUTHU S</t>
        </is>
      </c>
      <c r="D1264" s="133" t="inlineStr">
        <is>
          <t>QUALITY CONTROL</t>
        </is>
      </c>
      <c r="E1264" s="186" t="inlineStr">
        <is>
          <t>Final Finish QA</t>
        </is>
      </c>
      <c r="F1264" s="187" t="n">
        <v>46160</v>
      </c>
      <c r="G1264" s="188">
        <f>NOW()-F1264</f>
        <v/>
      </c>
      <c r="H1264" s="189" t="inlineStr">
        <is>
          <t>L</t>
        </is>
      </c>
      <c r="I1264" s="189" t="inlineStr">
        <is>
          <t>I</t>
        </is>
      </c>
      <c r="J1264" s="189" t="n"/>
      <c r="K1264" s="189" t="n"/>
      <c r="L1264" s="189" t="n"/>
      <c r="M1264" s="189" t="n"/>
      <c r="N1264" s="189" t="n"/>
      <c r="O1264" s="189">
        <f>SUM(J1264:N1264)</f>
        <v/>
      </c>
      <c r="P1264" s="190">
        <f>O1264/IF(H1264="L",20,IF(H1264="U",30,IF(H1264="O",40,IF(H1264="I",20,""))))</f>
        <v/>
      </c>
      <c r="Q1264" s="190">
        <f>IF(AND(H1264="L", P1264&gt;=50%), "Pass", IF(AND(H1264="U", P1264&gt;=60%), "Pass", IF(AND(H1264="O", P1264&gt;=75%), "Pass", "Fail")))</f>
        <v/>
      </c>
      <c r="R1264" s="189" t="n"/>
      <c r="S1264" s="189" t="n"/>
      <c r="T1264" s="189" t="n"/>
      <c r="U1264" s="189">
        <f>SUM(S1264:T1264)</f>
        <v/>
      </c>
      <c r="V1264" s="190">
        <f>U1264/IF(H1264="L",35,IF(H1264="U",35,IF(H1264="O",35,IF(H1264="I",35,""))))</f>
        <v/>
      </c>
      <c r="W1264" s="190">
        <f>IF(AND(H1264="L", V1264&gt;=50%), "Pass", IF(AND(H1264="U", V1264&gt;=60%), "Pass", IF(AND(H1264="O", V1264&gt;=75%), "Pass", "Fail")))</f>
        <v/>
      </c>
      <c r="X1264" s="190">
        <f>IF(AND(Q1264="Pass", W1264="Pass"), "Pass", "Fail")</f>
        <v/>
      </c>
      <c r="Y1264" s="191">
        <f>IF($X1264="Pass",$H1264, IF(H1264="L","I", IF(H1264="U","L", IF(H1264="O","U", "I"))))</f>
        <v/>
      </c>
      <c r="Z1264" s="182" t="n"/>
    </row>
    <row r="1265">
      <c r="A1265" s="185">
        <f>ROW()-2</f>
        <v/>
      </c>
      <c r="B1265" s="133" t="inlineStr">
        <is>
          <t>750364</t>
        </is>
      </c>
      <c r="C1265" s="148" t="inlineStr">
        <is>
          <t>RAGUL P</t>
        </is>
      </c>
      <c r="D1265" s="133" t="inlineStr">
        <is>
          <t>QUALITY CONTROL</t>
        </is>
      </c>
      <c r="E1265" s="186" t="inlineStr">
        <is>
          <t>Final Finish QA</t>
        </is>
      </c>
      <c r="F1265" s="187" t="n">
        <v>46183</v>
      </c>
      <c r="G1265" s="188">
        <f>NOW()-F1265</f>
        <v/>
      </c>
      <c r="H1265" s="189" t="inlineStr">
        <is>
          <t>L</t>
        </is>
      </c>
      <c r="I1265" s="189" t="inlineStr">
        <is>
          <t>I</t>
        </is>
      </c>
      <c r="J1265" s="189" t="n"/>
      <c r="K1265" s="189" t="n"/>
      <c r="L1265" s="189" t="n"/>
      <c r="M1265" s="189" t="n"/>
      <c r="N1265" s="189" t="n"/>
      <c r="O1265" s="189">
        <f>SUM(J1265:N1265)</f>
        <v/>
      </c>
      <c r="P1265" s="190">
        <f>O1265/IF(H1265="L",20,IF(H1265="U",30,IF(H1265="O",40,IF(H1265="I",20,""))))</f>
        <v/>
      </c>
      <c r="Q1265" s="190">
        <f>IF(AND(H1265="L", P1265&gt;=50%), "Pass", IF(AND(H1265="U", P1265&gt;=60%), "Pass", IF(AND(H1265="O", P1265&gt;=75%), "Pass", "Fail")))</f>
        <v/>
      </c>
      <c r="R1265" s="189" t="n"/>
      <c r="S1265" s="189" t="n"/>
      <c r="T1265" s="189" t="n"/>
      <c r="U1265" s="189">
        <f>SUM(S1265:T1265)</f>
        <v/>
      </c>
      <c r="V1265" s="190">
        <f>U1265/IF(H1265="L",35,IF(H1265="U",35,IF(H1265="O",35,IF(H1265="I",35,""))))</f>
        <v/>
      </c>
      <c r="W1265" s="190">
        <f>IF(AND(H1265="L", V1265&gt;=50%), "Pass", IF(AND(H1265="U", V1265&gt;=60%), "Pass", IF(AND(H1265="O", V1265&gt;=75%), "Pass", "Fail")))</f>
        <v/>
      </c>
      <c r="X1265" s="190">
        <f>IF(AND(Q1265="Pass", W1265="Pass"), "Pass", "Fail")</f>
        <v/>
      </c>
      <c r="Y1265" s="191">
        <f>IF($X1265="Pass",$H1265, IF(H1265="L","I", IF(H1265="U","L", IF(H1265="O","U", "I"))))</f>
        <v/>
      </c>
      <c r="Z1265" s="182" t="n"/>
    </row>
    <row r="1266">
      <c r="A1266" s="185">
        <f>ROW()-2</f>
        <v/>
      </c>
      <c r="B1266" s="133" t="inlineStr">
        <is>
          <t>750367</t>
        </is>
      </c>
      <c r="C1266" s="148" t="inlineStr">
        <is>
          <t>VEERAKUMAR</t>
        </is>
      </c>
      <c r="D1266" s="133" t="inlineStr">
        <is>
          <t>QUALITY CONTROL</t>
        </is>
      </c>
      <c r="E1266" s="186" t="inlineStr">
        <is>
          <t>Final Finish QA</t>
        </is>
      </c>
      <c r="F1266" s="187" t="n">
        <v>46209</v>
      </c>
      <c r="G1266" s="188">
        <f>NOW()-F1266</f>
        <v/>
      </c>
      <c r="H1266" s="189" t="inlineStr">
        <is>
          <t>L</t>
        </is>
      </c>
      <c r="I1266" s="189" t="inlineStr">
        <is>
          <t>I</t>
        </is>
      </c>
      <c r="J1266" s="189" t="n"/>
      <c r="K1266" s="189" t="n"/>
      <c r="L1266" s="189" t="n"/>
      <c r="M1266" s="189" t="n"/>
      <c r="N1266" s="189" t="n"/>
      <c r="O1266" s="189">
        <f>SUM(J1266:N1266)</f>
        <v/>
      </c>
      <c r="P1266" s="190">
        <f>O1266/IF(H1266="L",20,IF(H1266="U",30,IF(H1266="O",40,IF(H1266="I",20,""))))</f>
        <v/>
      </c>
      <c r="Q1266" s="190">
        <f>IF(AND(H1266="L", P1266&gt;=50%), "Pass", IF(AND(H1266="U", P1266&gt;=60%), "Pass", IF(AND(H1266="O", P1266&gt;=75%), "Pass", "Fail")))</f>
        <v/>
      </c>
      <c r="R1266" s="189" t="n"/>
      <c r="S1266" s="189" t="n"/>
      <c r="T1266" s="189" t="n"/>
      <c r="U1266" s="189">
        <f>SUM(S1266:T1266)</f>
        <v/>
      </c>
      <c r="V1266" s="190">
        <f>U1266/IF(H1266="L",35,IF(H1266="U",35,IF(H1266="O",35,IF(H1266="I",35,""))))</f>
        <v/>
      </c>
      <c r="W1266" s="190">
        <f>IF(AND(H1266="L", V1266&gt;=50%), "Pass", IF(AND(H1266="U", V1266&gt;=60%), "Pass", IF(AND(H1266="O", V1266&gt;=75%), "Pass", "Fail")))</f>
        <v/>
      </c>
      <c r="X1266" s="190">
        <f>IF(AND(Q1266="Pass", W1266="Pass"), "Pass", "Fail")</f>
        <v/>
      </c>
      <c r="Y1266" s="191">
        <f>IF($X1266="Pass",$H1266, IF(H1266="L","I", IF(H1266="U","L", IF(H1266="O","U", "I"))))</f>
        <v/>
      </c>
      <c r="Z1266" s="182" t="n"/>
    </row>
    <row r="1267">
      <c r="A1267" s="185">
        <f>ROW()-2</f>
        <v/>
      </c>
      <c r="B1267" s="133" t="inlineStr">
        <is>
          <t>750369</t>
        </is>
      </c>
      <c r="C1267" s="148" t="inlineStr">
        <is>
          <t>SUDARMANI M</t>
        </is>
      </c>
      <c r="D1267" s="133" t="inlineStr">
        <is>
          <t>QUALITY CONTROL</t>
        </is>
      </c>
      <c r="E1267" s="186" t="inlineStr">
        <is>
          <t>Final Finish QA</t>
        </is>
      </c>
      <c r="F1267" s="187" t="n">
        <v>46235</v>
      </c>
      <c r="G1267" s="188">
        <f>NOW()-F1267</f>
        <v/>
      </c>
      <c r="H1267" s="189" t="inlineStr">
        <is>
          <t>L</t>
        </is>
      </c>
      <c r="I1267" s="189" t="inlineStr">
        <is>
          <t>I</t>
        </is>
      </c>
      <c r="J1267" s="189" t="n"/>
      <c r="K1267" s="189" t="n"/>
      <c r="L1267" s="189" t="n"/>
      <c r="M1267" s="189" t="n"/>
      <c r="N1267" s="189" t="n"/>
      <c r="O1267" s="189">
        <f>SUM(J1267:N1267)</f>
        <v/>
      </c>
      <c r="P1267" s="190">
        <f>O1267/IF(H1267="L",20,IF(H1267="U",30,IF(H1267="O",40,IF(H1267="I",20,""))))</f>
        <v/>
      </c>
      <c r="Q1267" s="190">
        <f>IF(AND(H1267="L", P1267&gt;=50%), "Pass", IF(AND(H1267="U", P1267&gt;=60%), "Pass", IF(AND(H1267="O", P1267&gt;=75%), "Pass", "Fail")))</f>
        <v/>
      </c>
      <c r="R1267" s="189" t="n"/>
      <c r="S1267" s="189" t="n"/>
      <c r="T1267" s="189" t="n"/>
      <c r="U1267" s="189">
        <f>SUM(S1267:T1267)</f>
        <v/>
      </c>
      <c r="V1267" s="190">
        <f>U1267/IF(H1267="L",35,IF(H1267="U",35,IF(H1267="O",35,IF(H1267="I",35,""))))</f>
        <v/>
      </c>
      <c r="W1267" s="190">
        <f>IF(AND(H1267="L", V1267&gt;=50%), "Pass", IF(AND(H1267="U", V1267&gt;=60%), "Pass", IF(AND(H1267="O", V1267&gt;=75%), "Pass", "Fail")))</f>
        <v/>
      </c>
      <c r="X1267" s="190">
        <f>IF(AND(Q1267="Pass", W1267="Pass"), "Pass", "Fail")</f>
        <v/>
      </c>
      <c r="Y1267" s="191">
        <f>IF($X1267="Pass",$H1267, IF(H1267="L","I", IF(H1267="U","L", IF(H1267="O","U", "I"))))</f>
        <v/>
      </c>
      <c r="Z1267" s="182" t="n"/>
    </row>
    <row r="1268">
      <c r="A1268" s="185">
        <f>ROW()-2</f>
        <v/>
      </c>
      <c r="B1268" s="133" t="inlineStr">
        <is>
          <t>750370</t>
        </is>
      </c>
      <c r="C1268" s="148" t="inlineStr">
        <is>
          <t>SIVA S</t>
        </is>
      </c>
      <c r="D1268" s="133" t="inlineStr">
        <is>
          <t>QUALITY CONTROL</t>
        </is>
      </c>
      <c r="E1268" s="186" t="inlineStr">
        <is>
          <t>Final Finish QA</t>
        </is>
      </c>
      <c r="F1268" s="187" t="n">
        <v>46247</v>
      </c>
      <c r="G1268" s="188">
        <f>NOW()-F1268</f>
        <v/>
      </c>
      <c r="H1268" s="189" t="inlineStr">
        <is>
          <t>L</t>
        </is>
      </c>
      <c r="I1268" s="189" t="inlineStr">
        <is>
          <t>I</t>
        </is>
      </c>
      <c r="J1268" s="189" t="n"/>
      <c r="K1268" s="189" t="n"/>
      <c r="L1268" s="189" t="n"/>
      <c r="M1268" s="189" t="n"/>
      <c r="N1268" s="189" t="n"/>
      <c r="O1268" s="189">
        <f>SUM(J1268:N1268)</f>
        <v/>
      </c>
      <c r="P1268" s="190">
        <f>O1268/IF(H1268="L",20,IF(H1268="U",30,IF(H1268="O",40,IF(H1268="I",20,""))))</f>
        <v/>
      </c>
      <c r="Q1268" s="190">
        <f>IF(AND(H1268="L", P1268&gt;=50%), "Pass", IF(AND(H1268="U", P1268&gt;=60%), "Pass", IF(AND(H1268="O", P1268&gt;=75%), "Pass", "Fail")))</f>
        <v/>
      </c>
      <c r="R1268" s="189" t="n"/>
      <c r="S1268" s="189" t="n"/>
      <c r="T1268" s="189" t="n"/>
      <c r="U1268" s="189">
        <f>SUM(S1268:T1268)</f>
        <v/>
      </c>
      <c r="V1268" s="190">
        <f>U1268/IF(H1268="L",35,IF(H1268="U",35,IF(H1268="O",35,IF(H1268="I",35,""))))</f>
        <v/>
      </c>
      <c r="W1268" s="190">
        <f>IF(AND(H1268="L", V1268&gt;=50%), "Pass", IF(AND(H1268="U", V1268&gt;=60%), "Pass", IF(AND(H1268="O", V1268&gt;=75%), "Pass", "Fail")))</f>
        <v/>
      </c>
      <c r="X1268" s="190">
        <f>IF(AND(Q1268="Pass", W1268="Pass"), "Pass", "Fail")</f>
        <v/>
      </c>
      <c r="Y1268" s="191">
        <f>IF($X1268="Pass",$H1268, IF(H1268="L","I", IF(H1268="U","L", IF(H1268="O","U", "I"))))</f>
        <v/>
      </c>
      <c r="Z1268" s="182" t="n"/>
    </row>
    <row r="1269">
      <c r="A1269" s="185">
        <f>ROW()-2</f>
        <v/>
      </c>
      <c r="B1269" s="133" t="inlineStr">
        <is>
          <t>750371</t>
        </is>
      </c>
      <c r="C1269" s="148" t="inlineStr">
        <is>
          <t>LAKKUMI KHANDAN BHARATHI</t>
        </is>
      </c>
      <c r="D1269" s="133" t="inlineStr">
        <is>
          <t>QUALITY CONTROL</t>
        </is>
      </c>
      <c r="E1269" s="186" t="inlineStr">
        <is>
          <t>Final Finish QA</t>
        </is>
      </c>
      <c r="F1269" s="187" t="n">
        <v>46251</v>
      </c>
      <c r="G1269" s="188">
        <f>NOW()-F1269</f>
        <v/>
      </c>
      <c r="H1269" s="189" t="inlineStr">
        <is>
          <t>L</t>
        </is>
      </c>
      <c r="I1269" s="189" t="inlineStr">
        <is>
          <t>I</t>
        </is>
      </c>
      <c r="J1269" s="189" t="n"/>
      <c r="K1269" s="189" t="n"/>
      <c r="L1269" s="189" t="n"/>
      <c r="M1269" s="189" t="n"/>
      <c r="N1269" s="189" t="n"/>
      <c r="O1269" s="189">
        <f>SUM(J1269:N1269)</f>
        <v/>
      </c>
      <c r="P1269" s="190">
        <f>O1269/IF(H1269="L",20,IF(H1269="U",30,IF(H1269="O",40,IF(H1269="I",20,""))))</f>
        <v/>
      </c>
      <c r="Q1269" s="190">
        <f>IF(AND(H1269="L", P1269&gt;=50%), "Pass", IF(AND(H1269="U", P1269&gt;=60%), "Pass", IF(AND(H1269="O", P1269&gt;=75%), "Pass", "Fail")))</f>
        <v/>
      </c>
      <c r="R1269" s="189" t="n"/>
      <c r="S1269" s="189" t="n"/>
      <c r="T1269" s="189" t="n"/>
      <c r="U1269" s="189">
        <f>SUM(S1269:T1269)</f>
        <v/>
      </c>
      <c r="V1269" s="190">
        <f>U1269/IF(H1269="L",35,IF(H1269="U",35,IF(H1269="O",35,IF(H1269="I",35,""))))</f>
        <v/>
      </c>
      <c r="W1269" s="190">
        <f>IF(AND(H1269="L", V1269&gt;=50%), "Pass", IF(AND(H1269="U", V1269&gt;=60%), "Pass", IF(AND(H1269="O", V1269&gt;=75%), "Pass", "Fail")))</f>
        <v/>
      </c>
      <c r="X1269" s="190">
        <f>IF(AND(Q1269="Pass", W1269="Pass"), "Pass", "Fail")</f>
        <v/>
      </c>
      <c r="Y1269" s="191">
        <f>IF($X1269="Pass",$H1269, IF(H1269="L","I", IF(H1269="U","L", IF(H1269="O","U", "I"))))</f>
        <v/>
      </c>
      <c r="Z1269" s="182" t="n"/>
    </row>
    <row r="1270">
      <c r="A1270" s="185">
        <f>ROW()-2</f>
        <v/>
      </c>
      <c r="B1270" s="133" t="inlineStr">
        <is>
          <t>900142</t>
        </is>
      </c>
      <c r="C1270" s="148" t="inlineStr">
        <is>
          <t>P. KANNAPIRAN</t>
        </is>
      </c>
      <c r="D1270" s="133" t="inlineStr">
        <is>
          <t>QUALITY CONTROL</t>
        </is>
      </c>
      <c r="E1270" s="186" t="inlineStr">
        <is>
          <t>Final Finish QA</t>
        </is>
      </c>
      <c r="F1270" s="187" t="n">
        <v>40634</v>
      </c>
      <c r="G1270" s="188">
        <f>NOW()-F1270</f>
        <v/>
      </c>
      <c r="H1270" s="189" t="inlineStr">
        <is>
          <t>O</t>
        </is>
      </c>
      <c r="I1270" s="189" t="inlineStr">
        <is>
          <t>O</t>
        </is>
      </c>
      <c r="J1270" s="189" t="n">
        <v>10</v>
      </c>
      <c r="K1270" s="189" t="n">
        <v>15</v>
      </c>
      <c r="L1270" s="189" t="n">
        <v>0</v>
      </c>
      <c r="M1270" s="189" t="n">
        <v>9</v>
      </c>
      <c r="N1270" s="189" t="n"/>
      <c r="O1270" s="189">
        <f>SUM(J1270:N1270)</f>
        <v/>
      </c>
      <c r="P1270" s="190">
        <f>O1270/IF(H1270="L",20,IF(H1270="U",30,IF(H1270="O",40,IF(H1270="I",20,""))))</f>
        <v/>
      </c>
      <c r="Q1270" s="190">
        <f>IF(AND(H1270="L", P1270&gt;=50%), "Pass", IF(AND(H1270="U", P1270&gt;=60%), "Pass", IF(AND(H1270="O", P1270&gt;=75%), "Pass", "Fail")))</f>
        <v/>
      </c>
      <c r="R1270" s="189" t="n"/>
      <c r="S1270" s="189" t="n">
        <v>15</v>
      </c>
      <c r="T1270" s="189" t="n">
        <v>15</v>
      </c>
      <c r="U1270" s="189">
        <f>SUM(S1270:T1270)</f>
        <v/>
      </c>
      <c r="V1270" s="190">
        <f>U1270/IF(H1270="L",35,IF(H1270="U",35,IF(H1270="O",35,IF(H1270="I",35,""))))</f>
        <v/>
      </c>
      <c r="W1270" s="190">
        <f>IF(AND(H1270="L", V1270&gt;=50%), "Pass", IF(AND(H1270="U", V1270&gt;=60%), "Pass", IF(AND(H1270="O", V1270&gt;=75%), "Pass", "Fail")))</f>
        <v/>
      </c>
      <c r="X1270" s="190">
        <f>IF(AND(Q1270="Pass", W1270="Pass"), "Pass", "Fail")</f>
        <v/>
      </c>
      <c r="Y1270" s="191">
        <f>IF($X1270="Pass",$H1270, IF(H1270="L","I", IF(H1270="U","L", IF(H1270="O","U", "I"))))</f>
        <v/>
      </c>
      <c r="Z1270" s="182" t="n"/>
    </row>
    <row r="1271">
      <c r="A1271" s="185">
        <f>ROW()-2</f>
        <v/>
      </c>
      <c r="B1271" s="133" t="inlineStr">
        <is>
          <t>900143</t>
        </is>
      </c>
      <c r="C1271" s="148" t="inlineStr">
        <is>
          <t>T. MOHAN</t>
        </is>
      </c>
      <c r="D1271" s="133" t="inlineStr">
        <is>
          <t>QUALITY CONTROL</t>
        </is>
      </c>
      <c r="E1271" s="186" t="inlineStr">
        <is>
          <t>Final Finish QA</t>
        </is>
      </c>
      <c r="F1271" s="187" t="n">
        <v>40634</v>
      </c>
      <c r="G1271" s="188">
        <f>NOW()-F1271</f>
        <v/>
      </c>
      <c r="H1271" s="189" t="inlineStr">
        <is>
          <t>O</t>
        </is>
      </c>
      <c r="I1271" s="189" t="inlineStr">
        <is>
          <t>O</t>
        </is>
      </c>
      <c r="J1271" s="189" t="n">
        <v>10</v>
      </c>
      <c r="K1271" s="189" t="n">
        <v>16</v>
      </c>
      <c r="L1271" s="189" t="n">
        <v>0</v>
      </c>
      <c r="M1271" s="189" t="n">
        <v>9</v>
      </c>
      <c r="N1271" s="189" t="n"/>
      <c r="O1271" s="189">
        <f>SUM(J1271:N1271)</f>
        <v/>
      </c>
      <c r="P1271" s="190">
        <f>O1271/IF(H1271="L",20,IF(H1271="U",30,IF(H1271="O",40,IF(H1271="I",20,""))))</f>
        <v/>
      </c>
      <c r="Q1271" s="190">
        <f>IF(AND(H1271="L", P1271&gt;=50%), "Pass", IF(AND(H1271="U", P1271&gt;=60%), "Pass", IF(AND(H1271="O", P1271&gt;=75%), "Pass", "Fail")))</f>
        <v/>
      </c>
      <c r="R1271" s="189" t="n"/>
      <c r="S1271" s="189" t="n">
        <v>15</v>
      </c>
      <c r="T1271" s="189" t="n">
        <v>15</v>
      </c>
      <c r="U1271" s="189">
        <f>SUM(S1271:T1271)</f>
        <v/>
      </c>
      <c r="V1271" s="190">
        <f>U1271/IF(H1271="L",35,IF(H1271="U",35,IF(H1271="O",35,IF(H1271="I",35,""))))</f>
        <v/>
      </c>
      <c r="W1271" s="190">
        <f>IF(AND(H1271="L", V1271&gt;=50%), "Pass", IF(AND(H1271="U", V1271&gt;=60%), "Pass", IF(AND(H1271="O", V1271&gt;=75%), "Pass", "Fail")))</f>
        <v/>
      </c>
      <c r="X1271" s="190">
        <f>IF(AND(Q1271="Pass", W1271="Pass"), "Pass", "Fail")</f>
        <v/>
      </c>
      <c r="Y1271" s="191">
        <f>IF($X1271="Pass",$H1271, IF(H1271="L","I", IF(H1271="U","L", IF(H1271="O","U", "I"))))</f>
        <v/>
      </c>
      <c r="Z1271" s="182" t="n"/>
    </row>
    <row r="1272">
      <c r="A1272" s="185">
        <f>ROW()-2</f>
        <v/>
      </c>
      <c r="B1272" s="133" t="inlineStr">
        <is>
          <t>900191</t>
        </is>
      </c>
      <c r="C1272" s="148" t="inlineStr">
        <is>
          <t>SIVARAMAKRISHNAN K</t>
        </is>
      </c>
      <c r="D1272" s="133" t="inlineStr">
        <is>
          <t>QUALITY CONTROL</t>
        </is>
      </c>
      <c r="E1272" s="186" t="inlineStr">
        <is>
          <t>Final Finish QA</t>
        </is>
      </c>
      <c r="F1272" s="187" t="n">
        <v>40634</v>
      </c>
      <c r="G1272" s="188">
        <f>NOW()-F1272</f>
        <v/>
      </c>
      <c r="H1272" s="189" t="inlineStr">
        <is>
          <t>O</t>
        </is>
      </c>
      <c r="I1272" s="189" t="inlineStr">
        <is>
          <t>O</t>
        </is>
      </c>
      <c r="J1272" s="189" t="n"/>
      <c r="K1272" s="189" t="n"/>
      <c r="L1272" s="189" t="n"/>
      <c r="M1272" s="189" t="n"/>
      <c r="N1272" s="189" t="n"/>
      <c r="O1272" s="189">
        <f>SUM(J1272:N1272)</f>
        <v/>
      </c>
      <c r="P1272" s="190">
        <f>O1272/IF(H1272="L",20,IF(H1272="U",30,IF(H1272="O",40,IF(H1272="I",20,""))))</f>
        <v/>
      </c>
      <c r="Q1272" s="190">
        <f>IF(AND(H1272="L", P1272&gt;=50%), "Pass", IF(AND(H1272="U", P1272&gt;=60%), "Pass", IF(AND(H1272="O", P1272&gt;=75%), "Pass", "Fail")))</f>
        <v/>
      </c>
      <c r="R1272" s="189" t="n"/>
      <c r="S1272" s="189" t="n"/>
      <c r="T1272" s="189" t="n"/>
      <c r="U1272" s="189">
        <f>SUM(S1272:T1272)</f>
        <v/>
      </c>
      <c r="V1272" s="190">
        <f>U1272/IF(H1272="L",35,IF(H1272="U",35,IF(H1272="O",35,IF(H1272="I",35,""))))</f>
        <v/>
      </c>
      <c r="W1272" s="190">
        <f>IF(AND(H1272="L", V1272&gt;=50%), "Pass", IF(AND(H1272="U", V1272&gt;=60%), "Pass", IF(AND(H1272="O", V1272&gt;=75%), "Pass", "Fail")))</f>
        <v/>
      </c>
      <c r="X1272" s="190">
        <f>IF(AND(Q1272="Pass", W1272="Pass"), "Pass", "Fail")</f>
        <v/>
      </c>
      <c r="Y1272" s="191">
        <f>IF($X1272="Pass",$H1272, IF(H1272="L","I", IF(H1272="U","L", IF(H1272="O","U", "I"))))</f>
        <v/>
      </c>
      <c r="Z1272" s="182" t="n"/>
    </row>
    <row r="1273">
      <c r="A1273" s="185">
        <f>ROW()-2</f>
        <v/>
      </c>
      <c r="B1273" s="133" t="inlineStr">
        <is>
          <t>900201</t>
        </is>
      </c>
      <c r="C1273" s="148" t="inlineStr">
        <is>
          <t>A. JUSTIN PRABHAKAR</t>
        </is>
      </c>
      <c r="D1273" s="133" t="inlineStr">
        <is>
          <t>QUALITY CONTROL</t>
        </is>
      </c>
      <c r="E1273" s="186" t="inlineStr">
        <is>
          <t>Final Finish QA</t>
        </is>
      </c>
      <c r="F1273" s="187" t="n">
        <v>40634</v>
      </c>
      <c r="G1273" s="188">
        <f>NOW()-F1273</f>
        <v/>
      </c>
      <c r="H1273" s="189" t="inlineStr">
        <is>
          <t>O</t>
        </is>
      </c>
      <c r="I1273" s="189" t="inlineStr">
        <is>
          <t>O</t>
        </is>
      </c>
      <c r="J1273" s="189" t="n">
        <v>10</v>
      </c>
      <c r="K1273" s="189" t="n">
        <v>16</v>
      </c>
      <c r="L1273" s="189" t="n">
        <v>0</v>
      </c>
      <c r="M1273" s="189" t="n">
        <v>9</v>
      </c>
      <c r="N1273" s="189" t="n"/>
      <c r="O1273" s="189">
        <f>SUM(J1273:N1273)</f>
        <v/>
      </c>
      <c r="P1273" s="190">
        <f>O1273/IF(H1273="L",20,IF(H1273="U",30,IF(H1273="O",40,IF(H1273="I",20,""))))</f>
        <v/>
      </c>
      <c r="Q1273" s="190">
        <f>IF(AND(H1273="L", P1273&gt;=50%), "Pass", IF(AND(H1273="U", P1273&gt;=60%), "Pass", IF(AND(H1273="O", P1273&gt;=75%), "Pass", "Fail")))</f>
        <v/>
      </c>
      <c r="R1273" s="189" t="n"/>
      <c r="S1273" s="189" t="n">
        <v>15</v>
      </c>
      <c r="T1273" s="189" t="n">
        <v>15</v>
      </c>
      <c r="U1273" s="189">
        <f>SUM(S1273:T1273)</f>
        <v/>
      </c>
      <c r="V1273" s="190">
        <f>U1273/IF(H1273="L",35,IF(H1273="U",35,IF(H1273="O",35,IF(H1273="I",35,""))))</f>
        <v/>
      </c>
      <c r="W1273" s="190">
        <f>IF(AND(H1273="L", V1273&gt;=50%), "Pass", IF(AND(H1273="U", V1273&gt;=60%), "Pass", IF(AND(H1273="O", V1273&gt;=75%), "Pass", "Fail")))</f>
        <v/>
      </c>
      <c r="X1273" s="190">
        <f>IF(AND(Q1273="Pass", W1273="Pass"), "Pass", "Fail")</f>
        <v/>
      </c>
      <c r="Y1273" s="191">
        <f>IF($X1273="Pass",$H1273, IF(H1273="L","I", IF(H1273="U","L", IF(H1273="O","U", "I"))))</f>
        <v/>
      </c>
      <c r="Z1273" s="182" t="n"/>
    </row>
    <row r="1274">
      <c r="A1274" s="185">
        <f>ROW()-2</f>
        <v/>
      </c>
      <c r="B1274" s="133" t="inlineStr">
        <is>
          <t>900210</t>
        </is>
      </c>
      <c r="C1274" s="148" t="inlineStr">
        <is>
          <t>V. RAJAGOPAL</t>
        </is>
      </c>
      <c r="D1274" s="133" t="inlineStr">
        <is>
          <t>QUALITY CONTROL</t>
        </is>
      </c>
      <c r="E1274" s="186" t="inlineStr">
        <is>
          <t>Final Finish QA</t>
        </is>
      </c>
      <c r="F1274" s="187" t="n">
        <v>40634</v>
      </c>
      <c r="G1274" s="188">
        <f>NOW()-F1274</f>
        <v/>
      </c>
      <c r="H1274" s="189" t="inlineStr">
        <is>
          <t>O</t>
        </is>
      </c>
      <c r="I1274" s="189" t="inlineStr">
        <is>
          <t>O</t>
        </is>
      </c>
      <c r="J1274" s="189" t="n">
        <v>10</v>
      </c>
      <c r="K1274" s="189" t="n">
        <v>17</v>
      </c>
      <c r="L1274" s="189" t="n">
        <v>0</v>
      </c>
      <c r="M1274" s="189" t="n">
        <v>9</v>
      </c>
      <c r="N1274" s="189" t="n"/>
      <c r="O1274" s="189">
        <f>SUM(J1274:N1274)</f>
        <v/>
      </c>
      <c r="P1274" s="190">
        <f>O1274/IF(H1274="L",20,IF(H1274="U",30,IF(H1274="O",40,IF(H1274="I",20,""))))</f>
        <v/>
      </c>
      <c r="Q1274" s="190">
        <f>IF(AND(H1274="L", P1274&gt;=50%), "Pass", IF(AND(H1274="U", P1274&gt;=60%), "Pass", IF(AND(H1274="O", P1274&gt;=75%), "Pass", "Fail")))</f>
        <v/>
      </c>
      <c r="R1274" s="189" t="n"/>
      <c r="S1274" s="189" t="n">
        <v>15</v>
      </c>
      <c r="T1274" s="189" t="n">
        <v>15</v>
      </c>
      <c r="U1274" s="189">
        <f>SUM(S1274:T1274)</f>
        <v/>
      </c>
      <c r="V1274" s="190">
        <f>U1274/IF(H1274="L",35,IF(H1274="U",35,IF(H1274="O",35,IF(H1274="I",35,""))))</f>
        <v/>
      </c>
      <c r="W1274" s="190">
        <f>IF(AND(H1274="L", V1274&gt;=50%), "Pass", IF(AND(H1274="U", V1274&gt;=60%), "Pass", IF(AND(H1274="O", V1274&gt;=75%), "Pass", "Fail")))</f>
        <v/>
      </c>
      <c r="X1274" s="190">
        <f>IF(AND(Q1274="Pass", W1274="Pass"), "Pass", "Fail")</f>
        <v/>
      </c>
      <c r="Y1274" s="191">
        <f>IF($X1274="Pass",$H1274, IF(H1274="L","I", IF(H1274="U","L", IF(H1274="O","U", "I"))))</f>
        <v/>
      </c>
      <c r="Z1274" s="182" t="n"/>
    </row>
    <row r="1275">
      <c r="A1275" s="185">
        <f>ROW()-2</f>
        <v/>
      </c>
      <c r="B1275" s="133" t="inlineStr">
        <is>
          <t>900338</t>
        </is>
      </c>
      <c r="C1275" s="148" t="inlineStr">
        <is>
          <t>MATHANA GOPAL</t>
        </is>
      </c>
      <c r="D1275" s="133" t="inlineStr">
        <is>
          <t>QUALITY CONTROL</t>
        </is>
      </c>
      <c r="E1275" s="186" t="inlineStr">
        <is>
          <t>Final Finish QA</t>
        </is>
      </c>
      <c r="F1275" s="187" t="n">
        <v>41000</v>
      </c>
      <c r="G1275" s="188">
        <f>NOW()-F1275</f>
        <v/>
      </c>
      <c r="H1275" s="189" t="inlineStr">
        <is>
          <t>O</t>
        </is>
      </c>
      <c r="I1275" s="189" t="inlineStr">
        <is>
          <t>O</t>
        </is>
      </c>
      <c r="J1275" s="189" t="n">
        <v>10</v>
      </c>
      <c r="K1275" s="189" t="n">
        <v>19</v>
      </c>
      <c r="L1275" s="189" t="n">
        <v>0</v>
      </c>
      <c r="M1275" s="189" t="n">
        <v>9</v>
      </c>
      <c r="N1275" s="189" t="n"/>
      <c r="O1275" s="189">
        <f>SUM(J1275:N1275)</f>
        <v/>
      </c>
      <c r="P1275" s="190">
        <f>O1275/IF(H1275="L",20,IF(H1275="U",30,IF(H1275="O",40,IF(H1275="I",20,""))))</f>
        <v/>
      </c>
      <c r="Q1275" s="190">
        <f>IF(AND(H1275="L", P1275&gt;=50%), "Pass", IF(AND(H1275="U", P1275&gt;=60%), "Pass", IF(AND(H1275="O", P1275&gt;=75%), "Pass", "Fail")))</f>
        <v/>
      </c>
      <c r="R1275" s="189" t="n"/>
      <c r="S1275" s="189" t="n">
        <v>15</v>
      </c>
      <c r="T1275" s="189" t="n">
        <v>15</v>
      </c>
      <c r="U1275" s="189">
        <f>SUM(S1275:T1275)</f>
        <v/>
      </c>
      <c r="V1275" s="190">
        <f>U1275/IF(H1275="L",35,IF(H1275="U",35,IF(H1275="O",35,IF(H1275="I",35,""))))</f>
        <v/>
      </c>
      <c r="W1275" s="190">
        <f>IF(AND(H1275="L", V1275&gt;=50%), "Pass", IF(AND(H1275="U", V1275&gt;=60%), "Pass", IF(AND(H1275="O", V1275&gt;=75%), "Pass", "Fail")))</f>
        <v/>
      </c>
      <c r="X1275" s="190">
        <f>IF(AND(Q1275="Pass", W1275="Pass"), "Pass", "Fail")</f>
        <v/>
      </c>
      <c r="Y1275" s="191">
        <f>IF($X1275="Pass",$H1275, IF(H1275="L","I", IF(H1275="U","L", IF(H1275="O","U", "I"))))</f>
        <v/>
      </c>
      <c r="Z1275" s="182" t="n"/>
    </row>
    <row r="1276">
      <c r="A1276" s="185">
        <f>ROW()-2</f>
        <v/>
      </c>
      <c r="B1276" s="133" t="inlineStr">
        <is>
          <t>900339</t>
        </is>
      </c>
      <c r="C1276" s="148" t="inlineStr">
        <is>
          <t>N.M. SENTHIL KUMAR</t>
        </is>
      </c>
      <c r="D1276" s="133" t="inlineStr">
        <is>
          <t>QUALITY CONTROL</t>
        </is>
      </c>
      <c r="E1276" s="186" t="inlineStr">
        <is>
          <t>Final Finish QA</t>
        </is>
      </c>
      <c r="F1276" s="187" t="n">
        <v>41000</v>
      </c>
      <c r="G1276" s="188">
        <f>NOW()-F1276</f>
        <v/>
      </c>
      <c r="H1276" s="189" t="inlineStr">
        <is>
          <t>O</t>
        </is>
      </c>
      <c r="I1276" s="189" t="inlineStr">
        <is>
          <t>O</t>
        </is>
      </c>
      <c r="J1276" s="189" t="n">
        <v>10</v>
      </c>
      <c r="K1276" s="189" t="n">
        <v>15</v>
      </c>
      <c r="L1276" s="189" t="n">
        <v>0</v>
      </c>
      <c r="M1276" s="189" t="n">
        <v>9</v>
      </c>
      <c r="N1276" s="189" t="n"/>
      <c r="O1276" s="189">
        <f>SUM(J1276:N1276)</f>
        <v/>
      </c>
      <c r="P1276" s="190">
        <f>O1276/IF(H1276="L",20,IF(H1276="U",30,IF(H1276="O",40,IF(H1276="I",20,""))))</f>
        <v/>
      </c>
      <c r="Q1276" s="190">
        <f>IF(AND(H1276="L", P1276&gt;=50%), "Pass", IF(AND(H1276="U", P1276&gt;=60%), "Pass", IF(AND(H1276="O", P1276&gt;=75%), "Pass", "Fail")))</f>
        <v/>
      </c>
      <c r="R1276" s="189" t="n"/>
      <c r="S1276" s="189" t="n">
        <v>15</v>
      </c>
      <c r="T1276" s="189" t="n">
        <v>15</v>
      </c>
      <c r="U1276" s="189">
        <f>SUM(S1276:T1276)</f>
        <v/>
      </c>
      <c r="V1276" s="190">
        <f>U1276/IF(H1276="L",35,IF(H1276="U",35,IF(H1276="O",35,IF(H1276="I",35,""))))</f>
        <v/>
      </c>
      <c r="W1276" s="190">
        <f>IF(AND(H1276="L", V1276&gt;=50%), "Pass", IF(AND(H1276="U", V1276&gt;=60%), "Pass", IF(AND(H1276="O", V1276&gt;=75%), "Pass", "Fail")))</f>
        <v/>
      </c>
      <c r="X1276" s="190">
        <f>IF(AND(Q1276="Pass", W1276="Pass"), "Pass", "Fail")</f>
        <v/>
      </c>
      <c r="Y1276" s="191">
        <f>IF($X1276="Pass",$H1276, IF(H1276="L","I", IF(H1276="U","L", IF(H1276="O","U", "I"))))</f>
        <v/>
      </c>
      <c r="Z1276" s="182" t="n"/>
    </row>
    <row r="1277">
      <c r="A1277" s="185">
        <f>ROW()-2</f>
        <v/>
      </c>
      <c r="B1277" s="133" t="inlineStr">
        <is>
          <t>900340</t>
        </is>
      </c>
      <c r="C1277" s="148" t="inlineStr">
        <is>
          <t>G. MARIMUTHU</t>
        </is>
      </c>
      <c r="D1277" s="133" t="inlineStr">
        <is>
          <t>QUALITY CONTROL</t>
        </is>
      </c>
      <c r="E1277" s="186" t="inlineStr">
        <is>
          <t>Final Finish QA</t>
        </is>
      </c>
      <c r="F1277" s="187" t="n">
        <v>41000</v>
      </c>
      <c r="G1277" s="188">
        <f>NOW()-F1277</f>
        <v/>
      </c>
      <c r="H1277" s="189" t="inlineStr">
        <is>
          <t>O</t>
        </is>
      </c>
      <c r="I1277" s="189" t="inlineStr">
        <is>
          <t>O</t>
        </is>
      </c>
      <c r="J1277" s="189" t="n">
        <v>10</v>
      </c>
      <c r="K1277" s="189" t="n">
        <v>15</v>
      </c>
      <c r="L1277" s="189" t="n">
        <v>0</v>
      </c>
      <c r="M1277" s="189" t="n">
        <v>9</v>
      </c>
      <c r="N1277" s="189" t="n"/>
      <c r="O1277" s="189">
        <f>SUM(J1277:N1277)</f>
        <v/>
      </c>
      <c r="P1277" s="190">
        <f>O1277/IF(H1277="L",20,IF(H1277="U",30,IF(H1277="O",40,IF(H1277="I",20,""))))</f>
        <v/>
      </c>
      <c r="Q1277" s="190">
        <f>IF(AND(H1277="L", P1277&gt;=50%), "Pass", IF(AND(H1277="U", P1277&gt;=60%), "Pass", IF(AND(H1277="O", P1277&gt;=75%), "Pass", "Fail")))</f>
        <v/>
      </c>
      <c r="R1277" s="189" t="n"/>
      <c r="S1277" s="189" t="n">
        <v>15</v>
      </c>
      <c r="T1277" s="189" t="n">
        <v>15</v>
      </c>
      <c r="U1277" s="189">
        <f>SUM(S1277:T1277)</f>
        <v/>
      </c>
      <c r="V1277" s="190">
        <f>U1277/IF(H1277="L",35,IF(H1277="U",35,IF(H1277="O",35,IF(H1277="I",35,""))))</f>
        <v/>
      </c>
      <c r="W1277" s="190">
        <f>IF(AND(H1277="L", V1277&gt;=50%), "Pass", IF(AND(H1277="U", V1277&gt;=60%), "Pass", IF(AND(H1277="O", V1277&gt;=75%), "Pass", "Fail")))</f>
        <v/>
      </c>
      <c r="X1277" s="190">
        <f>IF(AND(Q1277="Pass", W1277="Pass"), "Pass", "Fail")</f>
        <v/>
      </c>
      <c r="Y1277" s="191">
        <f>IF($X1277="Pass",$H1277, IF(H1277="L","I", IF(H1277="U","L", IF(H1277="O","U", "I"))))</f>
        <v/>
      </c>
      <c r="Z1277" s="182" t="n"/>
    </row>
    <row r="1278">
      <c r="A1278" s="185">
        <f>ROW()-2</f>
        <v/>
      </c>
      <c r="B1278" s="133" t="inlineStr">
        <is>
          <t>900341</t>
        </is>
      </c>
      <c r="C1278" s="148" t="inlineStr">
        <is>
          <t>E. ANTHONY</t>
        </is>
      </c>
      <c r="D1278" s="133" t="inlineStr">
        <is>
          <t>QUALITY CONTROL</t>
        </is>
      </c>
      <c r="E1278" s="186" t="inlineStr">
        <is>
          <t>Final Finish QA</t>
        </is>
      </c>
      <c r="F1278" s="187" t="n">
        <v>41000</v>
      </c>
      <c r="G1278" s="188">
        <f>NOW()-F1278</f>
        <v/>
      </c>
      <c r="H1278" s="189" t="inlineStr">
        <is>
          <t>O</t>
        </is>
      </c>
      <c r="I1278" s="189" t="inlineStr">
        <is>
          <t>O</t>
        </is>
      </c>
      <c r="J1278" s="189" t="n">
        <v>10</v>
      </c>
      <c r="K1278" s="189" t="n">
        <v>16</v>
      </c>
      <c r="L1278" s="189" t="n">
        <v>0</v>
      </c>
      <c r="M1278" s="189" t="n">
        <v>9</v>
      </c>
      <c r="N1278" s="189" t="n"/>
      <c r="O1278" s="189">
        <f>SUM(J1278:N1278)</f>
        <v/>
      </c>
      <c r="P1278" s="190">
        <f>O1278/IF(H1278="L",20,IF(H1278="U",30,IF(H1278="O",40,IF(H1278="I",20,""))))</f>
        <v/>
      </c>
      <c r="Q1278" s="190">
        <f>IF(AND(H1278="L", P1278&gt;=50%), "Pass", IF(AND(H1278="U", P1278&gt;=60%), "Pass", IF(AND(H1278="O", P1278&gt;=75%), "Pass", "Fail")))</f>
        <v/>
      </c>
      <c r="R1278" s="189" t="n"/>
      <c r="S1278" s="189" t="n">
        <v>15</v>
      </c>
      <c r="T1278" s="189" t="n">
        <v>15</v>
      </c>
      <c r="U1278" s="189">
        <f>SUM(S1278:T1278)</f>
        <v/>
      </c>
      <c r="V1278" s="190">
        <f>U1278/IF(H1278="L",35,IF(H1278="U",35,IF(H1278="O",35,IF(H1278="I",35,""))))</f>
        <v/>
      </c>
      <c r="W1278" s="190">
        <f>IF(AND(H1278="L", V1278&gt;=50%), "Pass", IF(AND(H1278="U", V1278&gt;=60%), "Pass", IF(AND(H1278="O", V1278&gt;=75%), "Pass", "Fail")))</f>
        <v/>
      </c>
      <c r="X1278" s="190">
        <f>IF(AND(Q1278="Pass", W1278="Pass"), "Pass", "Fail")</f>
        <v/>
      </c>
      <c r="Y1278" s="191">
        <f>IF($X1278="Pass",$H1278, IF(H1278="L","I", IF(H1278="U","L", IF(H1278="O","U", "I"))))</f>
        <v/>
      </c>
      <c r="Z1278" s="182" t="n"/>
    </row>
    <row r="1279">
      <c r="A1279" s="185">
        <f>ROW()-2</f>
        <v/>
      </c>
      <c r="B1279" s="133" t="inlineStr">
        <is>
          <t>900342</t>
        </is>
      </c>
      <c r="C1279" s="148" t="inlineStr">
        <is>
          <t>T. NATARAJAN</t>
        </is>
      </c>
      <c r="D1279" s="133" t="inlineStr">
        <is>
          <t>QUALITY CONTROL</t>
        </is>
      </c>
      <c r="E1279" s="186" t="inlineStr">
        <is>
          <t>Final Finish QA</t>
        </is>
      </c>
      <c r="F1279" s="187" t="n">
        <v>41000</v>
      </c>
      <c r="G1279" s="188">
        <f>NOW()-F1279</f>
        <v/>
      </c>
      <c r="H1279" s="189" t="inlineStr">
        <is>
          <t>O</t>
        </is>
      </c>
      <c r="I1279" s="189" t="inlineStr">
        <is>
          <t>O</t>
        </is>
      </c>
      <c r="J1279" s="189" t="n">
        <v>10</v>
      </c>
      <c r="K1279" s="189" t="n">
        <v>16</v>
      </c>
      <c r="L1279" s="189" t="n">
        <v>0</v>
      </c>
      <c r="M1279" s="189" t="n">
        <v>9</v>
      </c>
      <c r="N1279" s="189" t="n"/>
      <c r="O1279" s="189">
        <f>SUM(J1279:N1279)</f>
        <v/>
      </c>
      <c r="P1279" s="190">
        <f>O1279/IF(H1279="L",20,IF(H1279="U",30,IF(H1279="O",40,IF(H1279="I",20,""))))</f>
        <v/>
      </c>
      <c r="Q1279" s="190">
        <f>IF(AND(H1279="L", P1279&gt;=50%), "Pass", IF(AND(H1279="U", P1279&gt;=60%), "Pass", IF(AND(H1279="O", P1279&gt;=75%), "Pass", "Fail")))</f>
        <v/>
      </c>
      <c r="R1279" s="189" t="n"/>
      <c r="S1279" s="189" t="n">
        <v>15</v>
      </c>
      <c r="T1279" s="189" t="n">
        <v>15</v>
      </c>
      <c r="U1279" s="189">
        <f>SUM(S1279:T1279)</f>
        <v/>
      </c>
      <c r="V1279" s="190">
        <f>U1279/IF(H1279="L",35,IF(H1279="U",35,IF(H1279="O",35,IF(H1279="I",35,""))))</f>
        <v/>
      </c>
      <c r="W1279" s="190">
        <f>IF(AND(H1279="L", V1279&gt;=50%), "Pass", IF(AND(H1279="U", V1279&gt;=60%), "Pass", IF(AND(H1279="O", V1279&gt;=75%), "Pass", "Fail")))</f>
        <v/>
      </c>
      <c r="X1279" s="190">
        <f>IF(AND(Q1279="Pass", W1279="Pass"), "Pass", "Fail")</f>
        <v/>
      </c>
      <c r="Y1279" s="191">
        <f>IF($X1279="Pass",$H1279, IF(H1279="L","I", IF(H1279="U","L", IF(H1279="O","U", "I"))))</f>
        <v/>
      </c>
      <c r="Z1279" s="182" t="n"/>
    </row>
    <row r="1280">
      <c r="A1280" s="185">
        <f>ROW()-2</f>
        <v/>
      </c>
      <c r="B1280" s="133" t="inlineStr">
        <is>
          <t>900343</t>
        </is>
      </c>
      <c r="C1280" s="148" t="inlineStr">
        <is>
          <t>U. KUTTY RAJA</t>
        </is>
      </c>
      <c r="D1280" s="133" t="inlineStr">
        <is>
          <t>QUALITY CONTROL</t>
        </is>
      </c>
      <c r="E1280" s="186" t="inlineStr">
        <is>
          <t>Final Finish QA</t>
        </is>
      </c>
      <c r="F1280" s="187" t="n">
        <v>41000</v>
      </c>
      <c r="G1280" s="188">
        <f>NOW()-F1280</f>
        <v/>
      </c>
      <c r="H1280" s="189" t="inlineStr">
        <is>
          <t>O</t>
        </is>
      </c>
      <c r="I1280" s="189" t="inlineStr">
        <is>
          <t>O</t>
        </is>
      </c>
      <c r="J1280" s="189" t="n">
        <v>10</v>
      </c>
      <c r="K1280" s="189" t="n">
        <v>17</v>
      </c>
      <c r="L1280" s="189" t="n">
        <v>0</v>
      </c>
      <c r="M1280" s="189" t="n">
        <v>9</v>
      </c>
      <c r="N1280" s="189" t="n"/>
      <c r="O1280" s="189">
        <f>SUM(J1280:N1280)</f>
        <v/>
      </c>
      <c r="P1280" s="190">
        <f>O1280/IF(H1280="L",20,IF(H1280="U",30,IF(H1280="O",40,IF(H1280="I",20,""))))</f>
        <v/>
      </c>
      <c r="Q1280" s="190">
        <f>IF(AND(H1280="L", P1280&gt;=50%), "Pass", IF(AND(H1280="U", P1280&gt;=60%), "Pass", IF(AND(H1280="O", P1280&gt;=75%), "Pass", "Fail")))</f>
        <v/>
      </c>
      <c r="R1280" s="189" t="n"/>
      <c r="S1280" s="189" t="n">
        <v>15</v>
      </c>
      <c r="T1280" s="189" t="n">
        <v>15</v>
      </c>
      <c r="U1280" s="189">
        <f>SUM(S1280:T1280)</f>
        <v/>
      </c>
      <c r="V1280" s="190">
        <f>U1280/IF(H1280="L",35,IF(H1280="U",35,IF(H1280="O",35,IF(H1280="I",35,""))))</f>
        <v/>
      </c>
      <c r="W1280" s="190">
        <f>IF(AND(H1280="L", V1280&gt;=50%), "Pass", IF(AND(H1280="U", V1280&gt;=60%), "Pass", IF(AND(H1280="O", V1280&gt;=75%), "Pass", "Fail")))</f>
        <v/>
      </c>
      <c r="X1280" s="190">
        <f>IF(AND(Q1280="Pass", W1280="Pass"), "Pass", "Fail")</f>
        <v/>
      </c>
      <c r="Y1280" s="191">
        <f>IF($X1280="Pass",$H1280, IF(H1280="L","I", IF(H1280="U","L", IF(H1280="O","U", "I"))))</f>
        <v/>
      </c>
      <c r="Z1280" s="182" t="n"/>
    </row>
    <row r="1281">
      <c r="A1281" s="185">
        <f>ROW()-2</f>
        <v/>
      </c>
      <c r="B1281" s="133" t="inlineStr">
        <is>
          <t>900459</t>
        </is>
      </c>
      <c r="C1281" s="148" t="inlineStr">
        <is>
          <t>M. MARIAPPAN</t>
        </is>
      </c>
      <c r="D1281" s="133" t="inlineStr">
        <is>
          <t>QUALITY CONTROL</t>
        </is>
      </c>
      <c r="E1281" s="186" t="inlineStr">
        <is>
          <t>Final Finish QA</t>
        </is>
      </c>
      <c r="F1281" s="187" t="n">
        <v>41000</v>
      </c>
      <c r="G1281" s="188">
        <f>NOW()-F1281</f>
        <v/>
      </c>
      <c r="H1281" s="189" t="inlineStr">
        <is>
          <t>O</t>
        </is>
      </c>
      <c r="I1281" s="189" t="inlineStr">
        <is>
          <t>O</t>
        </is>
      </c>
      <c r="J1281" s="189" t="n">
        <v>10</v>
      </c>
      <c r="K1281" s="189" t="n">
        <v>15</v>
      </c>
      <c r="L1281" s="189" t="n">
        <v>0</v>
      </c>
      <c r="M1281" s="189" t="n">
        <v>9</v>
      </c>
      <c r="N1281" s="189" t="n"/>
      <c r="O1281" s="189">
        <f>SUM(J1281:N1281)</f>
        <v/>
      </c>
      <c r="P1281" s="190">
        <f>O1281/IF(H1281="L",20,IF(H1281="U",30,IF(H1281="O",40,IF(H1281="I",20,""))))</f>
        <v/>
      </c>
      <c r="Q1281" s="190">
        <f>IF(AND(H1281="L", P1281&gt;=50%), "Pass", IF(AND(H1281="U", P1281&gt;=60%), "Pass", IF(AND(H1281="O", P1281&gt;=75%), "Pass", "Fail")))</f>
        <v/>
      </c>
      <c r="R1281" s="189" t="n"/>
      <c r="S1281" s="189" t="n">
        <v>15</v>
      </c>
      <c r="T1281" s="189" t="n">
        <v>15</v>
      </c>
      <c r="U1281" s="189">
        <f>SUM(S1281:T1281)</f>
        <v/>
      </c>
      <c r="V1281" s="190">
        <f>U1281/IF(H1281="L",35,IF(H1281="U",35,IF(H1281="O",35,IF(H1281="I",35,""))))</f>
        <v/>
      </c>
      <c r="W1281" s="190">
        <f>IF(AND(H1281="L", V1281&gt;=50%), "Pass", IF(AND(H1281="U", V1281&gt;=60%), "Pass", IF(AND(H1281="O", V1281&gt;=75%), "Pass", "Fail")))</f>
        <v/>
      </c>
      <c r="X1281" s="190">
        <f>IF(AND(Q1281="Pass", W1281="Pass"), "Pass", "Fail")</f>
        <v/>
      </c>
      <c r="Y1281" s="191">
        <f>IF($X1281="Pass",$H1281, IF(H1281="L","I", IF(H1281="U","L", IF(H1281="O","U", "I"))))</f>
        <v/>
      </c>
      <c r="Z1281" s="182" t="n"/>
    </row>
    <row r="1282">
      <c r="A1282" s="185">
        <f>ROW()-2</f>
        <v/>
      </c>
      <c r="B1282" s="133" t="inlineStr">
        <is>
          <t>900460</t>
        </is>
      </c>
      <c r="C1282" s="148" t="inlineStr">
        <is>
          <t>SELVA PANDI N</t>
        </is>
      </c>
      <c r="D1282" s="133" t="inlineStr">
        <is>
          <t>QUALITY CONTROL</t>
        </is>
      </c>
      <c r="E1282" s="186" t="inlineStr">
        <is>
          <t>Final Finish QA</t>
        </is>
      </c>
      <c r="F1282" s="187" t="n">
        <v>41000</v>
      </c>
      <c r="G1282" s="188">
        <f>NOW()-F1282</f>
        <v/>
      </c>
      <c r="H1282" s="189" t="inlineStr">
        <is>
          <t>O</t>
        </is>
      </c>
      <c r="I1282" s="189" t="inlineStr">
        <is>
          <t>O</t>
        </is>
      </c>
      <c r="J1282" s="189" t="n">
        <v>10</v>
      </c>
      <c r="K1282" s="189" t="n">
        <v>15</v>
      </c>
      <c r="L1282" s="189" t="n">
        <v>0</v>
      </c>
      <c r="M1282" s="189" t="n">
        <v>9</v>
      </c>
      <c r="N1282" s="189" t="n"/>
      <c r="O1282" s="189">
        <f>SUM(J1282:N1282)</f>
        <v/>
      </c>
      <c r="P1282" s="190">
        <f>O1282/IF(H1282="L",20,IF(H1282="U",30,IF(H1282="O",40,IF(H1282="I",20,""))))</f>
        <v/>
      </c>
      <c r="Q1282" s="190">
        <f>IF(AND(H1282="L", P1282&gt;=50%), "Pass", IF(AND(H1282="U", P1282&gt;=60%), "Pass", IF(AND(H1282="O", P1282&gt;=75%), "Pass", "Fail")))</f>
        <v/>
      </c>
      <c r="R1282" s="189" t="n"/>
      <c r="S1282" s="189" t="n">
        <v>15</v>
      </c>
      <c r="T1282" s="189" t="n">
        <v>15</v>
      </c>
      <c r="U1282" s="189">
        <f>SUM(S1282:T1282)</f>
        <v/>
      </c>
      <c r="V1282" s="190">
        <f>U1282/IF(H1282="L",35,IF(H1282="U",35,IF(H1282="O",35,IF(H1282="I",35,""))))</f>
        <v/>
      </c>
      <c r="W1282" s="190">
        <f>IF(AND(H1282="L", V1282&gt;=50%), "Pass", IF(AND(H1282="U", V1282&gt;=60%), "Pass", IF(AND(H1282="O", V1282&gt;=75%), "Pass", "Fail")))</f>
        <v/>
      </c>
      <c r="X1282" s="190">
        <f>IF(AND(Q1282="Pass", W1282="Pass"), "Pass", "Fail")</f>
        <v/>
      </c>
      <c r="Y1282" s="191">
        <f>IF($X1282="Pass",$H1282, IF(H1282="L","I", IF(H1282="U","L", IF(H1282="O","U", "I"))))</f>
        <v/>
      </c>
      <c r="Z1282" s="182" t="n"/>
    </row>
    <row r="1283">
      <c r="A1283" s="185">
        <f>ROW()-2</f>
        <v/>
      </c>
      <c r="B1283" s="133" t="inlineStr">
        <is>
          <t>900542</t>
        </is>
      </c>
      <c r="C1283" s="148" t="inlineStr">
        <is>
          <t>M. VASANTH</t>
        </is>
      </c>
      <c r="D1283" s="133" t="inlineStr">
        <is>
          <t>QUALITY CONTROL</t>
        </is>
      </c>
      <c r="E1283" s="186" t="inlineStr">
        <is>
          <t>Final Finish QA</t>
        </is>
      </c>
      <c r="F1283" s="187" t="n">
        <v>41365</v>
      </c>
      <c r="G1283" s="188">
        <f>NOW()-F1283</f>
        <v/>
      </c>
      <c r="H1283" s="189" t="inlineStr">
        <is>
          <t>O</t>
        </is>
      </c>
      <c r="I1283" s="189" t="inlineStr">
        <is>
          <t>O</t>
        </is>
      </c>
      <c r="J1283" s="189" t="n">
        <v>10</v>
      </c>
      <c r="K1283" s="189" t="n">
        <v>16</v>
      </c>
      <c r="L1283" s="189" t="n">
        <v>0</v>
      </c>
      <c r="M1283" s="189" t="n">
        <v>9</v>
      </c>
      <c r="N1283" s="189" t="n"/>
      <c r="O1283" s="189">
        <f>SUM(J1283:N1283)</f>
        <v/>
      </c>
      <c r="P1283" s="190">
        <f>O1283/IF(H1283="L",20,IF(H1283="U",30,IF(H1283="O",40,IF(H1283="I",20,""))))</f>
        <v/>
      </c>
      <c r="Q1283" s="190">
        <f>IF(AND(H1283="L", P1283&gt;=50%), "Pass", IF(AND(H1283="U", P1283&gt;=60%), "Pass", IF(AND(H1283="O", P1283&gt;=75%), "Pass", "Fail")))</f>
        <v/>
      </c>
      <c r="R1283" s="189" t="n"/>
      <c r="S1283" s="189" t="n">
        <v>15</v>
      </c>
      <c r="T1283" s="189" t="n">
        <v>15</v>
      </c>
      <c r="U1283" s="189">
        <f>SUM(S1283:T1283)</f>
        <v/>
      </c>
      <c r="V1283" s="190">
        <f>U1283/IF(H1283="L",35,IF(H1283="U",35,IF(H1283="O",35,IF(H1283="I",35,""))))</f>
        <v/>
      </c>
      <c r="W1283" s="190">
        <f>IF(AND(H1283="L", V1283&gt;=50%), "Pass", IF(AND(H1283="U", V1283&gt;=60%), "Pass", IF(AND(H1283="O", V1283&gt;=75%), "Pass", "Fail")))</f>
        <v/>
      </c>
      <c r="X1283" s="190">
        <f>IF(AND(Q1283="Pass", W1283="Pass"), "Pass", "Fail")</f>
        <v/>
      </c>
      <c r="Y1283" s="191">
        <f>IF($X1283="Pass",$H1283, IF(H1283="L","I", IF(H1283="U","L", IF(H1283="O","U", "I"))))</f>
        <v/>
      </c>
      <c r="Z1283" s="182" t="n"/>
    </row>
    <row r="1284">
      <c r="A1284" s="185">
        <f>ROW()-2</f>
        <v/>
      </c>
      <c r="B1284" s="133" t="inlineStr">
        <is>
          <t>900544</t>
        </is>
      </c>
      <c r="C1284" s="148" t="inlineStr">
        <is>
          <t>A. MURUGANANTHAM</t>
        </is>
      </c>
      <c r="D1284" s="133" t="inlineStr">
        <is>
          <t>QUALITY CONTROL</t>
        </is>
      </c>
      <c r="E1284" s="186" t="inlineStr">
        <is>
          <t>Final Finish QA</t>
        </is>
      </c>
      <c r="F1284" s="187" t="n">
        <v>41365</v>
      </c>
      <c r="G1284" s="188">
        <f>NOW()-F1284</f>
        <v/>
      </c>
      <c r="H1284" s="189" t="inlineStr">
        <is>
          <t>O</t>
        </is>
      </c>
      <c r="I1284" s="189" t="inlineStr">
        <is>
          <t>O</t>
        </is>
      </c>
      <c r="J1284" s="189" t="n">
        <v>10</v>
      </c>
      <c r="K1284" s="189" t="n">
        <v>17</v>
      </c>
      <c r="L1284" s="189" t="n">
        <v>0</v>
      </c>
      <c r="M1284" s="189" t="n">
        <v>9</v>
      </c>
      <c r="N1284" s="189" t="n"/>
      <c r="O1284" s="189">
        <f>SUM(J1284:N1284)</f>
        <v/>
      </c>
      <c r="P1284" s="190">
        <f>O1284/IF(H1284="L",20,IF(H1284="U",30,IF(H1284="O",40,IF(H1284="I",20,""))))</f>
        <v/>
      </c>
      <c r="Q1284" s="190">
        <f>IF(AND(H1284="L", P1284&gt;=50%), "Pass", IF(AND(H1284="U", P1284&gt;=60%), "Pass", IF(AND(H1284="O", P1284&gt;=75%), "Pass", "Fail")))</f>
        <v/>
      </c>
      <c r="R1284" s="189" t="n"/>
      <c r="S1284" s="189" t="n">
        <v>15</v>
      </c>
      <c r="T1284" s="189" t="n">
        <v>15</v>
      </c>
      <c r="U1284" s="189">
        <f>SUM(S1284:T1284)</f>
        <v/>
      </c>
      <c r="V1284" s="190">
        <f>U1284/IF(H1284="L",35,IF(H1284="U",35,IF(H1284="O",35,IF(H1284="I",35,""))))</f>
        <v/>
      </c>
      <c r="W1284" s="190">
        <f>IF(AND(H1284="L", V1284&gt;=50%), "Pass", IF(AND(H1284="U", V1284&gt;=60%), "Pass", IF(AND(H1284="O", V1284&gt;=75%), "Pass", "Fail")))</f>
        <v/>
      </c>
      <c r="X1284" s="190">
        <f>IF(AND(Q1284="Pass", W1284="Pass"), "Pass", "Fail")</f>
        <v/>
      </c>
      <c r="Y1284" s="191">
        <f>IF($X1284="Pass",$H1284, IF(H1284="L","I", IF(H1284="U","L", IF(H1284="O","U", "I"))))</f>
        <v/>
      </c>
      <c r="Z1284" s="182" t="n"/>
    </row>
    <row r="1285">
      <c r="A1285" s="185">
        <f>ROW()-2</f>
        <v/>
      </c>
      <c r="B1285" s="133" t="inlineStr">
        <is>
          <t>900545</t>
        </is>
      </c>
      <c r="C1285" s="148" t="inlineStr">
        <is>
          <t>J. ARUL KUMAR</t>
        </is>
      </c>
      <c r="D1285" s="133" t="inlineStr">
        <is>
          <t>QUALITY CONTROL</t>
        </is>
      </c>
      <c r="E1285" s="186" t="inlineStr">
        <is>
          <t>Final Finish QA</t>
        </is>
      </c>
      <c r="F1285" s="187" t="n">
        <v>41365</v>
      </c>
      <c r="G1285" s="188">
        <f>NOW()-F1285</f>
        <v/>
      </c>
      <c r="H1285" s="189" t="inlineStr">
        <is>
          <t>O</t>
        </is>
      </c>
      <c r="I1285" s="189" t="inlineStr">
        <is>
          <t>O</t>
        </is>
      </c>
      <c r="J1285" s="189" t="n">
        <v>10</v>
      </c>
      <c r="K1285" s="189" t="n">
        <v>17</v>
      </c>
      <c r="L1285" s="189" t="n">
        <v>0</v>
      </c>
      <c r="M1285" s="189" t="n">
        <v>9</v>
      </c>
      <c r="N1285" s="189" t="n"/>
      <c r="O1285" s="189">
        <f>SUM(J1285:N1285)</f>
        <v/>
      </c>
      <c r="P1285" s="190">
        <f>O1285/IF(H1285="L",20,IF(H1285="U",30,IF(H1285="O",40,IF(H1285="I",20,""))))</f>
        <v/>
      </c>
      <c r="Q1285" s="190">
        <f>IF(AND(H1285="L", P1285&gt;=50%), "Pass", IF(AND(H1285="U", P1285&gt;=60%), "Pass", IF(AND(H1285="O", P1285&gt;=75%), "Pass", "Fail")))</f>
        <v/>
      </c>
      <c r="R1285" s="189" t="n"/>
      <c r="S1285" s="189" t="n">
        <v>15</v>
      </c>
      <c r="T1285" s="189" t="n">
        <v>15</v>
      </c>
      <c r="U1285" s="189">
        <f>SUM(S1285:T1285)</f>
        <v/>
      </c>
      <c r="V1285" s="190">
        <f>U1285/IF(H1285="L",35,IF(H1285="U",35,IF(H1285="O",35,IF(H1285="I",35,""))))</f>
        <v/>
      </c>
      <c r="W1285" s="190">
        <f>IF(AND(H1285="L", V1285&gt;=50%), "Pass", IF(AND(H1285="U", V1285&gt;=60%), "Pass", IF(AND(H1285="O", V1285&gt;=75%), "Pass", "Fail")))</f>
        <v/>
      </c>
      <c r="X1285" s="190">
        <f>IF(AND(Q1285="Pass", W1285="Pass"), "Pass", "Fail")</f>
        <v/>
      </c>
      <c r="Y1285" s="191">
        <f>IF($X1285="Pass",$H1285, IF(H1285="L","I", IF(H1285="U","L", IF(H1285="O","U", "I"))))</f>
        <v/>
      </c>
      <c r="Z1285" s="182" t="n"/>
    </row>
    <row r="1286">
      <c r="A1286" s="185">
        <f>ROW()-2</f>
        <v/>
      </c>
      <c r="B1286" s="133" t="inlineStr">
        <is>
          <t>900546</t>
        </is>
      </c>
      <c r="C1286" s="148" t="inlineStr">
        <is>
          <t>T. THINESH KUMAR</t>
        </is>
      </c>
      <c r="D1286" s="133" t="inlineStr">
        <is>
          <t>QUALITY CONTROL</t>
        </is>
      </c>
      <c r="E1286" s="186" t="inlineStr">
        <is>
          <t>Final Finish QA</t>
        </is>
      </c>
      <c r="F1286" s="187" t="n">
        <v>41365</v>
      </c>
      <c r="G1286" s="188">
        <f>NOW()-F1286</f>
        <v/>
      </c>
      <c r="H1286" s="189" t="inlineStr">
        <is>
          <t>O</t>
        </is>
      </c>
      <c r="I1286" s="189" t="inlineStr">
        <is>
          <t>O</t>
        </is>
      </c>
      <c r="J1286" s="189" t="n">
        <v>10</v>
      </c>
      <c r="K1286" s="189" t="n">
        <v>17</v>
      </c>
      <c r="L1286" s="189" t="n">
        <v>0</v>
      </c>
      <c r="M1286" s="189" t="n">
        <v>9</v>
      </c>
      <c r="N1286" s="189" t="n"/>
      <c r="O1286" s="189">
        <f>SUM(J1286:N1286)</f>
        <v/>
      </c>
      <c r="P1286" s="190">
        <f>O1286/IF(H1286="L",20,IF(H1286="U",30,IF(H1286="O",40,IF(H1286="I",20,""))))</f>
        <v/>
      </c>
      <c r="Q1286" s="190">
        <f>IF(AND(H1286="L", P1286&gt;=50%), "Pass", IF(AND(H1286="U", P1286&gt;=60%), "Pass", IF(AND(H1286="O", P1286&gt;=75%), "Pass", "Fail")))</f>
        <v/>
      </c>
      <c r="R1286" s="189" t="n"/>
      <c r="S1286" s="189" t="n">
        <v>15</v>
      </c>
      <c r="T1286" s="189" t="n">
        <v>15</v>
      </c>
      <c r="U1286" s="189">
        <f>SUM(S1286:T1286)</f>
        <v/>
      </c>
      <c r="V1286" s="190">
        <f>U1286/IF(H1286="L",35,IF(H1286="U",35,IF(H1286="O",35,IF(H1286="I",35,""))))</f>
        <v/>
      </c>
      <c r="W1286" s="190">
        <f>IF(AND(H1286="L", V1286&gt;=50%), "Pass", IF(AND(H1286="U", V1286&gt;=60%), "Pass", IF(AND(H1286="O", V1286&gt;=75%), "Pass", "Fail")))</f>
        <v/>
      </c>
      <c r="X1286" s="190">
        <f>IF(AND(Q1286="Pass", W1286="Pass"), "Pass", "Fail")</f>
        <v/>
      </c>
      <c r="Y1286" s="191">
        <f>IF($X1286="Pass",$H1286, IF(H1286="L","I", IF(H1286="U","L", IF(H1286="O","U", "I"))))</f>
        <v/>
      </c>
      <c r="Z1286" s="182" t="n"/>
    </row>
    <row r="1287">
      <c r="A1287" s="185">
        <f>ROW()-2</f>
        <v/>
      </c>
      <c r="B1287" s="133" t="inlineStr">
        <is>
          <t>900547</t>
        </is>
      </c>
      <c r="C1287" s="148" t="inlineStr">
        <is>
          <t>V. SUNDAR</t>
        </is>
      </c>
      <c r="D1287" s="133" t="inlineStr">
        <is>
          <t>QUALITY CONTROL</t>
        </is>
      </c>
      <c r="E1287" s="186" t="inlineStr">
        <is>
          <t>Final Finish QA</t>
        </is>
      </c>
      <c r="F1287" s="187" t="n">
        <v>41365</v>
      </c>
      <c r="G1287" s="188">
        <f>NOW()-F1287</f>
        <v/>
      </c>
      <c r="H1287" s="189" t="inlineStr">
        <is>
          <t>O</t>
        </is>
      </c>
      <c r="I1287" s="189" t="inlineStr">
        <is>
          <t>O</t>
        </is>
      </c>
      <c r="J1287" s="189" t="n">
        <v>10</v>
      </c>
      <c r="K1287" s="189" t="n">
        <v>18</v>
      </c>
      <c r="L1287" s="189" t="n">
        <v>0</v>
      </c>
      <c r="M1287" s="189" t="n">
        <v>9</v>
      </c>
      <c r="N1287" s="189" t="n"/>
      <c r="O1287" s="189">
        <f>SUM(J1287:N1287)</f>
        <v/>
      </c>
      <c r="P1287" s="190">
        <f>O1287/IF(H1287="L",20,IF(H1287="U",30,IF(H1287="O",40,IF(H1287="I",20,""))))</f>
        <v/>
      </c>
      <c r="Q1287" s="190">
        <f>IF(AND(H1287="L", P1287&gt;=50%), "Pass", IF(AND(H1287="U", P1287&gt;=60%), "Pass", IF(AND(H1287="O", P1287&gt;=75%), "Pass", "Fail")))</f>
        <v/>
      </c>
      <c r="R1287" s="189" t="n"/>
      <c r="S1287" s="189" t="n">
        <v>15</v>
      </c>
      <c r="T1287" s="189" t="n">
        <v>15</v>
      </c>
      <c r="U1287" s="189">
        <f>SUM(S1287:T1287)</f>
        <v/>
      </c>
      <c r="V1287" s="190">
        <f>U1287/IF(H1287="L",35,IF(H1287="U",35,IF(H1287="O",35,IF(H1287="I",35,""))))</f>
        <v/>
      </c>
      <c r="W1287" s="190">
        <f>IF(AND(H1287="L", V1287&gt;=50%), "Pass", IF(AND(H1287="U", V1287&gt;=60%), "Pass", IF(AND(H1287="O", V1287&gt;=75%), "Pass", "Fail")))</f>
        <v/>
      </c>
      <c r="X1287" s="190">
        <f>IF(AND(Q1287="Pass", W1287="Pass"), "Pass", "Fail")</f>
        <v/>
      </c>
      <c r="Y1287" s="191">
        <f>IF($X1287="Pass",$H1287, IF(H1287="L","I", IF(H1287="U","L", IF(H1287="O","U", "I"))))</f>
        <v/>
      </c>
      <c r="Z1287" s="182" t="n"/>
    </row>
    <row r="1288">
      <c r="A1288" s="185">
        <f>ROW()-2</f>
        <v/>
      </c>
      <c r="B1288" s="133" t="inlineStr">
        <is>
          <t>900548</t>
        </is>
      </c>
      <c r="C1288" s="148" t="inlineStr">
        <is>
          <t>C. SUDALAI MUTHU</t>
        </is>
      </c>
      <c r="D1288" s="133" t="inlineStr">
        <is>
          <t>QUALITY CONTROL</t>
        </is>
      </c>
      <c r="E1288" s="186" t="inlineStr">
        <is>
          <t>Final Finish QA</t>
        </is>
      </c>
      <c r="F1288" s="187" t="n">
        <v>41365</v>
      </c>
      <c r="G1288" s="188">
        <f>NOW()-F1288</f>
        <v/>
      </c>
      <c r="H1288" s="189" t="inlineStr">
        <is>
          <t>O</t>
        </is>
      </c>
      <c r="I1288" s="189" t="inlineStr">
        <is>
          <t>O</t>
        </is>
      </c>
      <c r="J1288" s="189" t="n">
        <v>10</v>
      </c>
      <c r="K1288" s="189" t="n">
        <v>18</v>
      </c>
      <c r="L1288" s="189" t="n">
        <v>0</v>
      </c>
      <c r="M1288" s="189" t="n">
        <v>9</v>
      </c>
      <c r="N1288" s="189" t="n"/>
      <c r="O1288" s="189">
        <f>SUM(J1288:N1288)</f>
        <v/>
      </c>
      <c r="P1288" s="190">
        <f>O1288/IF(H1288="L",20,IF(H1288="U",30,IF(H1288="O",40,IF(H1288="I",20,""))))</f>
        <v/>
      </c>
      <c r="Q1288" s="190">
        <f>IF(AND(H1288="L", P1288&gt;=50%), "Pass", IF(AND(H1288="U", P1288&gt;=60%), "Pass", IF(AND(H1288="O", P1288&gt;=75%), "Pass", "Fail")))</f>
        <v/>
      </c>
      <c r="R1288" s="189" t="n"/>
      <c r="S1288" s="189" t="n">
        <v>15</v>
      </c>
      <c r="T1288" s="189" t="n">
        <v>15</v>
      </c>
      <c r="U1288" s="189">
        <f>SUM(S1288:T1288)</f>
        <v/>
      </c>
      <c r="V1288" s="190">
        <f>U1288/IF(H1288="L",35,IF(H1288="U",35,IF(H1288="O",35,IF(H1288="I",35,""))))</f>
        <v/>
      </c>
      <c r="W1288" s="190">
        <f>IF(AND(H1288="L", V1288&gt;=50%), "Pass", IF(AND(H1288="U", V1288&gt;=60%), "Pass", IF(AND(H1288="O", V1288&gt;=75%), "Pass", "Fail")))</f>
        <v/>
      </c>
      <c r="X1288" s="190">
        <f>IF(AND(Q1288="Pass", W1288="Pass"), "Pass", "Fail")</f>
        <v/>
      </c>
      <c r="Y1288" s="191">
        <f>IF($X1288="Pass",$H1288, IF(H1288="L","I", IF(H1288="U","L", IF(H1288="O","U", "I"))))</f>
        <v/>
      </c>
      <c r="Z1288" s="182" t="n"/>
    </row>
    <row r="1289">
      <c r="A1289" s="185">
        <f>ROW()-2</f>
        <v/>
      </c>
      <c r="B1289" s="133" t="inlineStr">
        <is>
          <t>900549</t>
        </is>
      </c>
      <c r="C1289" s="148" t="inlineStr">
        <is>
          <t>A. MUNDA SAMY</t>
        </is>
      </c>
      <c r="D1289" s="133" t="inlineStr">
        <is>
          <t>QUALITY CONTROL</t>
        </is>
      </c>
      <c r="E1289" s="186" t="inlineStr">
        <is>
          <t>Final Finish QA</t>
        </is>
      </c>
      <c r="F1289" s="187" t="n">
        <v>41365</v>
      </c>
      <c r="G1289" s="188">
        <f>NOW()-F1289</f>
        <v/>
      </c>
      <c r="H1289" s="189" t="inlineStr">
        <is>
          <t>O</t>
        </is>
      </c>
      <c r="I1289" s="189" t="inlineStr">
        <is>
          <t>O</t>
        </is>
      </c>
      <c r="J1289" s="189" t="n">
        <v>10</v>
      </c>
      <c r="K1289" s="189" t="n">
        <v>19</v>
      </c>
      <c r="L1289" s="189" t="n">
        <v>0</v>
      </c>
      <c r="M1289" s="189" t="n">
        <v>9</v>
      </c>
      <c r="N1289" s="189" t="n"/>
      <c r="O1289" s="189">
        <f>SUM(J1289:N1289)</f>
        <v/>
      </c>
      <c r="P1289" s="190">
        <f>O1289/IF(H1289="L",20,IF(H1289="U",30,IF(H1289="O",40,IF(H1289="I",20,""))))</f>
        <v/>
      </c>
      <c r="Q1289" s="190">
        <f>IF(AND(H1289="L", P1289&gt;=50%), "Pass", IF(AND(H1289="U", P1289&gt;=60%), "Pass", IF(AND(H1289="O", P1289&gt;=75%), "Pass", "Fail")))</f>
        <v/>
      </c>
      <c r="R1289" s="189" t="n"/>
      <c r="S1289" s="189" t="n">
        <v>15</v>
      </c>
      <c r="T1289" s="189" t="n">
        <v>15</v>
      </c>
      <c r="U1289" s="189">
        <f>SUM(S1289:T1289)</f>
        <v/>
      </c>
      <c r="V1289" s="190">
        <f>U1289/IF(H1289="L",35,IF(H1289="U",35,IF(H1289="O",35,IF(H1289="I",35,""))))</f>
        <v/>
      </c>
      <c r="W1289" s="190">
        <f>IF(AND(H1289="L", V1289&gt;=50%), "Pass", IF(AND(H1289="U", V1289&gt;=60%), "Pass", IF(AND(H1289="O", V1289&gt;=75%), "Pass", "Fail")))</f>
        <v/>
      </c>
      <c r="X1289" s="190">
        <f>IF(AND(Q1289="Pass", W1289="Pass"), "Pass", "Fail")</f>
        <v/>
      </c>
      <c r="Y1289" s="191">
        <f>IF($X1289="Pass",$H1289, IF(H1289="L","I", IF(H1289="U","L", IF(H1289="O","U", "I"))))</f>
        <v/>
      </c>
      <c r="Z1289" s="182" t="n"/>
    </row>
    <row r="1290">
      <c r="A1290" s="185">
        <f>ROW()-2</f>
        <v/>
      </c>
      <c r="B1290" s="133" t="inlineStr">
        <is>
          <t>900550</t>
        </is>
      </c>
      <c r="C1290" s="148" t="inlineStr">
        <is>
          <t>S. VEMPAN</t>
        </is>
      </c>
      <c r="D1290" s="133" t="inlineStr">
        <is>
          <t>QUALITY CONTROL</t>
        </is>
      </c>
      <c r="E1290" s="186" t="inlineStr">
        <is>
          <t>Final Finish QA</t>
        </is>
      </c>
      <c r="F1290" s="187" t="n">
        <v>41365</v>
      </c>
      <c r="G1290" s="188">
        <f>NOW()-F1290</f>
        <v/>
      </c>
      <c r="H1290" s="189" t="inlineStr">
        <is>
          <t>O</t>
        </is>
      </c>
      <c r="I1290" s="189" t="inlineStr">
        <is>
          <t>O</t>
        </is>
      </c>
      <c r="J1290" s="189" t="n">
        <v>10</v>
      </c>
      <c r="K1290" s="189" t="n">
        <v>15</v>
      </c>
      <c r="L1290" s="189" t="n">
        <v>0</v>
      </c>
      <c r="M1290" s="189" t="n">
        <v>9</v>
      </c>
      <c r="N1290" s="189" t="n"/>
      <c r="O1290" s="189">
        <f>SUM(J1290:N1290)</f>
        <v/>
      </c>
      <c r="P1290" s="190">
        <f>O1290/IF(H1290="L",20,IF(H1290="U",30,IF(H1290="O",40,IF(H1290="I",20,""))))</f>
        <v/>
      </c>
      <c r="Q1290" s="190">
        <f>IF(AND(H1290="L", P1290&gt;=50%), "Pass", IF(AND(H1290="U", P1290&gt;=60%), "Pass", IF(AND(H1290="O", P1290&gt;=75%), "Pass", "Fail")))</f>
        <v/>
      </c>
      <c r="R1290" s="189" t="n"/>
      <c r="S1290" s="189" t="n">
        <v>15</v>
      </c>
      <c r="T1290" s="189" t="n">
        <v>15</v>
      </c>
      <c r="U1290" s="189">
        <f>SUM(S1290:T1290)</f>
        <v/>
      </c>
      <c r="V1290" s="190">
        <f>U1290/IF(H1290="L",35,IF(H1290="U",35,IF(H1290="O",35,IF(H1290="I",35,""))))</f>
        <v/>
      </c>
      <c r="W1290" s="190">
        <f>IF(AND(H1290="L", V1290&gt;=50%), "Pass", IF(AND(H1290="U", V1290&gt;=60%), "Pass", IF(AND(H1290="O", V1290&gt;=75%), "Pass", "Fail")))</f>
        <v/>
      </c>
      <c r="X1290" s="190">
        <f>IF(AND(Q1290="Pass", W1290="Pass"), "Pass", "Fail")</f>
        <v/>
      </c>
      <c r="Y1290" s="191">
        <f>IF($X1290="Pass",$H1290, IF(H1290="L","I", IF(H1290="U","L", IF(H1290="O","U", "I"))))</f>
        <v/>
      </c>
      <c r="Z1290" s="182" t="n"/>
    </row>
    <row r="1291">
      <c r="A1291" s="185">
        <f>ROW()-2</f>
        <v/>
      </c>
      <c r="B1291" s="133" t="inlineStr">
        <is>
          <t>900551</t>
        </is>
      </c>
      <c r="C1291" s="148" t="inlineStr">
        <is>
          <t>A. MAHA RAJAN</t>
        </is>
      </c>
      <c r="D1291" s="133" t="inlineStr">
        <is>
          <t>QUALITY CONTROL</t>
        </is>
      </c>
      <c r="E1291" s="186" t="inlineStr">
        <is>
          <t>Final Finish QA</t>
        </is>
      </c>
      <c r="F1291" s="187" t="n">
        <v>41365</v>
      </c>
      <c r="G1291" s="188">
        <f>NOW()-F1291</f>
        <v/>
      </c>
      <c r="H1291" s="189" t="inlineStr">
        <is>
          <t>O</t>
        </is>
      </c>
      <c r="I1291" s="189" t="inlineStr">
        <is>
          <t>O</t>
        </is>
      </c>
      <c r="J1291" s="189" t="n">
        <v>10</v>
      </c>
      <c r="K1291" s="189" t="n">
        <v>15</v>
      </c>
      <c r="L1291" s="189" t="n">
        <v>0</v>
      </c>
      <c r="M1291" s="189" t="n">
        <v>9</v>
      </c>
      <c r="N1291" s="189" t="n"/>
      <c r="O1291" s="189">
        <f>SUM(J1291:N1291)</f>
        <v/>
      </c>
      <c r="P1291" s="190">
        <f>O1291/IF(H1291="L",20,IF(H1291="U",30,IF(H1291="O",40,IF(H1291="I",20,""))))</f>
        <v/>
      </c>
      <c r="Q1291" s="190">
        <f>IF(AND(H1291="L", P1291&gt;=50%), "Pass", IF(AND(H1291="U", P1291&gt;=60%), "Pass", IF(AND(H1291="O", P1291&gt;=75%), "Pass", "Fail")))</f>
        <v/>
      </c>
      <c r="R1291" s="189" t="n"/>
      <c r="S1291" s="189" t="n">
        <v>15</v>
      </c>
      <c r="T1291" s="189" t="n">
        <v>15</v>
      </c>
      <c r="U1291" s="189">
        <f>SUM(S1291:T1291)</f>
        <v/>
      </c>
      <c r="V1291" s="190">
        <f>U1291/IF(H1291="L",35,IF(H1291="U",35,IF(H1291="O",35,IF(H1291="I",35,""))))</f>
        <v/>
      </c>
      <c r="W1291" s="190">
        <f>IF(AND(H1291="L", V1291&gt;=50%), "Pass", IF(AND(H1291="U", V1291&gt;=60%), "Pass", IF(AND(H1291="O", V1291&gt;=75%), "Pass", "Fail")))</f>
        <v/>
      </c>
      <c r="X1291" s="190">
        <f>IF(AND(Q1291="Pass", W1291="Pass"), "Pass", "Fail")</f>
        <v/>
      </c>
      <c r="Y1291" s="191">
        <f>IF($X1291="Pass",$H1291, IF(H1291="L","I", IF(H1291="U","L", IF(H1291="O","U", "I"))))</f>
        <v/>
      </c>
      <c r="Z1291" s="182" t="n"/>
    </row>
    <row r="1292">
      <c r="A1292" s="185">
        <f>ROW()-2</f>
        <v/>
      </c>
      <c r="B1292" s="133" t="inlineStr">
        <is>
          <t>900552</t>
        </is>
      </c>
      <c r="C1292" s="148" t="inlineStr">
        <is>
          <t>K. POOVA LINGAM</t>
        </is>
      </c>
      <c r="D1292" s="133" t="inlineStr">
        <is>
          <t>QUALITY CONTROL</t>
        </is>
      </c>
      <c r="E1292" s="186" t="inlineStr">
        <is>
          <t>Final Finish QA</t>
        </is>
      </c>
      <c r="F1292" s="187" t="n">
        <v>41365</v>
      </c>
      <c r="G1292" s="188">
        <f>NOW()-F1292</f>
        <v/>
      </c>
      <c r="H1292" s="189" t="inlineStr">
        <is>
          <t>O</t>
        </is>
      </c>
      <c r="I1292" s="189" t="inlineStr">
        <is>
          <t>O</t>
        </is>
      </c>
      <c r="J1292" s="189" t="n">
        <v>10</v>
      </c>
      <c r="K1292" s="189" t="n">
        <v>16</v>
      </c>
      <c r="L1292" s="189" t="n">
        <v>0</v>
      </c>
      <c r="M1292" s="189" t="n">
        <v>9</v>
      </c>
      <c r="N1292" s="189" t="n"/>
      <c r="O1292" s="189">
        <f>SUM(J1292:N1292)</f>
        <v/>
      </c>
      <c r="P1292" s="190">
        <f>O1292/IF(H1292="L",20,IF(H1292="U",30,IF(H1292="O",40,IF(H1292="I",20,""))))</f>
        <v/>
      </c>
      <c r="Q1292" s="190">
        <f>IF(AND(H1292="L", P1292&gt;=50%), "Pass", IF(AND(H1292="U", P1292&gt;=60%), "Pass", IF(AND(H1292="O", P1292&gt;=75%), "Pass", "Fail")))</f>
        <v/>
      </c>
      <c r="R1292" s="189" t="n"/>
      <c r="S1292" s="189" t="n">
        <v>15</v>
      </c>
      <c r="T1292" s="189" t="n">
        <v>15</v>
      </c>
      <c r="U1292" s="189">
        <f>SUM(S1292:T1292)</f>
        <v/>
      </c>
      <c r="V1292" s="190">
        <f>U1292/IF(H1292="L",35,IF(H1292="U",35,IF(H1292="O",35,IF(H1292="I",35,""))))</f>
        <v/>
      </c>
      <c r="W1292" s="190">
        <f>IF(AND(H1292="L", V1292&gt;=50%), "Pass", IF(AND(H1292="U", V1292&gt;=60%), "Pass", IF(AND(H1292="O", V1292&gt;=75%), "Pass", "Fail")))</f>
        <v/>
      </c>
      <c r="X1292" s="190">
        <f>IF(AND(Q1292="Pass", W1292="Pass"), "Pass", "Fail")</f>
        <v/>
      </c>
      <c r="Y1292" s="191">
        <f>IF($X1292="Pass",$H1292, IF(H1292="L","I", IF(H1292="U","L", IF(H1292="O","U", "I"))))</f>
        <v/>
      </c>
      <c r="Z1292" s="182" t="n"/>
    </row>
    <row r="1293">
      <c r="A1293" s="185">
        <f>ROW()-2</f>
        <v/>
      </c>
      <c r="B1293" s="133" t="inlineStr">
        <is>
          <t>900553</t>
        </is>
      </c>
      <c r="C1293" s="148" t="inlineStr">
        <is>
          <t>C. VEMPAN</t>
        </is>
      </c>
      <c r="D1293" s="133" t="inlineStr">
        <is>
          <t>QUALITY CONTROL</t>
        </is>
      </c>
      <c r="E1293" s="186" t="inlineStr">
        <is>
          <t>Final Finish QA</t>
        </is>
      </c>
      <c r="F1293" s="187" t="n">
        <v>41365</v>
      </c>
      <c r="G1293" s="188">
        <f>NOW()-F1293</f>
        <v/>
      </c>
      <c r="H1293" s="189" t="inlineStr">
        <is>
          <t>O</t>
        </is>
      </c>
      <c r="I1293" s="189" t="inlineStr">
        <is>
          <t>O</t>
        </is>
      </c>
      <c r="J1293" s="189" t="n">
        <v>10</v>
      </c>
      <c r="K1293" s="189" t="n">
        <v>16</v>
      </c>
      <c r="L1293" s="189" t="n">
        <v>0</v>
      </c>
      <c r="M1293" s="189" t="n">
        <v>9</v>
      </c>
      <c r="N1293" s="189" t="n"/>
      <c r="O1293" s="189">
        <f>SUM(J1293:N1293)</f>
        <v/>
      </c>
      <c r="P1293" s="190">
        <f>O1293/IF(H1293="L",20,IF(H1293="U",30,IF(H1293="O",40,IF(H1293="I",20,""))))</f>
        <v/>
      </c>
      <c r="Q1293" s="190">
        <f>IF(AND(H1293="L", P1293&gt;=50%), "Pass", IF(AND(H1293="U", P1293&gt;=60%), "Pass", IF(AND(H1293="O", P1293&gt;=75%), "Pass", "Fail")))</f>
        <v/>
      </c>
      <c r="R1293" s="189" t="n"/>
      <c r="S1293" s="189" t="n">
        <v>15</v>
      </c>
      <c r="T1293" s="189" t="n">
        <v>15</v>
      </c>
      <c r="U1293" s="189">
        <f>SUM(S1293:T1293)</f>
        <v/>
      </c>
      <c r="V1293" s="190">
        <f>U1293/IF(H1293="L",35,IF(H1293="U",35,IF(H1293="O",35,IF(H1293="I",35,""))))</f>
        <v/>
      </c>
      <c r="W1293" s="190">
        <f>IF(AND(H1293="L", V1293&gt;=50%), "Pass", IF(AND(H1293="U", V1293&gt;=60%), "Pass", IF(AND(H1293="O", V1293&gt;=75%), "Pass", "Fail")))</f>
        <v/>
      </c>
      <c r="X1293" s="190">
        <f>IF(AND(Q1293="Pass", W1293="Pass"), "Pass", "Fail")</f>
        <v/>
      </c>
      <c r="Y1293" s="191">
        <f>IF($X1293="Pass",$H1293, IF(H1293="L","I", IF(H1293="U","L", IF(H1293="O","U", "I"))))</f>
        <v/>
      </c>
      <c r="Z1293" s="182" t="n"/>
    </row>
    <row r="1294">
      <c r="A1294" s="185">
        <f>ROW()-2</f>
        <v/>
      </c>
      <c r="B1294" s="133" t="inlineStr">
        <is>
          <t>900554</t>
        </is>
      </c>
      <c r="C1294" s="148" t="inlineStr">
        <is>
          <t>A. ARUMUGAM</t>
        </is>
      </c>
      <c r="D1294" s="133" t="inlineStr">
        <is>
          <t>QUALITY CONTROL</t>
        </is>
      </c>
      <c r="E1294" s="186" t="inlineStr">
        <is>
          <t>Final Finish QA</t>
        </is>
      </c>
      <c r="F1294" s="187" t="n">
        <v>41365</v>
      </c>
      <c r="G1294" s="188">
        <f>NOW()-F1294</f>
        <v/>
      </c>
      <c r="H1294" s="189" t="inlineStr">
        <is>
          <t>O</t>
        </is>
      </c>
      <c r="I1294" s="189" t="inlineStr">
        <is>
          <t>O</t>
        </is>
      </c>
      <c r="J1294" s="189" t="n">
        <v>10</v>
      </c>
      <c r="K1294" s="189" t="n">
        <v>17</v>
      </c>
      <c r="L1294" s="189" t="n">
        <v>0</v>
      </c>
      <c r="M1294" s="189" t="n">
        <v>9</v>
      </c>
      <c r="N1294" s="189" t="n"/>
      <c r="O1294" s="189">
        <f>SUM(J1294:N1294)</f>
        <v/>
      </c>
      <c r="P1294" s="190">
        <f>O1294/IF(H1294="L",20,IF(H1294="U",30,IF(H1294="O",40,IF(H1294="I",20,""))))</f>
        <v/>
      </c>
      <c r="Q1294" s="190">
        <f>IF(AND(H1294="L", P1294&gt;=50%), "Pass", IF(AND(H1294="U", P1294&gt;=60%), "Pass", IF(AND(H1294="O", P1294&gt;=75%), "Pass", "Fail")))</f>
        <v/>
      </c>
      <c r="R1294" s="189" t="n"/>
      <c r="S1294" s="189" t="n">
        <v>15</v>
      </c>
      <c r="T1294" s="189" t="n">
        <v>15</v>
      </c>
      <c r="U1294" s="189">
        <f>SUM(S1294:T1294)</f>
        <v/>
      </c>
      <c r="V1294" s="190">
        <f>U1294/IF(H1294="L",35,IF(H1294="U",35,IF(H1294="O",35,IF(H1294="I",35,""))))</f>
        <v/>
      </c>
      <c r="W1294" s="190">
        <f>IF(AND(H1294="L", V1294&gt;=50%), "Pass", IF(AND(H1294="U", V1294&gt;=60%), "Pass", IF(AND(H1294="O", V1294&gt;=75%), "Pass", "Fail")))</f>
        <v/>
      </c>
      <c r="X1294" s="190">
        <f>IF(AND(Q1294="Pass", W1294="Pass"), "Pass", "Fail")</f>
        <v/>
      </c>
      <c r="Y1294" s="191">
        <f>IF($X1294="Pass",$H1294, IF(H1294="L","I", IF(H1294="U","L", IF(H1294="O","U", "I"))))</f>
        <v/>
      </c>
      <c r="Z1294" s="182" t="n"/>
    </row>
    <row r="1295">
      <c r="A1295" s="185">
        <f>ROW()-2</f>
        <v/>
      </c>
      <c r="B1295" s="133" t="inlineStr">
        <is>
          <t>900555</t>
        </is>
      </c>
      <c r="C1295" s="148" t="inlineStr">
        <is>
          <t>S. MAHESHKUMAR</t>
        </is>
      </c>
      <c r="D1295" s="133" t="inlineStr">
        <is>
          <t>QUALITY CONTROL</t>
        </is>
      </c>
      <c r="E1295" s="186" t="inlineStr">
        <is>
          <t>Final Finish QA</t>
        </is>
      </c>
      <c r="F1295" s="187" t="n">
        <v>41365</v>
      </c>
      <c r="G1295" s="188">
        <f>NOW()-F1295</f>
        <v/>
      </c>
      <c r="H1295" s="189" t="inlineStr">
        <is>
          <t>O</t>
        </is>
      </c>
      <c r="I1295" s="189" t="inlineStr">
        <is>
          <t>O</t>
        </is>
      </c>
      <c r="J1295" s="189" t="n">
        <v>10</v>
      </c>
      <c r="K1295" s="189" t="n">
        <v>17</v>
      </c>
      <c r="L1295" s="189" t="n">
        <v>0</v>
      </c>
      <c r="M1295" s="189" t="n">
        <v>9</v>
      </c>
      <c r="N1295" s="189" t="n"/>
      <c r="O1295" s="189">
        <f>SUM(J1295:N1295)</f>
        <v/>
      </c>
      <c r="P1295" s="190">
        <f>O1295/IF(H1295="L",20,IF(H1295="U",30,IF(H1295="O",40,IF(H1295="I",20,""))))</f>
        <v/>
      </c>
      <c r="Q1295" s="190">
        <f>IF(AND(H1295="L", P1295&gt;=50%), "Pass", IF(AND(H1295="U", P1295&gt;=60%), "Pass", IF(AND(H1295="O", P1295&gt;=75%), "Pass", "Fail")))</f>
        <v/>
      </c>
      <c r="R1295" s="189" t="n"/>
      <c r="S1295" s="189" t="n">
        <v>15</v>
      </c>
      <c r="T1295" s="189" t="n">
        <v>15</v>
      </c>
      <c r="U1295" s="189">
        <f>SUM(S1295:T1295)</f>
        <v/>
      </c>
      <c r="V1295" s="190">
        <f>U1295/IF(H1295="L",35,IF(H1295="U",35,IF(H1295="O",35,IF(H1295="I",35,""))))</f>
        <v/>
      </c>
      <c r="W1295" s="190">
        <f>IF(AND(H1295="L", V1295&gt;=50%), "Pass", IF(AND(H1295="U", V1295&gt;=60%), "Pass", IF(AND(H1295="O", V1295&gt;=75%), "Pass", "Fail")))</f>
        <v/>
      </c>
      <c r="X1295" s="190">
        <f>IF(AND(Q1295="Pass", W1295="Pass"), "Pass", "Fail")</f>
        <v/>
      </c>
      <c r="Y1295" s="191">
        <f>IF($X1295="Pass",$H1295, IF(H1295="L","I", IF(H1295="U","L", IF(H1295="O","U", "I"))))</f>
        <v/>
      </c>
      <c r="Z1295" s="182" t="n"/>
    </row>
    <row r="1296">
      <c r="A1296" s="185">
        <f>ROW()-2</f>
        <v/>
      </c>
      <c r="B1296" s="133" t="inlineStr">
        <is>
          <t>900556</t>
        </is>
      </c>
      <c r="C1296" s="148" t="inlineStr">
        <is>
          <t>S. MASANA MUTHU</t>
        </is>
      </c>
      <c r="D1296" s="133" t="inlineStr">
        <is>
          <t>QUALITY CONTROL</t>
        </is>
      </c>
      <c r="E1296" s="186" t="inlineStr">
        <is>
          <t>Final Finish QA</t>
        </is>
      </c>
      <c r="F1296" s="187" t="n">
        <v>41365</v>
      </c>
      <c r="G1296" s="188">
        <f>NOW()-F1296</f>
        <v/>
      </c>
      <c r="H1296" s="189" t="inlineStr">
        <is>
          <t>O</t>
        </is>
      </c>
      <c r="I1296" s="189" t="inlineStr">
        <is>
          <t>O</t>
        </is>
      </c>
      <c r="J1296" s="189" t="n">
        <v>10</v>
      </c>
      <c r="K1296" s="189" t="n">
        <v>17</v>
      </c>
      <c r="L1296" s="189" t="n">
        <v>0</v>
      </c>
      <c r="M1296" s="189" t="n">
        <v>9</v>
      </c>
      <c r="N1296" s="189" t="n"/>
      <c r="O1296" s="189">
        <f>SUM(J1296:N1296)</f>
        <v/>
      </c>
      <c r="P1296" s="190">
        <f>O1296/IF(H1296="L",20,IF(H1296="U",30,IF(H1296="O",40,IF(H1296="I",20,""))))</f>
        <v/>
      </c>
      <c r="Q1296" s="190">
        <f>IF(AND(H1296="L", P1296&gt;=50%), "Pass", IF(AND(H1296="U", P1296&gt;=60%), "Pass", IF(AND(H1296="O", P1296&gt;=75%), "Pass", "Fail")))</f>
        <v/>
      </c>
      <c r="R1296" s="189" t="n"/>
      <c r="S1296" s="189" t="n">
        <v>15</v>
      </c>
      <c r="T1296" s="189" t="n">
        <v>15</v>
      </c>
      <c r="U1296" s="189">
        <f>SUM(S1296:T1296)</f>
        <v/>
      </c>
      <c r="V1296" s="190">
        <f>U1296/IF(H1296="L",35,IF(H1296="U",35,IF(H1296="O",35,IF(H1296="I",35,""))))</f>
        <v/>
      </c>
      <c r="W1296" s="190">
        <f>IF(AND(H1296="L", V1296&gt;=50%), "Pass", IF(AND(H1296="U", V1296&gt;=60%), "Pass", IF(AND(H1296="O", V1296&gt;=75%), "Pass", "Fail")))</f>
        <v/>
      </c>
      <c r="X1296" s="190">
        <f>IF(AND(Q1296="Pass", W1296="Pass"), "Pass", "Fail")</f>
        <v/>
      </c>
      <c r="Y1296" s="191">
        <f>IF($X1296="Pass",$H1296, IF(H1296="L","I", IF(H1296="U","L", IF(H1296="O","U", "I"))))</f>
        <v/>
      </c>
      <c r="Z1296" s="182" t="n"/>
    </row>
    <row r="1297">
      <c r="A1297" s="185">
        <f>ROW()-2</f>
        <v/>
      </c>
      <c r="B1297" s="133" t="inlineStr">
        <is>
          <t>900740</t>
        </is>
      </c>
      <c r="C1297" s="148" t="inlineStr">
        <is>
          <t>P. CHELLADURAI</t>
        </is>
      </c>
      <c r="D1297" s="133" t="inlineStr">
        <is>
          <t>QUALITY CONTROL</t>
        </is>
      </c>
      <c r="E1297" s="186" t="inlineStr">
        <is>
          <t>Final Finish QA</t>
        </is>
      </c>
      <c r="F1297" s="187" t="n">
        <v>40872</v>
      </c>
      <c r="G1297" s="188">
        <f>NOW()-F1297</f>
        <v/>
      </c>
      <c r="H1297" s="189" t="inlineStr">
        <is>
          <t>O</t>
        </is>
      </c>
      <c r="I1297" s="189" t="inlineStr">
        <is>
          <t>O</t>
        </is>
      </c>
      <c r="J1297" s="189" t="n">
        <v>10</v>
      </c>
      <c r="K1297" s="189" t="n">
        <v>16</v>
      </c>
      <c r="L1297" s="189" t="n">
        <v>0</v>
      </c>
      <c r="M1297" s="189" t="n">
        <v>9</v>
      </c>
      <c r="N1297" s="189" t="n"/>
      <c r="O1297" s="189">
        <f>SUM(J1297:N1297)</f>
        <v/>
      </c>
      <c r="P1297" s="190">
        <f>O1297/IF(H1297="L",20,IF(H1297="U",30,IF(H1297="O",40,IF(H1297="I",20,""))))</f>
        <v/>
      </c>
      <c r="Q1297" s="190">
        <f>IF(AND(H1297="L", P1297&gt;=50%), "Pass", IF(AND(H1297="U", P1297&gt;=60%), "Pass", IF(AND(H1297="O", P1297&gt;=75%), "Pass", "Fail")))</f>
        <v/>
      </c>
      <c r="R1297" s="189" t="n"/>
      <c r="S1297" s="189" t="n">
        <v>15</v>
      </c>
      <c r="T1297" s="189" t="n">
        <v>15</v>
      </c>
      <c r="U1297" s="189">
        <f>SUM(S1297:T1297)</f>
        <v/>
      </c>
      <c r="V1297" s="190">
        <f>U1297/IF(H1297="L",35,IF(H1297="U",35,IF(H1297="O",35,IF(H1297="I",35,""))))</f>
        <v/>
      </c>
      <c r="W1297" s="190">
        <f>IF(AND(H1297="L", V1297&gt;=50%), "Pass", IF(AND(H1297="U", V1297&gt;=60%), "Pass", IF(AND(H1297="O", V1297&gt;=75%), "Pass", "Fail")))</f>
        <v/>
      </c>
      <c r="X1297" s="190">
        <f>IF(AND(Q1297="Pass", W1297="Pass"), "Pass", "Fail")</f>
        <v/>
      </c>
      <c r="Y1297" s="191">
        <f>IF($X1297="Pass",$H1297, IF(H1297="L","I", IF(H1297="U","L", IF(H1297="O","U", "I"))))</f>
        <v/>
      </c>
      <c r="Z1297" s="182" t="n"/>
    </row>
    <row r="1298">
      <c r="A1298" s="185">
        <f>ROW()-2</f>
        <v/>
      </c>
      <c r="B1298" s="133" t="inlineStr">
        <is>
          <t>900841</t>
        </is>
      </c>
      <c r="C1298" s="148" t="inlineStr">
        <is>
          <t>K. THANGA PANDI</t>
        </is>
      </c>
      <c r="D1298" s="133" t="inlineStr">
        <is>
          <t>QUALITY CONTROL</t>
        </is>
      </c>
      <c r="E1298" s="186" t="inlineStr">
        <is>
          <t>Final Finish QA</t>
        </is>
      </c>
      <c r="F1298" s="187" t="n">
        <v>40670</v>
      </c>
      <c r="G1298" s="188">
        <f>NOW()-F1298</f>
        <v/>
      </c>
      <c r="H1298" s="189" t="inlineStr">
        <is>
          <t>O</t>
        </is>
      </c>
      <c r="I1298" s="189" t="inlineStr">
        <is>
          <t>O</t>
        </is>
      </c>
      <c r="J1298" s="189" t="n">
        <v>10</v>
      </c>
      <c r="K1298" s="189" t="n">
        <v>16</v>
      </c>
      <c r="L1298" s="189" t="n">
        <v>0</v>
      </c>
      <c r="M1298" s="189" t="n">
        <v>9</v>
      </c>
      <c r="N1298" s="189" t="n"/>
      <c r="O1298" s="189">
        <f>SUM(J1298:N1298)</f>
        <v/>
      </c>
      <c r="P1298" s="190">
        <f>O1298/IF(H1298="L",20,IF(H1298="U",30,IF(H1298="O",40,IF(H1298="I",20,""))))</f>
        <v/>
      </c>
      <c r="Q1298" s="190">
        <f>IF(AND(H1298="L", P1298&gt;=50%), "Pass", IF(AND(H1298="U", P1298&gt;=60%), "Pass", IF(AND(H1298="O", P1298&gt;=75%), "Pass", "Fail")))</f>
        <v/>
      </c>
      <c r="R1298" s="189" t="n"/>
      <c r="S1298" s="189" t="n">
        <v>15</v>
      </c>
      <c r="T1298" s="189" t="n">
        <v>15</v>
      </c>
      <c r="U1298" s="189">
        <f>SUM(S1298:T1298)</f>
        <v/>
      </c>
      <c r="V1298" s="190">
        <f>U1298/IF(H1298="L",35,IF(H1298="U",35,IF(H1298="O",35,IF(H1298="I",35,""))))</f>
        <v/>
      </c>
      <c r="W1298" s="190">
        <f>IF(AND(H1298="L", V1298&gt;=50%), "Pass", IF(AND(H1298="U", V1298&gt;=60%), "Pass", IF(AND(H1298="O", V1298&gt;=75%), "Pass", "Fail")))</f>
        <v/>
      </c>
      <c r="X1298" s="190">
        <f>IF(AND(Q1298="Pass", W1298="Pass"), "Pass", "Fail")</f>
        <v/>
      </c>
      <c r="Y1298" s="191">
        <f>IF($X1298="Pass",$H1298, IF(H1298="L","I", IF(H1298="U","L", IF(H1298="O","U", "I"))))</f>
        <v/>
      </c>
      <c r="Z1298" s="182" t="n"/>
    </row>
    <row r="1299">
      <c r="A1299" s="185">
        <f>ROW()-2</f>
        <v/>
      </c>
      <c r="B1299" s="133" t="inlineStr">
        <is>
          <t>900844</t>
        </is>
      </c>
      <c r="C1299" s="148" t="inlineStr">
        <is>
          <t>SAVARIMUTHU F</t>
        </is>
      </c>
      <c r="D1299" s="133" t="inlineStr">
        <is>
          <t>QUALITY CONTROL</t>
        </is>
      </c>
      <c r="E1299" s="186" t="inlineStr">
        <is>
          <t>Final Finish QA</t>
        </is>
      </c>
      <c r="F1299" s="187" t="n">
        <v>40760</v>
      </c>
      <c r="G1299" s="188">
        <f>NOW()-F1299</f>
        <v/>
      </c>
      <c r="H1299" s="189" t="inlineStr">
        <is>
          <t>O</t>
        </is>
      </c>
      <c r="I1299" s="189" t="inlineStr">
        <is>
          <t>O</t>
        </is>
      </c>
      <c r="J1299" s="189" t="n">
        <v>10</v>
      </c>
      <c r="K1299" s="189" t="n">
        <v>17</v>
      </c>
      <c r="L1299" s="189" t="n">
        <v>0</v>
      </c>
      <c r="M1299" s="189" t="n">
        <v>9</v>
      </c>
      <c r="N1299" s="189" t="n"/>
      <c r="O1299" s="189">
        <f>SUM(J1299:N1299)</f>
        <v/>
      </c>
      <c r="P1299" s="190">
        <f>O1299/IF(H1299="L",20,IF(H1299="U",30,IF(H1299="O",40,IF(H1299="I",20,""))))</f>
        <v/>
      </c>
      <c r="Q1299" s="190">
        <f>IF(AND(H1299="L", P1299&gt;=50%), "Pass", IF(AND(H1299="U", P1299&gt;=60%), "Pass", IF(AND(H1299="O", P1299&gt;=75%), "Pass", "Fail")))</f>
        <v/>
      </c>
      <c r="R1299" s="189" t="n"/>
      <c r="S1299" s="189" t="n">
        <v>15</v>
      </c>
      <c r="T1299" s="189" t="n">
        <v>15</v>
      </c>
      <c r="U1299" s="189">
        <f>SUM(S1299:T1299)</f>
        <v/>
      </c>
      <c r="V1299" s="190">
        <f>U1299/IF(H1299="L",35,IF(H1299="U",35,IF(H1299="O",35,IF(H1299="I",35,""))))</f>
        <v/>
      </c>
      <c r="W1299" s="190">
        <f>IF(AND(H1299="L", V1299&gt;=50%), "Pass", IF(AND(H1299="U", V1299&gt;=60%), "Pass", IF(AND(H1299="O", V1299&gt;=75%), "Pass", "Fail")))</f>
        <v/>
      </c>
      <c r="X1299" s="190">
        <f>IF(AND(Q1299="Pass", W1299="Pass"), "Pass", "Fail")</f>
        <v/>
      </c>
      <c r="Y1299" s="191">
        <f>IF($X1299="Pass",$H1299, IF(H1299="L","I", IF(H1299="U","L", IF(H1299="O","U", "I"))))</f>
        <v/>
      </c>
      <c r="Z1299" s="182" t="n"/>
    </row>
    <row r="1300">
      <c r="A1300" s="185">
        <f>ROW()-2</f>
        <v/>
      </c>
      <c r="B1300" s="133" t="inlineStr">
        <is>
          <t>900845</t>
        </is>
      </c>
      <c r="C1300" s="148" t="inlineStr">
        <is>
          <t>B. RATHAN SINGH</t>
        </is>
      </c>
      <c r="D1300" s="133" t="inlineStr">
        <is>
          <t>QUALITY CONTROL</t>
        </is>
      </c>
      <c r="E1300" s="186" t="inlineStr">
        <is>
          <t>Final Finish QA</t>
        </is>
      </c>
      <c r="F1300" s="187" t="n">
        <v>40857</v>
      </c>
      <c r="G1300" s="188">
        <f>NOW()-F1300</f>
        <v/>
      </c>
      <c r="H1300" s="189" t="inlineStr">
        <is>
          <t>O</t>
        </is>
      </c>
      <c r="I1300" s="189" t="inlineStr">
        <is>
          <t>O</t>
        </is>
      </c>
      <c r="J1300" s="189" t="n">
        <v>10</v>
      </c>
      <c r="K1300" s="189" t="n">
        <v>17</v>
      </c>
      <c r="L1300" s="189" t="n">
        <v>0</v>
      </c>
      <c r="M1300" s="189" t="n">
        <v>9</v>
      </c>
      <c r="N1300" s="189" t="n"/>
      <c r="O1300" s="189">
        <f>SUM(J1300:N1300)</f>
        <v/>
      </c>
      <c r="P1300" s="190">
        <f>O1300/IF(H1300="L",20,IF(H1300="U",30,IF(H1300="O",40,IF(H1300="I",20,""))))</f>
        <v/>
      </c>
      <c r="Q1300" s="190">
        <f>IF(AND(H1300="L", P1300&gt;=50%), "Pass", IF(AND(H1300="U", P1300&gt;=60%), "Pass", IF(AND(H1300="O", P1300&gt;=75%), "Pass", "Fail")))</f>
        <v/>
      </c>
      <c r="R1300" s="189" t="n"/>
      <c r="S1300" s="189" t="n">
        <v>15</v>
      </c>
      <c r="T1300" s="189" t="n">
        <v>15</v>
      </c>
      <c r="U1300" s="189">
        <f>SUM(S1300:T1300)</f>
        <v/>
      </c>
      <c r="V1300" s="190">
        <f>U1300/IF(H1300="L",35,IF(H1300="U",35,IF(H1300="O",35,IF(H1300="I",35,""))))</f>
        <v/>
      </c>
      <c r="W1300" s="190">
        <f>IF(AND(H1300="L", V1300&gt;=50%), "Pass", IF(AND(H1300="U", V1300&gt;=60%), "Pass", IF(AND(H1300="O", V1300&gt;=75%), "Pass", "Fail")))</f>
        <v/>
      </c>
      <c r="X1300" s="190">
        <f>IF(AND(Q1300="Pass", W1300="Pass"), "Pass", "Fail")</f>
        <v/>
      </c>
      <c r="Y1300" s="191">
        <f>IF($X1300="Pass",$H1300, IF(H1300="L","I", IF(H1300="U","L", IF(H1300="O","U", "I"))))</f>
        <v/>
      </c>
      <c r="Z1300" s="182" t="n"/>
    </row>
    <row r="1301">
      <c r="A1301" s="185">
        <f>ROW()-2</f>
        <v/>
      </c>
      <c r="B1301" s="133" t="inlineStr">
        <is>
          <t>900846</t>
        </is>
      </c>
      <c r="C1301" s="148" t="inlineStr">
        <is>
          <t>U. ANSARI</t>
        </is>
      </c>
      <c r="D1301" s="133" t="inlineStr">
        <is>
          <t>QUALITY CONTROL</t>
        </is>
      </c>
      <c r="E1301" s="186" t="inlineStr">
        <is>
          <t>Final Finish QA</t>
        </is>
      </c>
      <c r="F1301" s="187" t="n">
        <v>40894</v>
      </c>
      <c r="G1301" s="188">
        <f>NOW()-F1301</f>
        <v/>
      </c>
      <c r="H1301" s="189" t="inlineStr">
        <is>
          <t>O</t>
        </is>
      </c>
      <c r="I1301" s="189" t="inlineStr">
        <is>
          <t>O</t>
        </is>
      </c>
      <c r="J1301" s="189" t="n">
        <v>10</v>
      </c>
      <c r="K1301" s="189" t="n">
        <v>17</v>
      </c>
      <c r="L1301" s="189" t="n">
        <v>0</v>
      </c>
      <c r="M1301" s="189" t="n">
        <v>9</v>
      </c>
      <c r="N1301" s="189" t="n"/>
      <c r="O1301" s="189">
        <f>SUM(J1301:N1301)</f>
        <v/>
      </c>
      <c r="P1301" s="190">
        <f>O1301/IF(H1301="L",20,IF(H1301="U",30,IF(H1301="O",40,IF(H1301="I",20,""))))</f>
        <v/>
      </c>
      <c r="Q1301" s="190">
        <f>IF(AND(H1301="L", P1301&gt;=50%), "Pass", IF(AND(H1301="U", P1301&gt;=60%), "Pass", IF(AND(H1301="O", P1301&gt;=75%), "Pass", "Fail")))</f>
        <v/>
      </c>
      <c r="R1301" s="189" t="n"/>
      <c r="S1301" s="189" t="n">
        <v>15</v>
      </c>
      <c r="T1301" s="189" t="n">
        <v>15</v>
      </c>
      <c r="U1301" s="189">
        <f>SUM(S1301:T1301)</f>
        <v/>
      </c>
      <c r="V1301" s="190">
        <f>U1301/IF(H1301="L",35,IF(H1301="U",35,IF(H1301="O",35,IF(H1301="I",35,""))))</f>
        <v/>
      </c>
      <c r="W1301" s="190">
        <f>IF(AND(H1301="L", V1301&gt;=50%), "Pass", IF(AND(H1301="U", V1301&gt;=60%), "Pass", IF(AND(H1301="O", V1301&gt;=75%), "Pass", "Fail")))</f>
        <v/>
      </c>
      <c r="X1301" s="190">
        <f>IF(AND(Q1301="Pass", W1301="Pass"), "Pass", "Fail")</f>
        <v/>
      </c>
      <c r="Y1301" s="191">
        <f>IF($X1301="Pass",$H1301, IF(H1301="L","I", IF(H1301="U","L", IF(H1301="O","U", "I"))))</f>
        <v/>
      </c>
      <c r="Z1301" s="182" t="n"/>
    </row>
    <row r="1302">
      <c r="A1302" s="185">
        <f>ROW()-2</f>
        <v/>
      </c>
      <c r="B1302" s="133" t="inlineStr">
        <is>
          <t>900847</t>
        </is>
      </c>
      <c r="C1302" s="148" t="inlineStr">
        <is>
          <t>I. ANANTHAPPAN</t>
        </is>
      </c>
      <c r="D1302" s="133" t="inlineStr">
        <is>
          <t>QUALITY CONTROL</t>
        </is>
      </c>
      <c r="E1302" s="186" t="inlineStr">
        <is>
          <t>Final Finish QA</t>
        </is>
      </c>
      <c r="F1302" s="187" t="n">
        <v>40918</v>
      </c>
      <c r="G1302" s="188">
        <f>NOW()-F1302</f>
        <v/>
      </c>
      <c r="H1302" s="189" t="inlineStr">
        <is>
          <t>O</t>
        </is>
      </c>
      <c r="I1302" s="189" t="inlineStr">
        <is>
          <t>O</t>
        </is>
      </c>
      <c r="J1302" s="189" t="n">
        <v>10</v>
      </c>
      <c r="K1302" s="189" t="n">
        <v>18</v>
      </c>
      <c r="L1302" s="189" t="n">
        <v>0</v>
      </c>
      <c r="M1302" s="189" t="n">
        <v>9</v>
      </c>
      <c r="N1302" s="189" t="n"/>
      <c r="O1302" s="189">
        <f>SUM(J1302:N1302)</f>
        <v/>
      </c>
      <c r="P1302" s="190">
        <f>O1302/IF(H1302="L",20,IF(H1302="U",30,IF(H1302="O",40,IF(H1302="I",20,""))))</f>
        <v/>
      </c>
      <c r="Q1302" s="190">
        <f>IF(AND(H1302="L", P1302&gt;=50%), "Pass", IF(AND(H1302="U", P1302&gt;=60%), "Pass", IF(AND(H1302="O", P1302&gt;=75%), "Pass", "Fail")))</f>
        <v/>
      </c>
      <c r="R1302" s="189" t="n"/>
      <c r="S1302" s="189" t="n">
        <v>15</v>
      </c>
      <c r="T1302" s="189" t="n">
        <v>15</v>
      </c>
      <c r="U1302" s="189">
        <f>SUM(S1302:T1302)</f>
        <v/>
      </c>
      <c r="V1302" s="190">
        <f>U1302/IF(H1302="L",35,IF(H1302="U",35,IF(H1302="O",35,IF(H1302="I",35,""))))</f>
        <v/>
      </c>
      <c r="W1302" s="190">
        <f>IF(AND(H1302="L", V1302&gt;=50%), "Pass", IF(AND(H1302="U", V1302&gt;=60%), "Pass", IF(AND(H1302="O", V1302&gt;=75%), "Pass", "Fail")))</f>
        <v/>
      </c>
      <c r="X1302" s="190">
        <f>IF(AND(Q1302="Pass", W1302="Pass"), "Pass", "Fail")</f>
        <v/>
      </c>
      <c r="Y1302" s="191">
        <f>IF($X1302="Pass",$H1302, IF(H1302="L","I", IF(H1302="U","L", IF(H1302="O","U", "I"))))</f>
        <v/>
      </c>
      <c r="Z1302" s="182" t="n"/>
    </row>
    <row r="1303">
      <c r="A1303" s="185">
        <f>ROW()-2</f>
        <v/>
      </c>
      <c r="B1303" s="133" t="inlineStr">
        <is>
          <t>900848</t>
        </is>
      </c>
      <c r="C1303" s="148" t="inlineStr">
        <is>
          <t>S. BALASUBRAMANIAN</t>
        </is>
      </c>
      <c r="D1303" s="133" t="inlineStr">
        <is>
          <t>QUALITY CONTROL</t>
        </is>
      </c>
      <c r="E1303" s="186" t="inlineStr">
        <is>
          <t>Final Finish QA</t>
        </is>
      </c>
      <c r="F1303" s="187" t="n">
        <v>41039</v>
      </c>
      <c r="G1303" s="188">
        <f>NOW()-F1303</f>
        <v/>
      </c>
      <c r="H1303" s="189" t="inlineStr">
        <is>
          <t>O</t>
        </is>
      </c>
      <c r="I1303" s="189" t="inlineStr">
        <is>
          <t>O</t>
        </is>
      </c>
      <c r="J1303" s="189" t="n">
        <v>10</v>
      </c>
      <c r="K1303" s="189" t="n">
        <v>18</v>
      </c>
      <c r="L1303" s="189" t="n">
        <v>0</v>
      </c>
      <c r="M1303" s="189" t="n">
        <v>9</v>
      </c>
      <c r="N1303" s="189" t="n"/>
      <c r="O1303" s="189">
        <f>SUM(J1303:N1303)</f>
        <v/>
      </c>
      <c r="P1303" s="190">
        <f>O1303/IF(H1303="L",20,IF(H1303="U",30,IF(H1303="O",40,IF(H1303="I",20,""))))</f>
        <v/>
      </c>
      <c r="Q1303" s="190">
        <f>IF(AND(H1303="L", P1303&gt;=50%), "Pass", IF(AND(H1303="U", P1303&gt;=60%), "Pass", IF(AND(H1303="O", P1303&gt;=75%), "Pass", "Fail")))</f>
        <v/>
      </c>
      <c r="R1303" s="189" t="n"/>
      <c r="S1303" s="189" t="n">
        <v>15</v>
      </c>
      <c r="T1303" s="189" t="n">
        <v>15</v>
      </c>
      <c r="U1303" s="189">
        <f>SUM(S1303:T1303)</f>
        <v/>
      </c>
      <c r="V1303" s="190">
        <f>U1303/IF(H1303="L",35,IF(H1303="U",35,IF(H1303="O",35,IF(H1303="I",35,""))))</f>
        <v/>
      </c>
      <c r="W1303" s="190">
        <f>IF(AND(H1303="L", V1303&gt;=50%), "Pass", IF(AND(H1303="U", V1303&gt;=60%), "Pass", IF(AND(H1303="O", V1303&gt;=75%), "Pass", "Fail")))</f>
        <v/>
      </c>
      <c r="X1303" s="190">
        <f>IF(AND(Q1303="Pass", W1303="Pass"), "Pass", "Fail")</f>
        <v/>
      </c>
      <c r="Y1303" s="191">
        <f>IF($X1303="Pass",$H1303, IF(H1303="L","I", IF(H1303="U","L", IF(H1303="O","U", "I"))))</f>
        <v/>
      </c>
      <c r="Z1303" s="182" t="n"/>
    </row>
    <row r="1304">
      <c r="A1304" s="185">
        <f>ROW()-2</f>
        <v/>
      </c>
      <c r="B1304" s="133" t="inlineStr">
        <is>
          <t>AK0252</t>
        </is>
      </c>
      <c r="C1304" s="148" t="inlineStr">
        <is>
          <t>MARI SELVAM J</t>
        </is>
      </c>
      <c r="D1304" s="133" t="inlineStr">
        <is>
          <t>QUALITY CONTROL</t>
        </is>
      </c>
      <c r="E1304" s="186" t="inlineStr">
        <is>
          <t>Final Finish QA</t>
        </is>
      </c>
      <c r="F1304" s="187" t="n">
        <v>41682</v>
      </c>
      <c r="G1304" s="188">
        <f>NOW()-F1304</f>
        <v/>
      </c>
      <c r="H1304" s="189" t="inlineStr">
        <is>
          <t>O</t>
        </is>
      </c>
      <c r="I1304" s="189" t="inlineStr">
        <is>
          <t>O</t>
        </is>
      </c>
      <c r="J1304" s="189" t="n">
        <v>10</v>
      </c>
      <c r="K1304" s="189" t="n">
        <v>19</v>
      </c>
      <c r="L1304" s="189" t="n">
        <v>0</v>
      </c>
      <c r="M1304" s="189" t="n">
        <v>9</v>
      </c>
      <c r="N1304" s="189" t="n"/>
      <c r="O1304" s="189">
        <f>SUM(J1304:N1304)</f>
        <v/>
      </c>
      <c r="P1304" s="190">
        <f>O1304/IF(H1304="L",20,IF(H1304="U",30,IF(H1304="O",40,IF(H1304="I",20,""))))</f>
        <v/>
      </c>
      <c r="Q1304" s="190">
        <f>IF(AND(H1304="L", P1304&gt;=50%), "Pass", IF(AND(H1304="U", P1304&gt;=60%), "Pass", IF(AND(H1304="O", P1304&gt;=75%), "Pass", "Fail")))</f>
        <v/>
      </c>
      <c r="R1304" s="189" t="n"/>
      <c r="S1304" s="189" t="n">
        <v>15</v>
      </c>
      <c r="T1304" s="189" t="n">
        <v>15</v>
      </c>
      <c r="U1304" s="189">
        <f>SUM(S1304:T1304)</f>
        <v/>
      </c>
      <c r="V1304" s="190">
        <f>U1304/IF(H1304="L",35,IF(H1304="U",35,IF(H1304="O",35,IF(H1304="I",35,""))))</f>
        <v/>
      </c>
      <c r="W1304" s="190">
        <f>IF(AND(H1304="L", V1304&gt;=50%), "Pass", IF(AND(H1304="U", V1304&gt;=60%), "Pass", IF(AND(H1304="O", V1304&gt;=75%), "Pass", "Fail")))</f>
        <v/>
      </c>
      <c r="X1304" s="190">
        <f>IF(AND(Q1304="Pass", W1304="Pass"), "Pass", "Fail")</f>
        <v/>
      </c>
      <c r="Y1304" s="191">
        <f>IF($X1304="Pass",$H1304, IF(H1304="L","I", IF(H1304="U","L", IF(H1304="O","U", "I"))))</f>
        <v/>
      </c>
      <c r="Z1304" s="182" t="n"/>
    </row>
    <row r="1305">
      <c r="A1305" s="185">
        <f>ROW()-2</f>
        <v/>
      </c>
      <c r="B1305" s="133" t="inlineStr">
        <is>
          <t>AK0305</t>
        </is>
      </c>
      <c r="C1305" s="148" t="inlineStr">
        <is>
          <t>MADASAMY M</t>
        </is>
      </c>
      <c r="D1305" s="133" t="inlineStr">
        <is>
          <t>QUALITY CONTROL</t>
        </is>
      </c>
      <c r="E1305" s="186" t="inlineStr">
        <is>
          <t>Final Finish QA</t>
        </is>
      </c>
      <c r="F1305" s="187" t="n">
        <v>40761</v>
      </c>
      <c r="G1305" s="188">
        <f>NOW()-F1305</f>
        <v/>
      </c>
      <c r="H1305" s="189" t="inlineStr">
        <is>
          <t>O</t>
        </is>
      </c>
      <c r="I1305" s="189" t="inlineStr">
        <is>
          <t>O</t>
        </is>
      </c>
      <c r="J1305" s="189" t="n">
        <v>10</v>
      </c>
      <c r="K1305" s="189" t="n">
        <v>15</v>
      </c>
      <c r="L1305" s="189" t="n">
        <v>0</v>
      </c>
      <c r="M1305" s="189" t="n">
        <v>9</v>
      </c>
      <c r="N1305" s="189" t="n"/>
      <c r="O1305" s="189">
        <f>SUM(J1305:N1305)</f>
        <v/>
      </c>
      <c r="P1305" s="190">
        <f>O1305/IF(H1305="L",20,IF(H1305="U",30,IF(H1305="O",40,IF(H1305="I",20,""))))</f>
        <v/>
      </c>
      <c r="Q1305" s="190">
        <f>IF(AND(H1305="L", P1305&gt;=50%), "Pass", IF(AND(H1305="U", P1305&gt;=60%), "Pass", IF(AND(H1305="O", P1305&gt;=75%), "Pass", "Fail")))</f>
        <v/>
      </c>
      <c r="R1305" s="189" t="n"/>
      <c r="S1305" s="189" t="n">
        <v>15</v>
      </c>
      <c r="T1305" s="189" t="n">
        <v>15</v>
      </c>
      <c r="U1305" s="189">
        <f>SUM(S1305:T1305)</f>
        <v/>
      </c>
      <c r="V1305" s="190">
        <f>U1305/IF(H1305="L",35,IF(H1305="U",35,IF(H1305="O",35,IF(H1305="I",35,""))))</f>
        <v/>
      </c>
      <c r="W1305" s="190">
        <f>IF(AND(H1305="L", V1305&gt;=50%), "Pass", IF(AND(H1305="U", V1305&gt;=60%), "Pass", IF(AND(H1305="O", V1305&gt;=75%), "Pass", "Fail")))</f>
        <v/>
      </c>
      <c r="X1305" s="190">
        <f>IF(AND(Q1305="Pass", W1305="Pass"), "Pass", "Fail")</f>
        <v/>
      </c>
      <c r="Y1305" s="191">
        <f>IF($X1305="Pass",$H1305, IF(H1305="L","I", IF(H1305="U","L", IF(H1305="O","U", "I"))))</f>
        <v/>
      </c>
      <c r="Z1305" s="182" t="n"/>
    </row>
    <row r="1306">
      <c r="A1306" s="185">
        <f>ROW()-2</f>
        <v/>
      </c>
      <c r="B1306" s="133" t="inlineStr">
        <is>
          <t>AK0626</t>
        </is>
      </c>
      <c r="C1306" s="148" t="inlineStr">
        <is>
          <t>BALUMAHENDRA G</t>
        </is>
      </c>
      <c r="D1306" s="133" t="inlineStr">
        <is>
          <t>QUALITY CONTROL</t>
        </is>
      </c>
      <c r="E1306" s="186" t="inlineStr">
        <is>
          <t>Final Finish QA</t>
        </is>
      </c>
      <c r="F1306" s="187" t="n">
        <v>40689</v>
      </c>
      <c r="G1306" s="188">
        <f>NOW()-F1306</f>
        <v/>
      </c>
      <c r="H1306" s="189" t="inlineStr">
        <is>
          <t>O</t>
        </is>
      </c>
      <c r="I1306" s="189" t="inlineStr">
        <is>
          <t>O</t>
        </is>
      </c>
      <c r="J1306" s="189" t="n">
        <v>10</v>
      </c>
      <c r="K1306" s="189" t="n">
        <v>15</v>
      </c>
      <c r="L1306" s="189" t="n">
        <v>0</v>
      </c>
      <c r="M1306" s="189" t="n">
        <v>9</v>
      </c>
      <c r="N1306" s="189" t="n"/>
      <c r="O1306" s="189">
        <f>SUM(J1306:N1306)</f>
        <v/>
      </c>
      <c r="P1306" s="190">
        <f>O1306/IF(H1306="L",20,IF(H1306="U",30,IF(H1306="O",40,IF(H1306="I",20,""))))</f>
        <v/>
      </c>
      <c r="Q1306" s="190">
        <f>IF(AND(H1306="L", P1306&gt;=50%), "Pass", IF(AND(H1306="U", P1306&gt;=60%), "Pass", IF(AND(H1306="O", P1306&gt;=75%), "Pass", "Fail")))</f>
        <v/>
      </c>
      <c r="R1306" s="189" t="n"/>
      <c r="S1306" s="189" t="n">
        <v>15</v>
      </c>
      <c r="T1306" s="189" t="n">
        <v>15</v>
      </c>
      <c r="U1306" s="189">
        <f>SUM(S1306:T1306)</f>
        <v/>
      </c>
      <c r="V1306" s="190">
        <f>U1306/IF(H1306="L",35,IF(H1306="U",35,IF(H1306="O",35,IF(H1306="I",35,""))))</f>
        <v/>
      </c>
      <c r="W1306" s="190">
        <f>IF(AND(H1306="L", V1306&gt;=50%), "Pass", IF(AND(H1306="U", V1306&gt;=60%), "Pass", IF(AND(H1306="O", V1306&gt;=75%), "Pass", "Fail")))</f>
        <v/>
      </c>
      <c r="X1306" s="190">
        <f>IF(AND(Q1306="Pass", W1306="Pass"), "Pass", "Fail")</f>
        <v/>
      </c>
      <c r="Y1306" s="191">
        <f>IF($X1306="Pass",$H1306, IF(H1306="L","I", IF(H1306="U","L", IF(H1306="O","U", "I"))))</f>
        <v/>
      </c>
      <c r="Z1306" s="182" t="n"/>
    </row>
    <row r="1307">
      <c r="A1307" s="185">
        <f>ROW()-2</f>
        <v/>
      </c>
      <c r="B1307" s="133" t="inlineStr">
        <is>
          <t>AK0718</t>
        </is>
      </c>
      <c r="C1307" s="148" t="inlineStr">
        <is>
          <t>SENTHIL KUMAR S</t>
        </is>
      </c>
      <c r="D1307" s="133" t="inlineStr">
        <is>
          <t>QUALITY CONTROL</t>
        </is>
      </c>
      <c r="E1307" s="186" t="inlineStr">
        <is>
          <t>Final Finish QA</t>
        </is>
      </c>
      <c r="F1307" s="187" t="n">
        <v>43064</v>
      </c>
      <c r="G1307" s="188">
        <f>NOW()-F1307</f>
        <v/>
      </c>
      <c r="H1307" s="189" t="inlineStr">
        <is>
          <t>O</t>
        </is>
      </c>
      <c r="I1307" s="189" t="inlineStr">
        <is>
          <t>O</t>
        </is>
      </c>
      <c r="J1307" s="189" t="n">
        <v>10</v>
      </c>
      <c r="K1307" s="189" t="n">
        <v>16</v>
      </c>
      <c r="L1307" s="189" t="n">
        <v>0</v>
      </c>
      <c r="M1307" s="189" t="n">
        <v>9</v>
      </c>
      <c r="N1307" s="189" t="n"/>
      <c r="O1307" s="189">
        <f>SUM(J1307:N1307)</f>
        <v/>
      </c>
      <c r="P1307" s="190">
        <f>O1307/IF(H1307="L",20,IF(H1307="U",30,IF(H1307="O",40,IF(H1307="I",20,""))))</f>
        <v/>
      </c>
      <c r="Q1307" s="190">
        <f>IF(AND(H1307="L", P1307&gt;=50%), "Pass", IF(AND(H1307="U", P1307&gt;=60%), "Pass", IF(AND(H1307="O", P1307&gt;=75%), "Pass", "Fail")))</f>
        <v/>
      </c>
      <c r="R1307" s="189" t="n"/>
      <c r="S1307" s="189" t="n">
        <v>15</v>
      </c>
      <c r="T1307" s="189" t="n">
        <v>15</v>
      </c>
      <c r="U1307" s="189">
        <f>SUM(S1307:T1307)</f>
        <v/>
      </c>
      <c r="V1307" s="190">
        <f>U1307/IF(H1307="L",35,IF(H1307="U",35,IF(H1307="O",35,IF(H1307="I",35,""))))</f>
        <v/>
      </c>
      <c r="W1307" s="190">
        <f>IF(AND(H1307="L", V1307&gt;=50%), "Pass", IF(AND(H1307="U", V1307&gt;=60%), "Pass", IF(AND(H1307="O", V1307&gt;=75%), "Pass", "Fail")))</f>
        <v/>
      </c>
      <c r="X1307" s="190">
        <f>IF(AND(Q1307="Pass", W1307="Pass"), "Pass", "Fail")</f>
        <v/>
      </c>
      <c r="Y1307" s="191">
        <f>IF($X1307="Pass",$H1307, IF(H1307="L","I", IF(H1307="U","L", IF(H1307="O","U", "I"))))</f>
        <v/>
      </c>
      <c r="Z1307" s="182" t="n"/>
    </row>
    <row r="1308">
      <c r="A1308" s="185">
        <f>ROW()-2</f>
        <v/>
      </c>
      <c r="B1308" s="133" t="inlineStr">
        <is>
          <t>AK0767</t>
        </is>
      </c>
      <c r="C1308" s="148" t="inlineStr">
        <is>
          <t>MADASAMY</t>
        </is>
      </c>
      <c r="D1308" s="133" t="inlineStr">
        <is>
          <t>QUALITY CONTROL</t>
        </is>
      </c>
      <c r="E1308" s="186" t="inlineStr">
        <is>
          <t>Final Finish QA</t>
        </is>
      </c>
      <c r="F1308" s="187" t="n">
        <v>43141</v>
      </c>
      <c r="G1308" s="188">
        <f>NOW()-F1308</f>
        <v/>
      </c>
      <c r="H1308" s="189" t="inlineStr">
        <is>
          <t>O</t>
        </is>
      </c>
      <c r="I1308" s="189" t="inlineStr">
        <is>
          <t>O</t>
        </is>
      </c>
      <c r="J1308" s="189" t="n">
        <v>10</v>
      </c>
      <c r="K1308" s="189" t="n">
        <v>16</v>
      </c>
      <c r="L1308" s="189" t="n">
        <v>0</v>
      </c>
      <c r="M1308" s="189" t="n">
        <v>9</v>
      </c>
      <c r="N1308" s="189" t="n"/>
      <c r="O1308" s="189">
        <f>SUM(J1308:N1308)</f>
        <v/>
      </c>
      <c r="P1308" s="190">
        <f>O1308/IF(H1308="L",20,IF(H1308="U",30,IF(H1308="O",40,IF(H1308="I",20,""))))</f>
        <v/>
      </c>
      <c r="Q1308" s="190">
        <f>IF(AND(H1308="L", P1308&gt;=50%), "Pass", IF(AND(H1308="U", P1308&gt;=60%), "Pass", IF(AND(H1308="O", P1308&gt;=75%), "Pass", "Fail")))</f>
        <v/>
      </c>
      <c r="R1308" s="189" t="n"/>
      <c r="S1308" s="189" t="n">
        <v>15</v>
      </c>
      <c r="T1308" s="189" t="n">
        <v>15</v>
      </c>
      <c r="U1308" s="189">
        <f>SUM(S1308:T1308)</f>
        <v/>
      </c>
      <c r="V1308" s="190">
        <f>U1308/IF(H1308="L",35,IF(H1308="U",35,IF(H1308="O",35,IF(H1308="I",35,""))))</f>
        <v/>
      </c>
      <c r="W1308" s="190">
        <f>IF(AND(H1308="L", V1308&gt;=50%), "Pass", IF(AND(H1308="U", V1308&gt;=60%), "Pass", IF(AND(H1308="O", V1308&gt;=75%), "Pass", "Fail")))</f>
        <v/>
      </c>
      <c r="X1308" s="190">
        <f>IF(AND(Q1308="Pass", W1308="Pass"), "Pass", "Fail")</f>
        <v/>
      </c>
      <c r="Y1308" s="191">
        <f>IF($X1308="Pass",$H1308, IF(H1308="L","I", IF(H1308="U","L", IF(H1308="O","U", "I"))))</f>
        <v/>
      </c>
      <c r="Z1308" s="182" t="n"/>
    </row>
    <row r="1309">
      <c r="A1309" s="185">
        <f>ROW()-2</f>
        <v/>
      </c>
      <c r="B1309" s="133" t="inlineStr">
        <is>
          <t>AK0989</t>
        </is>
      </c>
      <c r="C1309" s="148" t="inlineStr">
        <is>
          <t>SARAVANAKUMAR K</t>
        </is>
      </c>
      <c r="D1309" s="133" t="inlineStr">
        <is>
          <t>QUALITY CONTROL</t>
        </is>
      </c>
      <c r="E1309" s="186" t="inlineStr">
        <is>
          <t>Final Finish QA</t>
        </is>
      </c>
      <c r="F1309" s="187" t="n">
        <v>44183</v>
      </c>
      <c r="G1309" s="188">
        <f>NOW()-F1309</f>
        <v/>
      </c>
      <c r="H1309" s="189" t="inlineStr">
        <is>
          <t>O</t>
        </is>
      </c>
      <c r="I1309" s="189" t="inlineStr">
        <is>
          <t>O</t>
        </is>
      </c>
      <c r="J1309" s="189" t="n">
        <v>10</v>
      </c>
      <c r="K1309" s="189" t="n">
        <v>17</v>
      </c>
      <c r="L1309" s="189" t="n">
        <v>0</v>
      </c>
      <c r="M1309" s="189" t="n">
        <v>9</v>
      </c>
      <c r="N1309" s="189" t="n"/>
      <c r="O1309" s="189">
        <f>SUM(J1309:N1309)</f>
        <v/>
      </c>
      <c r="P1309" s="190">
        <f>O1309/IF(H1309="L",20,IF(H1309="U",30,IF(H1309="O",40,IF(H1309="I",20,""))))</f>
        <v/>
      </c>
      <c r="Q1309" s="190">
        <f>IF(AND(H1309="L", P1309&gt;=50%), "Pass", IF(AND(H1309="U", P1309&gt;=60%), "Pass", IF(AND(H1309="O", P1309&gt;=75%), "Pass", "Fail")))</f>
        <v/>
      </c>
      <c r="R1309" s="189" t="n"/>
      <c r="S1309" s="189" t="n">
        <v>15</v>
      </c>
      <c r="T1309" s="189" t="n">
        <v>15</v>
      </c>
      <c r="U1309" s="189">
        <f>SUM(S1309:T1309)</f>
        <v/>
      </c>
      <c r="V1309" s="190">
        <f>U1309/IF(H1309="L",35,IF(H1309="U",35,IF(H1309="O",35,IF(H1309="I",35,""))))</f>
        <v/>
      </c>
      <c r="W1309" s="190">
        <f>IF(AND(H1309="L", V1309&gt;=50%), "Pass", IF(AND(H1309="U", V1309&gt;=60%), "Pass", IF(AND(H1309="O", V1309&gt;=75%), "Pass", "Fail")))</f>
        <v/>
      </c>
      <c r="X1309" s="190">
        <f>IF(AND(Q1309="Pass", W1309="Pass"), "Pass", "Fail")</f>
        <v/>
      </c>
      <c r="Y1309" s="191">
        <f>IF($X1309="Pass",$H1309, IF(H1309="L","I", IF(H1309="U","L", IF(H1309="O","U", "I"))))</f>
        <v/>
      </c>
      <c r="Z1309" s="182" t="n"/>
    </row>
    <row r="1310">
      <c r="A1310" s="185">
        <f>ROW()-2</f>
        <v/>
      </c>
      <c r="B1310" s="133" t="inlineStr">
        <is>
          <t>AK1123</t>
        </is>
      </c>
      <c r="C1310" s="148" t="inlineStr">
        <is>
          <t>ATHITHINAKARAN C</t>
        </is>
      </c>
      <c r="D1310" s="133" t="inlineStr">
        <is>
          <t>QUALITY CONTROL</t>
        </is>
      </c>
      <c r="E1310" s="186" t="inlineStr">
        <is>
          <t>Final Finish QA</t>
        </is>
      </c>
      <c r="F1310" s="187" t="n">
        <v>44693</v>
      </c>
      <c r="G1310" s="188">
        <f>NOW()-F1310</f>
        <v/>
      </c>
      <c r="H1310" s="189" t="inlineStr">
        <is>
          <t>O</t>
        </is>
      </c>
      <c r="I1310" s="189" t="inlineStr">
        <is>
          <t>O</t>
        </is>
      </c>
      <c r="J1310" s="189" t="n">
        <v>10</v>
      </c>
      <c r="K1310" s="189" t="n">
        <v>17</v>
      </c>
      <c r="L1310" s="189" t="n">
        <v>0</v>
      </c>
      <c r="M1310" s="189" t="n">
        <v>9</v>
      </c>
      <c r="N1310" s="189" t="n"/>
      <c r="O1310" s="189">
        <f>SUM(J1310:N1310)</f>
        <v/>
      </c>
      <c r="P1310" s="190">
        <f>O1310/IF(H1310="L",20,IF(H1310="U",30,IF(H1310="O",40,IF(H1310="I",20,""))))</f>
        <v/>
      </c>
      <c r="Q1310" s="190">
        <f>IF(AND(H1310="L", P1310&gt;=50%), "Pass", IF(AND(H1310="U", P1310&gt;=60%), "Pass", IF(AND(H1310="O", P1310&gt;=75%), "Pass", "Fail")))</f>
        <v/>
      </c>
      <c r="R1310" s="189" t="n"/>
      <c r="S1310" s="189" t="n">
        <v>15</v>
      </c>
      <c r="T1310" s="189" t="n">
        <v>15</v>
      </c>
      <c r="U1310" s="189">
        <f>SUM(S1310:T1310)</f>
        <v/>
      </c>
      <c r="V1310" s="190">
        <f>U1310/IF(H1310="L",35,IF(H1310="U",35,IF(H1310="O",35,IF(H1310="I",35,""))))</f>
        <v/>
      </c>
      <c r="W1310" s="190">
        <f>IF(AND(H1310="L", V1310&gt;=50%), "Pass", IF(AND(H1310="U", V1310&gt;=60%), "Pass", IF(AND(H1310="O", V1310&gt;=75%), "Pass", "Fail")))</f>
        <v/>
      </c>
      <c r="X1310" s="190">
        <f>IF(AND(Q1310="Pass", W1310="Pass"), "Pass", "Fail")</f>
        <v/>
      </c>
      <c r="Y1310" s="191">
        <f>IF($X1310="Pass",$H1310, IF(H1310="L","I", IF(H1310="U","L", IF(H1310="O","U", "I"))))</f>
        <v/>
      </c>
      <c r="Z1310" s="182" t="n"/>
    </row>
    <row r="1311">
      <c r="A1311" s="185">
        <f>ROW()-2</f>
        <v/>
      </c>
      <c r="B1311" s="133" t="inlineStr">
        <is>
          <t>AK1142</t>
        </is>
      </c>
      <c r="C1311" s="148" t="inlineStr">
        <is>
          <t>SELVA RAMESH C</t>
        </is>
      </c>
      <c r="D1311" s="133" t="inlineStr">
        <is>
          <t>QUALITY CONTROL</t>
        </is>
      </c>
      <c r="E1311" s="186" t="inlineStr">
        <is>
          <t>Final Finish QA</t>
        </is>
      </c>
      <c r="F1311" s="187" t="n">
        <v>44821</v>
      </c>
      <c r="G1311" s="188">
        <f>NOW()-F1311</f>
        <v/>
      </c>
      <c r="H1311" s="189" t="inlineStr">
        <is>
          <t>O</t>
        </is>
      </c>
      <c r="I1311" s="189" t="inlineStr">
        <is>
          <t>U</t>
        </is>
      </c>
      <c r="J1311" s="189" t="n">
        <v>10</v>
      </c>
      <c r="K1311" s="189" t="n">
        <v>18</v>
      </c>
      <c r="L1311" s="189" t="n">
        <v>0</v>
      </c>
      <c r="M1311" s="189" t="n">
        <v>9</v>
      </c>
      <c r="N1311" s="189" t="n"/>
      <c r="O1311" s="189">
        <f>SUM(J1311:N1311)</f>
        <v/>
      </c>
      <c r="P1311" s="190">
        <f>O1311/IF(H1311="L",20,IF(H1311="U",30,IF(H1311="O",40,IF(H1311="I",20,""))))</f>
        <v/>
      </c>
      <c r="Q1311" s="190">
        <f>IF(AND(H1311="L", P1311&gt;=50%), "Pass", IF(AND(H1311="U", P1311&gt;=60%), "Pass", IF(AND(H1311="O", P1311&gt;=75%), "Pass", "Fail")))</f>
        <v/>
      </c>
      <c r="R1311" s="189" t="n"/>
      <c r="S1311" s="189" t="n">
        <v>15</v>
      </c>
      <c r="T1311" s="189" t="n">
        <v>15</v>
      </c>
      <c r="U1311" s="189">
        <f>SUM(S1311:T1311)</f>
        <v/>
      </c>
      <c r="V1311" s="190">
        <f>U1311/IF(H1311="L",35,IF(H1311="U",35,IF(H1311="O",35,IF(H1311="I",35,""))))</f>
        <v/>
      </c>
      <c r="W1311" s="190">
        <f>IF(AND(H1311="L", V1311&gt;=50%), "Pass", IF(AND(H1311="U", V1311&gt;=60%), "Pass", IF(AND(H1311="O", V1311&gt;=75%), "Pass", "Fail")))</f>
        <v/>
      </c>
      <c r="X1311" s="190">
        <f>IF(AND(Q1311="Pass", W1311="Pass"), "Pass", "Fail")</f>
        <v/>
      </c>
      <c r="Y1311" s="191">
        <f>IF($X1311="Pass",$H1311, IF(H1311="L","I", IF(H1311="U","L", IF(H1311="O","U", "I"))))</f>
        <v/>
      </c>
      <c r="Z1311" s="182" t="n"/>
    </row>
    <row r="1312">
      <c r="A1312" s="185">
        <f>ROW()-2</f>
        <v/>
      </c>
      <c r="B1312" s="133" t="inlineStr">
        <is>
          <t>IPF0023</t>
        </is>
      </c>
      <c r="C1312" s="148" t="inlineStr">
        <is>
          <t>ARUMUGAM S</t>
        </is>
      </c>
      <c r="D1312" s="133" t="inlineStr">
        <is>
          <t>QUALITY CONTROL</t>
        </is>
      </c>
      <c r="E1312" s="186" t="inlineStr">
        <is>
          <t>Final Finish QA</t>
        </is>
      </c>
      <c r="F1312" s="187" t="n">
        <v>46224</v>
      </c>
      <c r="G1312" s="188">
        <f>NOW()-F1312</f>
        <v/>
      </c>
      <c r="H1312" s="189" t="inlineStr">
        <is>
          <t>L</t>
        </is>
      </c>
      <c r="I1312" s="189" t="inlineStr">
        <is>
          <t>I</t>
        </is>
      </c>
      <c r="J1312" s="189" t="n"/>
      <c r="K1312" s="189" t="n"/>
      <c r="L1312" s="189" t="n"/>
      <c r="M1312" s="189" t="n"/>
      <c r="N1312" s="189" t="n"/>
      <c r="O1312" s="189">
        <f>SUM(J1312:N1312)</f>
        <v/>
      </c>
      <c r="P1312" s="190">
        <f>O1312/IF(H1312="L",20,IF(H1312="U",30,IF(H1312="O",40,IF(H1312="I",20,""))))</f>
        <v/>
      </c>
      <c r="Q1312" s="190">
        <f>IF(AND(H1312="L", P1312&gt;=50%), "Pass", IF(AND(H1312="U", P1312&gt;=60%), "Pass", IF(AND(H1312="O", P1312&gt;=75%), "Pass", "Fail")))</f>
        <v/>
      </c>
      <c r="R1312" s="189" t="n"/>
      <c r="S1312" s="189" t="n"/>
      <c r="T1312" s="189" t="n"/>
      <c r="U1312" s="189">
        <f>SUM(S1312:T1312)</f>
        <v/>
      </c>
      <c r="V1312" s="190">
        <f>U1312/IF(H1312="L",35,IF(H1312="U",35,IF(H1312="O",35,IF(H1312="I",35,""))))</f>
        <v/>
      </c>
      <c r="W1312" s="190">
        <f>IF(AND(H1312="L", V1312&gt;=50%), "Pass", IF(AND(H1312="U", V1312&gt;=60%), "Pass", IF(AND(H1312="O", V1312&gt;=75%), "Pass", "Fail")))</f>
        <v/>
      </c>
      <c r="X1312" s="190">
        <f>IF(AND(Q1312="Pass", W1312="Pass"), "Pass", "Fail")</f>
        <v/>
      </c>
      <c r="Y1312" s="191">
        <f>IF($X1312="Pass",$H1312, IF(H1312="L","I", IF(H1312="U","L", IF(H1312="O","U", "I"))))</f>
        <v/>
      </c>
      <c r="Z1312" s="182" t="n"/>
    </row>
    <row r="1313">
      <c r="A1313" s="185">
        <f>ROW()-2</f>
        <v/>
      </c>
      <c r="B1313" s="133" t="inlineStr">
        <is>
          <t>IPF0062</t>
        </is>
      </c>
      <c r="C1313" s="148" t="inlineStr">
        <is>
          <t>PALANI MURUGAN</t>
        </is>
      </c>
      <c r="D1313" s="133" t="inlineStr">
        <is>
          <t>QUALITY CONTROL</t>
        </is>
      </c>
      <c r="E1313" s="186" t="inlineStr">
        <is>
          <t>Final Finish QA</t>
        </is>
      </c>
      <c r="F1313" s="187" t="n">
        <v>46245</v>
      </c>
      <c r="G1313" s="188">
        <f>NOW()-F1313</f>
        <v/>
      </c>
      <c r="H1313" s="189" t="inlineStr">
        <is>
          <t>L</t>
        </is>
      </c>
      <c r="I1313" s="189" t="inlineStr">
        <is>
          <t>I</t>
        </is>
      </c>
      <c r="J1313" s="189" t="n"/>
      <c r="K1313" s="189" t="n"/>
      <c r="L1313" s="189" t="n"/>
      <c r="M1313" s="189" t="n"/>
      <c r="N1313" s="189" t="n"/>
      <c r="O1313" s="189">
        <f>SUM(J1313:N1313)</f>
        <v/>
      </c>
      <c r="P1313" s="190">
        <f>O1313/IF(H1313="L",20,IF(H1313="U",30,IF(H1313="O",40,IF(H1313="I",20,""))))</f>
        <v/>
      </c>
      <c r="Q1313" s="190">
        <f>IF(AND(H1313="L", P1313&gt;=50%), "Pass", IF(AND(H1313="U", P1313&gt;=60%), "Pass", IF(AND(H1313="O", P1313&gt;=75%), "Pass", "Fail")))</f>
        <v/>
      </c>
      <c r="R1313" s="189" t="n"/>
      <c r="S1313" s="189" t="n"/>
      <c r="T1313" s="189" t="n"/>
      <c r="U1313" s="189">
        <f>SUM(S1313:T1313)</f>
        <v/>
      </c>
      <c r="V1313" s="190">
        <f>U1313/IF(H1313="L",35,IF(H1313="U",35,IF(H1313="O",35,IF(H1313="I",35,""))))</f>
        <v/>
      </c>
      <c r="W1313" s="190">
        <f>IF(AND(H1313="L", V1313&gt;=50%), "Pass", IF(AND(H1313="U", V1313&gt;=60%), "Pass", IF(AND(H1313="O", V1313&gt;=75%), "Pass", "Fail")))</f>
        <v/>
      </c>
      <c r="X1313" s="190">
        <f>IF(AND(Q1313="Pass", W1313="Pass"), "Pass", "Fail")</f>
        <v/>
      </c>
      <c r="Y1313" s="191">
        <f>IF($X1313="Pass",$H1313, IF(H1313="L","I", IF(H1313="U","L", IF(H1313="O","U", "I"))))</f>
        <v/>
      </c>
      <c r="Z1313" s="182" t="n"/>
    </row>
    <row r="1314">
      <c r="A1314" s="185">
        <f>ROW()-2</f>
        <v/>
      </c>
      <c r="B1314" s="133" t="inlineStr">
        <is>
          <t>IPF0064</t>
        </is>
      </c>
      <c r="C1314" s="148" t="inlineStr">
        <is>
          <t>M.SUBASH</t>
        </is>
      </c>
      <c r="D1314" s="133" t="inlineStr">
        <is>
          <t>QUALITY CONTROL</t>
        </is>
      </c>
      <c r="E1314" s="186" t="inlineStr">
        <is>
          <t>Final Finish QA</t>
        </is>
      </c>
      <c r="F1314" s="187" t="n">
        <v>46245</v>
      </c>
      <c r="G1314" s="188">
        <f>NOW()-F1314</f>
        <v/>
      </c>
      <c r="H1314" s="189" t="inlineStr">
        <is>
          <t>L</t>
        </is>
      </c>
      <c r="I1314" s="189" t="inlineStr">
        <is>
          <t>I</t>
        </is>
      </c>
      <c r="J1314" s="189" t="n"/>
      <c r="K1314" s="189" t="n"/>
      <c r="L1314" s="189" t="n"/>
      <c r="M1314" s="189" t="n"/>
      <c r="N1314" s="189" t="n"/>
      <c r="O1314" s="189">
        <f>SUM(J1314:N1314)</f>
        <v/>
      </c>
      <c r="P1314" s="190">
        <f>O1314/IF(H1314="L",20,IF(H1314="U",30,IF(H1314="O",40,IF(H1314="I",20,""))))</f>
        <v/>
      </c>
      <c r="Q1314" s="190">
        <f>IF(AND(H1314="L", P1314&gt;=50%), "Pass", IF(AND(H1314="U", P1314&gt;=60%), "Pass", IF(AND(H1314="O", P1314&gt;=75%), "Pass", "Fail")))</f>
        <v/>
      </c>
      <c r="R1314" s="189" t="n"/>
      <c r="S1314" s="189" t="n"/>
      <c r="T1314" s="189" t="n"/>
      <c r="U1314" s="189">
        <f>SUM(S1314:T1314)</f>
        <v/>
      </c>
      <c r="V1314" s="190">
        <f>U1314/IF(H1314="L",35,IF(H1314="U",35,IF(H1314="O",35,IF(H1314="I",35,""))))</f>
        <v/>
      </c>
      <c r="W1314" s="190">
        <f>IF(AND(H1314="L", V1314&gt;=50%), "Pass", IF(AND(H1314="U", V1314&gt;=60%), "Pass", IF(AND(H1314="O", V1314&gt;=75%), "Pass", "Fail")))</f>
        <v/>
      </c>
      <c r="X1314" s="190">
        <f>IF(AND(Q1314="Pass", W1314="Pass"), "Pass", "Fail")</f>
        <v/>
      </c>
      <c r="Y1314" s="191">
        <f>IF($X1314="Pass",$H1314, IF(H1314="L","I", IF(H1314="U","L", IF(H1314="O","U", "I"))))</f>
        <v/>
      </c>
      <c r="Z1314" s="182" t="n"/>
    </row>
    <row r="1315">
      <c r="A1315" s="185">
        <f>ROW()-2</f>
        <v/>
      </c>
      <c r="B1315" s="133" t="inlineStr">
        <is>
          <t>KK0033</t>
        </is>
      </c>
      <c r="C1315" s="148" t="inlineStr">
        <is>
          <t>SURESH K</t>
        </is>
      </c>
      <c r="D1315" s="133" t="inlineStr">
        <is>
          <t>QUALITY CONTROL</t>
        </is>
      </c>
      <c r="E1315" s="186" t="inlineStr">
        <is>
          <t>Final Finish QA</t>
        </is>
      </c>
      <c r="F1315" s="187" t="n">
        <v>41538</v>
      </c>
      <c r="G1315" s="188">
        <f>NOW()-F1315</f>
        <v/>
      </c>
      <c r="H1315" s="189" t="inlineStr">
        <is>
          <t>O</t>
        </is>
      </c>
      <c r="I1315" s="189" t="inlineStr">
        <is>
          <t>O</t>
        </is>
      </c>
      <c r="J1315" s="189" t="n">
        <v>10</v>
      </c>
      <c r="K1315" s="189" t="n">
        <v>18</v>
      </c>
      <c r="L1315" s="189" t="n">
        <v>0</v>
      </c>
      <c r="M1315" s="189" t="n">
        <v>9</v>
      </c>
      <c r="N1315" s="189" t="n"/>
      <c r="O1315" s="189">
        <f>SUM(J1315:N1315)</f>
        <v/>
      </c>
      <c r="P1315" s="190">
        <f>O1315/IF(H1315="L",20,IF(H1315="U",30,IF(H1315="O",40,IF(H1315="I",20,""))))</f>
        <v/>
      </c>
      <c r="Q1315" s="190">
        <f>IF(AND(H1315="L", P1315&gt;=50%), "Pass", IF(AND(H1315="U", P1315&gt;=60%), "Pass", IF(AND(H1315="O", P1315&gt;=75%), "Pass", "Fail")))</f>
        <v/>
      </c>
      <c r="R1315" s="189" t="n"/>
      <c r="S1315" s="189" t="n">
        <v>15</v>
      </c>
      <c r="T1315" s="189" t="n">
        <v>15</v>
      </c>
      <c r="U1315" s="189">
        <f>SUM(S1315:T1315)</f>
        <v/>
      </c>
      <c r="V1315" s="190">
        <f>U1315/IF(H1315="L",35,IF(H1315="U",35,IF(H1315="O",35,IF(H1315="I",35,""))))</f>
        <v/>
      </c>
      <c r="W1315" s="190">
        <f>IF(AND(H1315="L", V1315&gt;=50%), "Pass", IF(AND(H1315="U", V1315&gt;=60%), "Pass", IF(AND(H1315="O", V1315&gt;=75%), "Pass", "Fail")))</f>
        <v/>
      </c>
      <c r="X1315" s="190">
        <f>IF(AND(Q1315="Pass", W1315="Pass"), "Pass", "Fail")</f>
        <v/>
      </c>
      <c r="Y1315" s="191">
        <f>IF($X1315="Pass",$H1315, IF(H1315="L","I", IF(H1315="U","L", IF(H1315="O","U", "I"))))</f>
        <v/>
      </c>
      <c r="Z1315" s="182" t="n"/>
    </row>
    <row r="1316">
      <c r="A1316" s="185">
        <f>ROW()-2</f>
        <v/>
      </c>
      <c r="B1316" s="133" t="inlineStr">
        <is>
          <t>KK0345</t>
        </is>
      </c>
      <c r="C1316" s="148" t="inlineStr">
        <is>
          <t>THANGA PANDIAN D</t>
        </is>
      </c>
      <c r="D1316" s="133" t="inlineStr">
        <is>
          <t>QUALITY CONTROL</t>
        </is>
      </c>
      <c r="E1316" s="186" t="inlineStr">
        <is>
          <t>Final Finish QA</t>
        </is>
      </c>
      <c r="F1316" s="187" t="n">
        <v>42049</v>
      </c>
      <c r="G1316" s="188">
        <f>NOW()-F1316</f>
        <v/>
      </c>
      <c r="H1316" s="189" t="inlineStr">
        <is>
          <t>O</t>
        </is>
      </c>
      <c r="I1316" s="189" t="inlineStr">
        <is>
          <t>O</t>
        </is>
      </c>
      <c r="J1316" s="189" t="n">
        <v>10</v>
      </c>
      <c r="K1316" s="189" t="n">
        <v>19</v>
      </c>
      <c r="L1316" s="189" t="n">
        <v>0</v>
      </c>
      <c r="M1316" s="189" t="n">
        <v>9</v>
      </c>
      <c r="N1316" s="189" t="n"/>
      <c r="O1316" s="189">
        <f>SUM(J1316:N1316)</f>
        <v/>
      </c>
      <c r="P1316" s="190">
        <f>O1316/IF(H1316="L",20,IF(H1316="U",30,IF(H1316="O",40,IF(H1316="I",20,""))))</f>
        <v/>
      </c>
      <c r="Q1316" s="190">
        <f>IF(AND(H1316="L", P1316&gt;=50%), "Pass", IF(AND(H1316="U", P1316&gt;=60%), "Pass", IF(AND(H1316="O", P1316&gt;=75%), "Pass", "Fail")))</f>
        <v/>
      </c>
      <c r="R1316" s="189" t="n"/>
      <c r="S1316" s="189" t="n">
        <v>15</v>
      </c>
      <c r="T1316" s="189" t="n">
        <v>15</v>
      </c>
      <c r="U1316" s="189">
        <f>SUM(S1316:T1316)</f>
        <v/>
      </c>
      <c r="V1316" s="190">
        <f>U1316/IF(H1316="L",35,IF(H1316="U",35,IF(H1316="O",35,IF(H1316="I",35,""))))</f>
        <v/>
      </c>
      <c r="W1316" s="190">
        <f>IF(AND(H1316="L", V1316&gt;=50%), "Pass", IF(AND(H1316="U", V1316&gt;=60%), "Pass", IF(AND(H1316="O", V1316&gt;=75%), "Pass", "Fail")))</f>
        <v/>
      </c>
      <c r="X1316" s="190">
        <f>IF(AND(Q1316="Pass", W1316="Pass"), "Pass", "Fail")</f>
        <v/>
      </c>
      <c r="Y1316" s="191">
        <f>IF($X1316="Pass",$H1316, IF(H1316="L","I", IF(H1316="U","L", IF(H1316="O","U", "I"))))</f>
        <v/>
      </c>
      <c r="Z1316" s="182" t="n"/>
    </row>
    <row r="1317">
      <c r="A1317" s="185">
        <f>ROW()-2</f>
        <v/>
      </c>
      <c r="B1317" s="133" t="inlineStr">
        <is>
          <t>KK1208</t>
        </is>
      </c>
      <c r="C1317" s="148" t="inlineStr">
        <is>
          <t>VENGATESH</t>
        </is>
      </c>
      <c r="D1317" s="133" t="inlineStr">
        <is>
          <t>QUALITY CONTROL</t>
        </is>
      </c>
      <c r="E1317" s="186" t="inlineStr">
        <is>
          <t>Final Finish QA</t>
        </is>
      </c>
      <c r="F1317" s="187" t="n">
        <v>44242</v>
      </c>
      <c r="G1317" s="188">
        <f>NOW()-F1317</f>
        <v/>
      </c>
      <c r="H1317" s="189" t="inlineStr">
        <is>
          <t>O</t>
        </is>
      </c>
      <c r="I1317" s="189" t="inlineStr">
        <is>
          <t>O</t>
        </is>
      </c>
      <c r="J1317" s="189" t="n">
        <v>10</v>
      </c>
      <c r="K1317" s="189" t="n">
        <v>17</v>
      </c>
      <c r="L1317" s="189" t="n">
        <v>0</v>
      </c>
      <c r="M1317" s="189" t="n">
        <v>9</v>
      </c>
      <c r="N1317" s="189" t="n"/>
      <c r="O1317" s="189">
        <f>SUM(J1317:N1317)</f>
        <v/>
      </c>
      <c r="P1317" s="190">
        <f>O1317/IF(H1317="L",20,IF(H1317="U",30,IF(H1317="O",40,IF(H1317="I",20,""))))</f>
        <v/>
      </c>
      <c r="Q1317" s="190">
        <f>IF(AND(H1317="L", P1317&gt;=50%), "Pass", IF(AND(H1317="U", P1317&gt;=60%), "Pass", IF(AND(H1317="O", P1317&gt;=75%), "Pass", "Fail")))</f>
        <v/>
      </c>
      <c r="R1317" s="189" t="n"/>
      <c r="S1317" s="189" t="n">
        <v>15</v>
      </c>
      <c r="T1317" s="189" t="n">
        <v>15</v>
      </c>
      <c r="U1317" s="189">
        <f>SUM(S1317:T1317)</f>
        <v/>
      </c>
      <c r="V1317" s="190">
        <f>U1317/IF(H1317="L",35,IF(H1317="U",35,IF(H1317="O",35,IF(H1317="I",35,""))))</f>
        <v/>
      </c>
      <c r="W1317" s="190">
        <f>IF(AND(H1317="L", V1317&gt;=50%), "Pass", IF(AND(H1317="U", V1317&gt;=60%), "Pass", IF(AND(H1317="O", V1317&gt;=75%), "Pass", "Fail")))</f>
        <v/>
      </c>
      <c r="X1317" s="190">
        <f>IF(AND(Q1317="Pass", W1317="Pass"), "Pass", "Fail")</f>
        <v/>
      </c>
      <c r="Y1317" s="191">
        <f>IF($X1317="Pass",$H1317, IF(H1317="L","I", IF(H1317="U","L", IF(H1317="O","U", "I"))))</f>
        <v/>
      </c>
      <c r="Z1317" s="182" t="n"/>
    </row>
    <row r="1318">
      <c r="A1318" s="185">
        <f>ROW()-2</f>
        <v/>
      </c>
      <c r="B1318" s="133" t="inlineStr">
        <is>
          <t>KK1357</t>
        </is>
      </c>
      <c r="C1318" s="148" t="inlineStr">
        <is>
          <t>VEMBAN ESAKKI</t>
        </is>
      </c>
      <c r="D1318" s="133" t="inlineStr">
        <is>
          <t>QUALITY CONTROL</t>
        </is>
      </c>
      <c r="E1318" s="186" t="inlineStr">
        <is>
          <t>Final Finish QA</t>
        </is>
      </c>
      <c r="F1318" s="187" t="n">
        <v>44606</v>
      </c>
      <c r="G1318" s="188">
        <f>NOW()-F1318</f>
        <v/>
      </c>
      <c r="H1318" s="189" t="inlineStr">
        <is>
          <t>O</t>
        </is>
      </c>
      <c r="I1318" s="189" t="inlineStr">
        <is>
          <t>O</t>
        </is>
      </c>
      <c r="J1318" s="189" t="n">
        <v>10</v>
      </c>
      <c r="K1318" s="189" t="n">
        <v>17</v>
      </c>
      <c r="L1318" s="189" t="n">
        <v>0</v>
      </c>
      <c r="M1318" s="189" t="n">
        <v>9</v>
      </c>
      <c r="N1318" s="189" t="n"/>
      <c r="O1318" s="189">
        <f>SUM(J1318:N1318)</f>
        <v/>
      </c>
      <c r="P1318" s="190">
        <f>O1318/IF(H1318="L",20,IF(H1318="U",30,IF(H1318="O",40,IF(H1318="I",20,""))))</f>
        <v/>
      </c>
      <c r="Q1318" s="190">
        <f>IF(AND(H1318="L", P1318&gt;=50%), "Pass", IF(AND(H1318="U", P1318&gt;=60%), "Pass", IF(AND(H1318="O", P1318&gt;=75%), "Pass", "Fail")))</f>
        <v/>
      </c>
      <c r="R1318" s="189" t="n"/>
      <c r="S1318" s="189" t="n">
        <v>15</v>
      </c>
      <c r="T1318" s="189" t="n">
        <v>15</v>
      </c>
      <c r="U1318" s="189">
        <f>SUM(S1318:T1318)</f>
        <v/>
      </c>
      <c r="V1318" s="190">
        <f>U1318/IF(H1318="L",35,IF(H1318="U",35,IF(H1318="O",35,IF(H1318="I",35,""))))</f>
        <v/>
      </c>
      <c r="W1318" s="190">
        <f>IF(AND(H1318="L", V1318&gt;=50%), "Pass", IF(AND(H1318="U", V1318&gt;=60%), "Pass", IF(AND(H1318="O", V1318&gt;=75%), "Pass", "Fail")))</f>
        <v/>
      </c>
      <c r="X1318" s="190">
        <f>IF(AND(Q1318="Pass", W1318="Pass"), "Pass", "Fail")</f>
        <v/>
      </c>
      <c r="Y1318" s="191">
        <f>IF($X1318="Pass",$H1318, IF(H1318="L","I", IF(H1318="U","L", IF(H1318="O","U", "I"))))</f>
        <v/>
      </c>
      <c r="Z1318" s="182" t="n"/>
    </row>
    <row r="1319">
      <c r="A1319" s="185">
        <f>ROW()-2</f>
        <v/>
      </c>
      <c r="B1319" s="133" t="inlineStr">
        <is>
          <t>KK1444</t>
        </is>
      </c>
      <c r="C1319" s="148" t="inlineStr">
        <is>
          <t>JEGANVINOTH NARAYANAN</t>
        </is>
      </c>
      <c r="D1319" s="133" t="inlineStr">
        <is>
          <t>QUALITY CONTROL</t>
        </is>
      </c>
      <c r="E1319" s="186" t="inlineStr">
        <is>
          <t>Final Finish QA</t>
        </is>
      </c>
      <c r="F1319" s="187" t="n">
        <v>45059</v>
      </c>
      <c r="G1319" s="188">
        <f>NOW()-F1319</f>
        <v/>
      </c>
      <c r="H1319" s="189" t="inlineStr">
        <is>
          <t>O</t>
        </is>
      </c>
      <c r="I1319" s="189" t="inlineStr">
        <is>
          <t>U</t>
        </is>
      </c>
      <c r="J1319" s="189" t="n">
        <v>10</v>
      </c>
      <c r="K1319" s="189" t="n">
        <v>17</v>
      </c>
      <c r="L1319" s="189" t="n">
        <v>0</v>
      </c>
      <c r="M1319" s="189" t="n">
        <v>9</v>
      </c>
      <c r="N1319" s="189" t="n"/>
      <c r="O1319" s="189">
        <f>SUM(J1319:N1319)</f>
        <v/>
      </c>
      <c r="P1319" s="190">
        <f>O1319/IF(H1319="L",20,IF(H1319="U",30,IF(H1319="O",40,IF(H1319="I",20,""))))</f>
        <v/>
      </c>
      <c r="Q1319" s="190">
        <f>IF(AND(H1319="L", P1319&gt;=50%), "Pass", IF(AND(H1319="U", P1319&gt;=60%), "Pass", IF(AND(H1319="O", P1319&gt;=75%), "Pass", "Fail")))</f>
        <v/>
      </c>
      <c r="R1319" s="189" t="n"/>
      <c r="S1319" s="189" t="n">
        <v>15</v>
      </c>
      <c r="T1319" s="189" t="n">
        <v>15</v>
      </c>
      <c r="U1319" s="189">
        <f>SUM(S1319:T1319)</f>
        <v/>
      </c>
      <c r="V1319" s="190">
        <f>U1319/IF(H1319="L",35,IF(H1319="U",35,IF(H1319="O",35,IF(H1319="I",35,""))))</f>
        <v/>
      </c>
      <c r="W1319" s="190">
        <f>IF(AND(H1319="L", V1319&gt;=50%), "Pass", IF(AND(H1319="U", V1319&gt;=60%), "Pass", IF(AND(H1319="O", V1319&gt;=75%), "Pass", "Fail")))</f>
        <v/>
      </c>
      <c r="X1319" s="190">
        <f>IF(AND(Q1319="Pass", W1319="Pass"), "Pass", "Fail")</f>
        <v/>
      </c>
      <c r="Y1319" s="191">
        <f>IF($X1319="Pass",$H1319, IF(H1319="L","I", IF(H1319="U","L", IF(H1319="O","U", "I"))))</f>
        <v/>
      </c>
      <c r="Z1319" s="182" t="n"/>
    </row>
    <row r="1320">
      <c r="A1320" s="185">
        <f>ROW()-2</f>
        <v/>
      </c>
      <c r="B1320" s="133" t="inlineStr">
        <is>
          <t>LN0039</t>
        </is>
      </c>
      <c r="C1320" s="148" t="inlineStr">
        <is>
          <t>PRAKASH R</t>
        </is>
      </c>
      <c r="D1320" s="133" t="inlineStr">
        <is>
          <t>QUALITY CONTROL</t>
        </is>
      </c>
      <c r="E1320" s="186" t="inlineStr">
        <is>
          <t>Final Finish QA</t>
        </is>
      </c>
      <c r="F1320" s="187" t="n">
        <v>45273</v>
      </c>
      <c r="G1320" s="188">
        <f>NOW()-F1320</f>
        <v/>
      </c>
      <c r="H1320" s="189" t="inlineStr">
        <is>
          <t>O</t>
        </is>
      </c>
      <c r="I1320" s="189" t="inlineStr">
        <is>
          <t>U</t>
        </is>
      </c>
      <c r="J1320" s="189" t="n">
        <v>7</v>
      </c>
      <c r="K1320" s="189" t="n">
        <v>14</v>
      </c>
      <c r="L1320" s="189" t="n">
        <v>0</v>
      </c>
      <c r="M1320" s="189" t="n">
        <v>7</v>
      </c>
      <c r="N1320" s="189" t="n"/>
      <c r="O1320" s="189">
        <f>SUM(J1320:N1320)</f>
        <v/>
      </c>
      <c r="P1320" s="190">
        <f>O1320/IF(H1320="L",20,IF(H1320="U",30,IF(H1320="O",40,IF(H1320="I",20,""))))</f>
        <v/>
      </c>
      <c r="Q1320" s="190">
        <f>IF(AND(H1320="L", P1320&gt;=50%), "Pass", IF(AND(H1320="U", P1320&gt;=60%), "Pass", IF(AND(H1320="O", P1320&gt;=75%), "Pass", "Fail")))</f>
        <v/>
      </c>
      <c r="R1320" s="189" t="n"/>
      <c r="S1320" s="189" t="n">
        <v>15</v>
      </c>
      <c r="T1320" s="189" t="n">
        <v>15</v>
      </c>
      <c r="U1320" s="189">
        <f>SUM(S1320:T1320)</f>
        <v/>
      </c>
      <c r="V1320" s="190">
        <f>U1320/IF(H1320="L",35,IF(H1320="U",35,IF(H1320="O",35,IF(H1320="I",35,""))))</f>
        <v/>
      </c>
      <c r="W1320" s="190">
        <f>IF(AND(H1320="L", V1320&gt;=50%), "Pass", IF(AND(H1320="U", V1320&gt;=60%), "Pass", IF(AND(H1320="O", V1320&gt;=75%), "Pass", "Fail")))</f>
        <v/>
      </c>
      <c r="X1320" s="190">
        <f>IF(AND(Q1320="Pass", W1320="Pass"), "Pass", "Fail")</f>
        <v/>
      </c>
      <c r="Y1320" s="191">
        <f>IF($X1320="Pass",$H1320, IF(H1320="L","I", IF(H1320="U","L", IF(H1320="O","U", "I"))))</f>
        <v/>
      </c>
      <c r="Z1320" s="182" t="n"/>
    </row>
    <row r="1321">
      <c r="A1321" s="185">
        <f>ROW()-2</f>
        <v/>
      </c>
      <c r="B1321" s="133" t="inlineStr">
        <is>
          <t>LN0059</t>
        </is>
      </c>
      <c r="C1321" s="148" t="inlineStr">
        <is>
          <t>MURUGAPERUMAL V</t>
        </is>
      </c>
      <c r="D1321" s="133" t="inlineStr">
        <is>
          <t>QUALITY CONTROL</t>
        </is>
      </c>
      <c r="E1321" s="186" t="inlineStr">
        <is>
          <t>Final Finish QA</t>
        </is>
      </c>
      <c r="F1321" s="187" t="n">
        <v>45273</v>
      </c>
      <c r="G1321" s="188">
        <f>NOW()-F1321</f>
        <v/>
      </c>
      <c r="H1321" s="189" t="inlineStr">
        <is>
          <t>O</t>
        </is>
      </c>
      <c r="I1321" s="189" t="inlineStr">
        <is>
          <t>U</t>
        </is>
      </c>
      <c r="J1321" s="189" t="n">
        <v>7</v>
      </c>
      <c r="K1321" s="189" t="n">
        <v>14</v>
      </c>
      <c r="L1321" s="189" t="n">
        <v>0</v>
      </c>
      <c r="M1321" s="189" t="n">
        <v>7</v>
      </c>
      <c r="N1321" s="189" t="n"/>
      <c r="O1321" s="189">
        <f>SUM(J1321:N1321)</f>
        <v/>
      </c>
      <c r="P1321" s="190">
        <f>O1321/IF(H1321="L",20,IF(H1321="U",30,IF(H1321="O",40,IF(H1321="I",20,""))))</f>
        <v/>
      </c>
      <c r="Q1321" s="190">
        <f>IF(AND(H1321="L", P1321&gt;=50%), "Pass", IF(AND(H1321="U", P1321&gt;=60%), "Pass", IF(AND(H1321="O", P1321&gt;=75%), "Pass", "Fail")))</f>
        <v/>
      </c>
      <c r="R1321" s="189" t="n"/>
      <c r="S1321" s="189" t="n">
        <v>15</v>
      </c>
      <c r="T1321" s="189" t="n">
        <v>15</v>
      </c>
      <c r="U1321" s="189">
        <f>SUM(S1321:T1321)</f>
        <v/>
      </c>
      <c r="V1321" s="190">
        <f>U1321/IF(H1321="L",35,IF(H1321="U",35,IF(H1321="O",35,IF(H1321="I",35,""))))</f>
        <v/>
      </c>
      <c r="W1321" s="190">
        <f>IF(AND(H1321="L", V1321&gt;=50%), "Pass", IF(AND(H1321="U", V1321&gt;=60%), "Pass", IF(AND(H1321="O", V1321&gt;=75%), "Pass", "Fail")))</f>
        <v/>
      </c>
      <c r="X1321" s="190">
        <f>IF(AND(Q1321="Pass", W1321="Pass"), "Pass", "Fail")</f>
        <v/>
      </c>
      <c r="Y1321" s="191">
        <f>IF($X1321="Pass",$H1321, IF(H1321="L","I", IF(H1321="U","L", IF(H1321="O","U", "I"))))</f>
        <v/>
      </c>
      <c r="Z1321" s="182" t="n"/>
    </row>
    <row r="1322">
      <c r="A1322" s="185">
        <f>ROW()-2</f>
        <v/>
      </c>
      <c r="B1322" s="133" t="inlineStr">
        <is>
          <t>LN0450</t>
        </is>
      </c>
      <c r="C1322" s="148" t="inlineStr">
        <is>
          <t>J SINTHIYA</t>
        </is>
      </c>
      <c r="D1322" s="133" t="inlineStr">
        <is>
          <t>QUALITY CONTROL</t>
        </is>
      </c>
      <c r="E1322" s="186" t="inlineStr">
        <is>
          <t>Final Finish QA</t>
        </is>
      </c>
      <c r="F1322" s="187" t="n">
        <v>45482</v>
      </c>
      <c r="G1322" s="188">
        <f>NOW()-F1322</f>
        <v/>
      </c>
      <c r="H1322" s="189" t="inlineStr">
        <is>
          <t>U</t>
        </is>
      </c>
      <c r="I1322" s="189" t="inlineStr">
        <is>
          <t>L</t>
        </is>
      </c>
      <c r="J1322" s="189" t="n"/>
      <c r="K1322" s="189" t="n"/>
      <c r="L1322" s="189" t="n"/>
      <c r="M1322" s="189" t="n"/>
      <c r="N1322" s="189" t="n"/>
      <c r="O1322" s="189">
        <f>SUM(J1322:N1322)</f>
        <v/>
      </c>
      <c r="P1322" s="190">
        <f>O1322/IF(H1322="L",20,IF(H1322="U",30,IF(H1322="O",40,IF(H1322="I",20,""))))</f>
        <v/>
      </c>
      <c r="Q1322" s="190">
        <f>IF(AND(H1322="L", P1322&gt;=50%), "Pass", IF(AND(H1322="U", P1322&gt;=60%), "Pass", IF(AND(H1322="O", P1322&gt;=75%), "Pass", "Fail")))</f>
        <v/>
      </c>
      <c r="R1322" s="189" t="n"/>
      <c r="S1322" s="189" t="n"/>
      <c r="T1322" s="189" t="n"/>
      <c r="U1322" s="189">
        <f>SUM(S1322:T1322)</f>
        <v/>
      </c>
      <c r="V1322" s="190">
        <f>U1322/IF(H1322="L",35,IF(H1322="U",35,IF(H1322="O",35,IF(H1322="I",35,""))))</f>
        <v/>
      </c>
      <c r="W1322" s="190">
        <f>IF(AND(H1322="L", V1322&gt;=50%), "Pass", IF(AND(H1322="U", V1322&gt;=60%), "Pass", IF(AND(H1322="O", V1322&gt;=75%), "Pass", "Fail")))</f>
        <v/>
      </c>
      <c r="X1322" s="190">
        <f>IF(AND(Q1322="Pass", W1322="Pass"), "Pass", "Fail")</f>
        <v/>
      </c>
      <c r="Y1322" s="191">
        <f>IF($X1322="Pass",$H1322, IF(H1322="L","I", IF(H1322="U","L", IF(H1322="O","U", "I"))))</f>
        <v/>
      </c>
      <c r="Z1322" s="182" t="n"/>
    </row>
    <row r="1323">
      <c r="A1323" s="185">
        <f>ROW()-2</f>
        <v/>
      </c>
      <c r="B1323" s="133" t="inlineStr">
        <is>
          <t>LN0510</t>
        </is>
      </c>
      <c r="C1323" s="148" t="inlineStr">
        <is>
          <t>VELLADURAI G</t>
        </is>
      </c>
      <c r="D1323" s="133" t="inlineStr">
        <is>
          <t>QUALITY CONTROL</t>
        </is>
      </c>
      <c r="E1323" s="186" t="inlineStr">
        <is>
          <t>Final Finish QA</t>
        </is>
      </c>
      <c r="F1323" s="187" t="n">
        <v>45608</v>
      </c>
      <c r="G1323" s="188">
        <f>NOW()-F1323</f>
        <v/>
      </c>
      <c r="H1323" s="189" t="inlineStr">
        <is>
          <t>U</t>
        </is>
      </c>
      <c r="I1323" s="189" t="inlineStr">
        <is>
          <t>L</t>
        </is>
      </c>
      <c r="J1323" s="189" t="n">
        <v>7</v>
      </c>
      <c r="K1323" s="189" t="n">
        <v>12</v>
      </c>
      <c r="L1323" s="189" t="n">
        <v>0</v>
      </c>
      <c r="M1323" s="189" t="n">
        <v>7</v>
      </c>
      <c r="N1323" s="189" t="n"/>
      <c r="O1323" s="189">
        <f>SUM(J1323:N1323)</f>
        <v/>
      </c>
      <c r="P1323" s="190">
        <f>O1323/IF(H1323="L",20,IF(H1323="U",30,IF(H1323="O",40,IF(H1323="I",20,""))))</f>
        <v/>
      </c>
      <c r="Q1323" s="190">
        <f>IF(AND(H1323="L", P1323&gt;=50%), "Pass", IF(AND(H1323="U", P1323&gt;=60%), "Pass", IF(AND(H1323="O", P1323&gt;=75%), "Pass", "Fail")))</f>
        <v/>
      </c>
      <c r="R1323" s="189" t="n"/>
      <c r="S1323" s="189" t="n">
        <v>15</v>
      </c>
      <c r="T1323" s="189" t="n">
        <v>15</v>
      </c>
      <c r="U1323" s="189">
        <f>SUM(S1323:T1323)</f>
        <v/>
      </c>
      <c r="V1323" s="190">
        <f>U1323/IF(H1323="L",35,IF(H1323="U",35,IF(H1323="O",35,IF(H1323="I",35,""))))</f>
        <v/>
      </c>
      <c r="W1323" s="190">
        <f>IF(AND(H1323="L", V1323&gt;=50%), "Pass", IF(AND(H1323="U", V1323&gt;=60%), "Pass", IF(AND(H1323="O", V1323&gt;=75%), "Pass", "Fail")))</f>
        <v/>
      </c>
      <c r="X1323" s="190">
        <f>IF(AND(Q1323="Pass", W1323="Pass"), "Pass", "Fail")</f>
        <v/>
      </c>
      <c r="Y1323" s="191">
        <f>IF($X1323="Pass",$H1323, IF(H1323="L","I", IF(H1323="U","L", IF(H1323="O","U", "I"))))</f>
        <v/>
      </c>
      <c r="Z1323" s="182" t="n"/>
    </row>
    <row r="1324">
      <c r="A1324" s="185">
        <f>ROW()-2</f>
        <v/>
      </c>
      <c r="B1324" s="133" t="inlineStr">
        <is>
          <t>LN0679</t>
        </is>
      </c>
      <c r="C1324" s="148" t="inlineStr">
        <is>
          <t>MAHARAJAN</t>
        </is>
      </c>
      <c r="D1324" s="133" t="inlineStr">
        <is>
          <t>QUALITY CONTROL</t>
        </is>
      </c>
      <c r="E1324" s="186" t="inlineStr">
        <is>
          <t>Final Finish QA</t>
        </is>
      </c>
      <c r="F1324" s="187" t="n">
        <v>45639</v>
      </c>
      <c r="G1324" s="188">
        <f>NOW()-F1324</f>
        <v/>
      </c>
      <c r="H1324" s="189" t="inlineStr">
        <is>
          <t>U</t>
        </is>
      </c>
      <c r="I1324" s="189" t="inlineStr">
        <is>
          <t>L</t>
        </is>
      </c>
      <c r="J1324" s="189" t="n">
        <v>7</v>
      </c>
      <c r="K1324" s="189" t="n">
        <v>12</v>
      </c>
      <c r="L1324" s="189" t="n">
        <v>0</v>
      </c>
      <c r="M1324" s="189" t="n">
        <v>7</v>
      </c>
      <c r="N1324" s="189" t="n"/>
      <c r="O1324" s="189">
        <f>SUM(J1324:N1324)</f>
        <v/>
      </c>
      <c r="P1324" s="190">
        <f>O1324/IF(H1324="L",20,IF(H1324="U",30,IF(H1324="O",40,IF(H1324="I",20,""))))</f>
        <v/>
      </c>
      <c r="Q1324" s="190">
        <f>IF(AND(H1324="L", P1324&gt;=50%), "Pass", IF(AND(H1324="U", P1324&gt;=60%), "Pass", IF(AND(H1324="O", P1324&gt;=75%), "Pass", "Fail")))</f>
        <v/>
      </c>
      <c r="R1324" s="189" t="n"/>
      <c r="S1324" s="189" t="n">
        <v>15</v>
      </c>
      <c r="T1324" s="189" t="n">
        <v>15</v>
      </c>
      <c r="U1324" s="189">
        <f>SUM(S1324:T1324)</f>
        <v/>
      </c>
      <c r="V1324" s="190">
        <f>U1324/IF(H1324="L",35,IF(H1324="U",35,IF(H1324="O",35,IF(H1324="I",35,""))))</f>
        <v/>
      </c>
      <c r="W1324" s="190">
        <f>IF(AND(H1324="L", V1324&gt;=50%), "Pass", IF(AND(H1324="U", V1324&gt;=60%), "Pass", IF(AND(H1324="O", V1324&gt;=75%), "Pass", "Fail")))</f>
        <v/>
      </c>
      <c r="X1324" s="190">
        <f>IF(AND(Q1324="Pass", W1324="Pass"), "Pass", "Fail")</f>
        <v/>
      </c>
      <c r="Y1324" s="191">
        <f>IF($X1324="Pass",$H1324, IF(H1324="L","I", IF(H1324="U","L", IF(H1324="O","U", "I"))))</f>
        <v/>
      </c>
      <c r="Z1324" s="182" t="n"/>
    </row>
    <row r="1325">
      <c r="A1325" s="185">
        <f>ROW()-2</f>
        <v/>
      </c>
      <c r="B1325" s="133" t="inlineStr">
        <is>
          <t>LN0687</t>
        </is>
      </c>
      <c r="C1325" s="148" t="inlineStr">
        <is>
          <t>PALMURUGAN V</t>
        </is>
      </c>
      <c r="D1325" s="133" t="inlineStr">
        <is>
          <t>QUALITY CONTROL</t>
        </is>
      </c>
      <c r="E1325" s="186" t="inlineStr">
        <is>
          <t>Final Finish QA</t>
        </is>
      </c>
      <c r="F1325" s="187" t="n">
        <v>45639</v>
      </c>
      <c r="G1325" s="188">
        <f>NOW()-F1325</f>
        <v/>
      </c>
      <c r="H1325" s="189" t="inlineStr">
        <is>
          <t>U</t>
        </is>
      </c>
      <c r="I1325" s="189" t="inlineStr">
        <is>
          <t>L</t>
        </is>
      </c>
      <c r="J1325" s="189" t="n">
        <v>7</v>
      </c>
      <c r="K1325" s="189" t="n">
        <v>13</v>
      </c>
      <c r="L1325" s="189" t="n">
        <v>0</v>
      </c>
      <c r="M1325" s="189" t="n">
        <v>7</v>
      </c>
      <c r="N1325" s="189" t="n"/>
      <c r="O1325" s="189">
        <f>SUM(J1325:N1325)</f>
        <v/>
      </c>
      <c r="P1325" s="190">
        <f>O1325/IF(H1325="L",20,IF(H1325="U",30,IF(H1325="O",40,IF(H1325="I",20,""))))</f>
        <v/>
      </c>
      <c r="Q1325" s="190">
        <f>IF(AND(H1325="L", P1325&gt;=50%), "Pass", IF(AND(H1325="U", P1325&gt;=60%), "Pass", IF(AND(H1325="O", P1325&gt;=75%), "Pass", "Fail")))</f>
        <v/>
      </c>
      <c r="R1325" s="189" t="n"/>
      <c r="S1325" s="189" t="n">
        <v>15</v>
      </c>
      <c r="T1325" s="189" t="n">
        <v>15</v>
      </c>
      <c r="U1325" s="189">
        <f>SUM(S1325:T1325)</f>
        <v/>
      </c>
      <c r="V1325" s="190">
        <f>U1325/IF(H1325="L",35,IF(H1325="U",35,IF(H1325="O",35,IF(H1325="I",35,""))))</f>
        <v/>
      </c>
      <c r="W1325" s="190">
        <f>IF(AND(H1325="L", V1325&gt;=50%), "Pass", IF(AND(H1325="U", V1325&gt;=60%), "Pass", IF(AND(H1325="O", V1325&gt;=75%), "Pass", "Fail")))</f>
        <v/>
      </c>
      <c r="X1325" s="190">
        <f>IF(AND(Q1325="Pass", W1325="Pass"), "Pass", "Fail")</f>
        <v/>
      </c>
      <c r="Y1325" s="191">
        <f>IF($X1325="Pass",$H1325, IF(H1325="L","I", IF(H1325="U","L", IF(H1325="O","U", "I"))))</f>
        <v/>
      </c>
      <c r="Z1325" s="182" t="n"/>
    </row>
    <row r="1326">
      <c r="A1326" s="185">
        <f>ROW()-2</f>
        <v/>
      </c>
      <c r="B1326" s="133" t="inlineStr">
        <is>
          <t>LN0854</t>
        </is>
      </c>
      <c r="C1326" s="148" t="inlineStr">
        <is>
          <t>SORNASELVI R</t>
        </is>
      </c>
      <c r="D1326" s="133" t="inlineStr">
        <is>
          <t>QUALITY CONTROL</t>
        </is>
      </c>
      <c r="E1326" s="186" t="inlineStr">
        <is>
          <t>Final Finish QA</t>
        </is>
      </c>
      <c r="F1326" s="187" t="n">
        <v>45770</v>
      </c>
      <c r="G1326" s="188">
        <f>NOW()-F1326</f>
        <v/>
      </c>
      <c r="H1326" s="189" t="inlineStr">
        <is>
          <t>U</t>
        </is>
      </c>
      <c r="I1326" s="189" t="inlineStr">
        <is>
          <t>L</t>
        </is>
      </c>
      <c r="J1326" s="189" t="n"/>
      <c r="K1326" s="189" t="n"/>
      <c r="L1326" s="189" t="n"/>
      <c r="M1326" s="189" t="n"/>
      <c r="N1326" s="189" t="n"/>
      <c r="O1326" s="189">
        <f>SUM(J1326:N1326)</f>
        <v/>
      </c>
      <c r="P1326" s="190">
        <f>O1326/IF(H1326="L",20,IF(H1326="U",30,IF(H1326="O",40,IF(H1326="I",20,""))))</f>
        <v/>
      </c>
      <c r="Q1326" s="190">
        <f>IF(AND(H1326="L", P1326&gt;=50%), "Pass", IF(AND(H1326="U", P1326&gt;=60%), "Pass", IF(AND(H1326="O", P1326&gt;=75%), "Pass", "Fail")))</f>
        <v/>
      </c>
      <c r="R1326" s="189" t="n"/>
      <c r="S1326" s="189" t="n"/>
      <c r="T1326" s="189" t="n"/>
      <c r="U1326" s="189">
        <f>SUM(S1326:T1326)</f>
        <v/>
      </c>
      <c r="V1326" s="190">
        <f>U1326/IF(H1326="L",35,IF(H1326="U",35,IF(H1326="O",35,IF(H1326="I",35,""))))</f>
        <v/>
      </c>
      <c r="W1326" s="190">
        <f>IF(AND(H1326="L", V1326&gt;=50%), "Pass", IF(AND(H1326="U", V1326&gt;=60%), "Pass", IF(AND(H1326="O", V1326&gt;=75%), "Pass", "Fail")))</f>
        <v/>
      </c>
      <c r="X1326" s="190">
        <f>IF(AND(Q1326="Pass", W1326="Pass"), "Pass", "Fail")</f>
        <v/>
      </c>
      <c r="Y1326" s="191">
        <f>IF($X1326="Pass",$H1326, IF(H1326="L","I", IF(H1326="U","L", IF(H1326="O","U", "I"))))</f>
        <v/>
      </c>
      <c r="Z1326" s="182" t="n"/>
    </row>
    <row r="1327">
      <c r="A1327" s="185">
        <f>ROW()-2</f>
        <v/>
      </c>
      <c r="B1327" s="133" t="inlineStr">
        <is>
          <t>LN0855</t>
        </is>
      </c>
      <c r="C1327" s="148" t="inlineStr">
        <is>
          <t>SAVARIAMMAL</t>
        </is>
      </c>
      <c r="D1327" s="133" t="inlineStr">
        <is>
          <t>QUALITY CONTROL</t>
        </is>
      </c>
      <c r="E1327" s="186" t="inlineStr">
        <is>
          <t>Final Finish QA</t>
        </is>
      </c>
      <c r="F1327" s="187" t="n">
        <v>45770</v>
      </c>
      <c r="G1327" s="188">
        <f>NOW()-F1327</f>
        <v/>
      </c>
      <c r="H1327" s="189" t="inlineStr">
        <is>
          <t>U</t>
        </is>
      </c>
      <c r="I1327" s="189" t="inlineStr">
        <is>
          <t>L</t>
        </is>
      </c>
      <c r="J1327" s="189" t="n"/>
      <c r="K1327" s="189" t="n"/>
      <c r="L1327" s="189" t="n"/>
      <c r="M1327" s="189" t="n"/>
      <c r="N1327" s="189" t="n"/>
      <c r="O1327" s="189">
        <f>SUM(J1327:N1327)</f>
        <v/>
      </c>
      <c r="P1327" s="190">
        <f>O1327/IF(H1327="L",20,IF(H1327="U",30,IF(H1327="O",40,IF(H1327="I",20,""))))</f>
        <v/>
      </c>
      <c r="Q1327" s="190">
        <f>IF(AND(H1327="L", P1327&gt;=50%), "Pass", IF(AND(H1327="U", P1327&gt;=60%), "Pass", IF(AND(H1327="O", P1327&gt;=75%), "Pass", "Fail")))</f>
        <v/>
      </c>
      <c r="R1327" s="189" t="n"/>
      <c r="S1327" s="189" t="n"/>
      <c r="T1327" s="189" t="n"/>
      <c r="U1327" s="189">
        <f>SUM(S1327:T1327)</f>
        <v/>
      </c>
      <c r="V1327" s="190">
        <f>U1327/IF(H1327="L",35,IF(H1327="U",35,IF(H1327="O",35,IF(H1327="I",35,""))))</f>
        <v/>
      </c>
      <c r="W1327" s="190">
        <f>IF(AND(H1327="L", V1327&gt;=50%), "Pass", IF(AND(H1327="U", V1327&gt;=60%), "Pass", IF(AND(H1327="O", V1327&gt;=75%), "Pass", "Fail")))</f>
        <v/>
      </c>
      <c r="X1327" s="190">
        <f>IF(AND(Q1327="Pass", W1327="Pass"), "Pass", "Fail")</f>
        <v/>
      </c>
      <c r="Y1327" s="191">
        <f>IF($X1327="Pass",$H1327, IF(H1327="L","I", IF(H1327="U","L", IF(H1327="O","U", "I"))))</f>
        <v/>
      </c>
      <c r="Z1327" s="182" t="n"/>
    </row>
    <row r="1328">
      <c r="A1328" s="185">
        <f>ROW()-2</f>
        <v/>
      </c>
      <c r="B1328" s="133" t="inlineStr">
        <is>
          <t>LN1012</t>
        </is>
      </c>
      <c r="C1328" s="148" t="inlineStr">
        <is>
          <t>MATHAVI</t>
        </is>
      </c>
      <c r="D1328" s="133" t="inlineStr">
        <is>
          <t>QUALITY CONTROL</t>
        </is>
      </c>
      <c r="E1328" s="186" t="inlineStr">
        <is>
          <t>Final Finish QA</t>
        </is>
      </c>
      <c r="F1328" s="187" t="n">
        <v>45959</v>
      </c>
      <c r="G1328" s="188">
        <f>NOW()-F1328</f>
        <v/>
      </c>
      <c r="H1328" s="189" t="inlineStr">
        <is>
          <t>U</t>
        </is>
      </c>
      <c r="I1328" s="189" t="inlineStr">
        <is>
          <t>L</t>
        </is>
      </c>
      <c r="J1328" s="189" t="n"/>
      <c r="K1328" s="189" t="n"/>
      <c r="L1328" s="189" t="n"/>
      <c r="M1328" s="189" t="n"/>
      <c r="N1328" s="189" t="n"/>
      <c r="O1328" s="189">
        <f>SUM(J1328:N1328)</f>
        <v/>
      </c>
      <c r="P1328" s="190">
        <f>O1328/IF(H1328="L",20,IF(H1328="U",30,IF(H1328="O",40,IF(H1328="I",20,""))))</f>
        <v/>
      </c>
      <c r="Q1328" s="190">
        <f>IF(AND(H1328="L", P1328&gt;=50%), "Pass", IF(AND(H1328="U", P1328&gt;=60%), "Pass", IF(AND(H1328="O", P1328&gt;=75%), "Pass", "Fail")))</f>
        <v/>
      </c>
      <c r="R1328" s="189" t="n"/>
      <c r="S1328" s="189" t="n"/>
      <c r="T1328" s="189" t="n"/>
      <c r="U1328" s="189">
        <f>SUM(S1328:T1328)</f>
        <v/>
      </c>
      <c r="V1328" s="190">
        <f>U1328/IF(H1328="L",35,IF(H1328="U",35,IF(H1328="O",35,IF(H1328="I",35,""))))</f>
        <v/>
      </c>
      <c r="W1328" s="190">
        <f>IF(AND(H1328="L", V1328&gt;=50%), "Pass", IF(AND(H1328="U", V1328&gt;=60%), "Pass", IF(AND(H1328="O", V1328&gt;=75%), "Pass", "Fail")))</f>
        <v/>
      </c>
      <c r="X1328" s="190">
        <f>IF(AND(Q1328="Pass", W1328="Pass"), "Pass", "Fail")</f>
        <v/>
      </c>
      <c r="Y1328" s="191">
        <f>IF($X1328="Pass",$H1328, IF(H1328="L","I", IF(H1328="U","L", IF(H1328="O","U", "I"))))</f>
        <v/>
      </c>
      <c r="Z1328" s="182" t="n"/>
    </row>
    <row r="1329">
      <c r="A1329" s="185">
        <f>ROW()-2</f>
        <v/>
      </c>
      <c r="B1329" s="133" t="inlineStr">
        <is>
          <t>LN1303</t>
        </is>
      </c>
      <c r="C1329" s="148" t="inlineStr">
        <is>
          <t>SHANMUGA SELVI M</t>
        </is>
      </c>
      <c r="D1329" s="133" t="inlineStr">
        <is>
          <t>QUALITY CONTROL</t>
        </is>
      </c>
      <c r="E1329" s="186" t="inlineStr">
        <is>
          <t>Final Finish QA</t>
        </is>
      </c>
      <c r="F1329" s="187" t="n">
        <v>46175</v>
      </c>
      <c r="G1329" s="188">
        <f>NOW()-F1329</f>
        <v/>
      </c>
      <c r="H1329" s="189" t="inlineStr">
        <is>
          <t>L</t>
        </is>
      </c>
      <c r="I1329" s="189" t="inlineStr">
        <is>
          <t>I</t>
        </is>
      </c>
      <c r="J1329" s="189" t="n"/>
      <c r="K1329" s="189" t="n"/>
      <c r="L1329" s="189" t="n"/>
      <c r="M1329" s="189" t="n"/>
      <c r="N1329" s="189" t="n"/>
      <c r="O1329" s="189">
        <f>SUM(J1329:N1329)</f>
        <v/>
      </c>
      <c r="P1329" s="190">
        <f>O1329/IF(H1329="L",20,IF(H1329="U",30,IF(H1329="O",40,IF(H1329="I",20,""))))</f>
        <v/>
      </c>
      <c r="Q1329" s="190">
        <f>IF(AND(H1329="L", P1329&gt;=50%), "Pass", IF(AND(H1329="U", P1329&gt;=60%), "Pass", IF(AND(H1329="O", P1329&gt;=75%), "Pass", "Fail")))</f>
        <v/>
      </c>
      <c r="R1329" s="189" t="n"/>
      <c r="S1329" s="189" t="n"/>
      <c r="T1329" s="189" t="n"/>
      <c r="U1329" s="189">
        <f>SUM(S1329:T1329)</f>
        <v/>
      </c>
      <c r="V1329" s="190">
        <f>U1329/IF(H1329="L",35,IF(H1329="U",35,IF(H1329="O",35,IF(H1329="I",35,""))))</f>
        <v/>
      </c>
      <c r="W1329" s="190">
        <f>IF(AND(H1329="L", V1329&gt;=50%), "Pass", IF(AND(H1329="U", V1329&gt;=60%), "Pass", IF(AND(H1329="O", V1329&gt;=75%), "Pass", "Fail")))</f>
        <v/>
      </c>
      <c r="X1329" s="190">
        <f>IF(AND(Q1329="Pass", W1329="Pass"), "Pass", "Fail")</f>
        <v/>
      </c>
      <c r="Y1329" s="191">
        <f>IF($X1329="Pass",$H1329, IF(H1329="L","I", IF(H1329="U","L", IF(H1329="O","U", "I"))))</f>
        <v/>
      </c>
      <c r="Z1329" s="182" t="n"/>
    </row>
    <row r="1330">
      <c r="A1330" s="185">
        <f>ROW()-2</f>
        <v/>
      </c>
      <c r="B1330" s="133" t="inlineStr">
        <is>
          <t>LN1306</t>
        </is>
      </c>
      <c r="C1330" s="148" t="inlineStr">
        <is>
          <t>VALLI S</t>
        </is>
      </c>
      <c r="D1330" s="133" t="inlineStr">
        <is>
          <t>QUALITY CONTROL</t>
        </is>
      </c>
      <c r="E1330" s="186" t="inlineStr">
        <is>
          <t>Final Finish QA</t>
        </is>
      </c>
      <c r="F1330" s="187" t="n">
        <v>46175</v>
      </c>
      <c r="G1330" s="188">
        <f>NOW()-F1330</f>
        <v/>
      </c>
      <c r="H1330" s="189" t="inlineStr">
        <is>
          <t>L</t>
        </is>
      </c>
      <c r="I1330" s="189" t="inlineStr">
        <is>
          <t>I</t>
        </is>
      </c>
      <c r="J1330" s="189" t="n"/>
      <c r="K1330" s="189" t="n"/>
      <c r="L1330" s="189" t="n"/>
      <c r="M1330" s="189" t="n"/>
      <c r="N1330" s="189" t="n"/>
      <c r="O1330" s="189">
        <f>SUM(J1330:N1330)</f>
        <v/>
      </c>
      <c r="P1330" s="190">
        <f>O1330/IF(H1330="L",20,IF(H1330="U",30,IF(H1330="O",40,IF(H1330="I",20,""))))</f>
        <v/>
      </c>
      <c r="Q1330" s="190">
        <f>IF(AND(H1330="L", P1330&gt;=50%), "Pass", IF(AND(H1330="U", P1330&gt;=60%), "Pass", IF(AND(H1330="O", P1330&gt;=75%), "Pass", "Fail")))</f>
        <v/>
      </c>
      <c r="R1330" s="189" t="n"/>
      <c r="S1330" s="189" t="n"/>
      <c r="T1330" s="189" t="n"/>
      <c r="U1330" s="189">
        <f>SUM(S1330:T1330)</f>
        <v/>
      </c>
      <c r="V1330" s="190">
        <f>U1330/IF(H1330="L",35,IF(H1330="U",35,IF(H1330="O",35,IF(H1330="I",35,""))))</f>
        <v/>
      </c>
      <c r="W1330" s="190">
        <f>IF(AND(H1330="L", V1330&gt;=50%), "Pass", IF(AND(H1330="U", V1330&gt;=60%), "Pass", IF(AND(H1330="O", V1330&gt;=75%), "Pass", "Fail")))</f>
        <v/>
      </c>
      <c r="X1330" s="190">
        <f>IF(AND(Q1330="Pass", W1330="Pass"), "Pass", "Fail")</f>
        <v/>
      </c>
      <c r="Y1330" s="191">
        <f>IF($X1330="Pass",$H1330, IF(H1330="L","I", IF(H1330="U","L", IF(H1330="O","U", "I"))))</f>
        <v/>
      </c>
      <c r="Z1330" s="182" t="n"/>
    </row>
    <row r="1331">
      <c r="A1331" s="185">
        <f>ROW()-2</f>
        <v/>
      </c>
      <c r="B1331" s="133" t="inlineStr">
        <is>
          <t>LN1312</t>
        </is>
      </c>
      <c r="C1331" s="148" t="inlineStr">
        <is>
          <t>PONVELLIMALAR S</t>
        </is>
      </c>
      <c r="D1331" s="133" t="inlineStr">
        <is>
          <t>QUALITY CONTROL</t>
        </is>
      </c>
      <c r="E1331" s="186" t="inlineStr">
        <is>
          <t>Final Finish QA</t>
        </is>
      </c>
      <c r="F1331" s="187" t="n">
        <v>46175</v>
      </c>
      <c r="G1331" s="188">
        <f>NOW()-F1331</f>
        <v/>
      </c>
      <c r="H1331" s="189" t="inlineStr">
        <is>
          <t>L</t>
        </is>
      </c>
      <c r="I1331" s="189" t="inlineStr">
        <is>
          <t>I</t>
        </is>
      </c>
      <c r="J1331" s="189" t="n"/>
      <c r="K1331" s="189" t="n"/>
      <c r="L1331" s="189" t="n"/>
      <c r="M1331" s="189" t="n"/>
      <c r="N1331" s="189" t="n"/>
      <c r="O1331" s="189">
        <f>SUM(J1331:N1331)</f>
        <v/>
      </c>
      <c r="P1331" s="190">
        <f>O1331/IF(H1331="L",20,IF(H1331="U",30,IF(H1331="O",40,IF(H1331="I",20,""))))</f>
        <v/>
      </c>
      <c r="Q1331" s="190">
        <f>IF(AND(H1331="L", P1331&gt;=50%), "Pass", IF(AND(H1331="U", P1331&gt;=60%), "Pass", IF(AND(H1331="O", P1331&gt;=75%), "Pass", "Fail")))</f>
        <v/>
      </c>
      <c r="R1331" s="189" t="n"/>
      <c r="S1331" s="189" t="n"/>
      <c r="T1331" s="189" t="n"/>
      <c r="U1331" s="189">
        <f>SUM(S1331:T1331)</f>
        <v/>
      </c>
      <c r="V1331" s="190">
        <f>U1331/IF(H1331="L",35,IF(H1331="U",35,IF(H1331="O",35,IF(H1331="I",35,""))))</f>
        <v/>
      </c>
      <c r="W1331" s="190">
        <f>IF(AND(H1331="L", V1331&gt;=50%), "Pass", IF(AND(H1331="U", V1331&gt;=60%), "Pass", IF(AND(H1331="O", V1331&gt;=75%), "Pass", "Fail")))</f>
        <v/>
      </c>
      <c r="X1331" s="190">
        <f>IF(AND(Q1331="Pass", W1331="Pass"), "Pass", "Fail")</f>
        <v/>
      </c>
      <c r="Y1331" s="191">
        <f>IF($X1331="Pass",$H1331, IF(H1331="L","I", IF(H1331="U","L", IF(H1331="O","U", "I"))))</f>
        <v/>
      </c>
      <c r="Z1331" s="182" t="n"/>
    </row>
    <row r="1332">
      <c r="A1332" s="185">
        <f>ROW()-2</f>
        <v/>
      </c>
      <c r="B1332" s="133" t="inlineStr">
        <is>
          <t>LN1317</t>
        </is>
      </c>
      <c r="C1332" s="148" t="inlineStr">
        <is>
          <t>SHANMUGA LAKSHMI</t>
        </is>
      </c>
      <c r="D1332" s="133" t="inlineStr">
        <is>
          <t>QUALITY CONTROL</t>
        </is>
      </c>
      <c r="E1332" s="186" t="inlineStr">
        <is>
          <t>Final Finish QA</t>
        </is>
      </c>
      <c r="F1332" s="187" t="n">
        <v>46182</v>
      </c>
      <c r="G1332" s="188">
        <f>NOW()-F1332</f>
        <v/>
      </c>
      <c r="H1332" s="189" t="inlineStr">
        <is>
          <t>L</t>
        </is>
      </c>
      <c r="I1332" s="189" t="inlineStr">
        <is>
          <t>I</t>
        </is>
      </c>
      <c r="J1332" s="189" t="n"/>
      <c r="K1332" s="189" t="n"/>
      <c r="L1332" s="189" t="n"/>
      <c r="M1332" s="189" t="n"/>
      <c r="N1332" s="189" t="n"/>
      <c r="O1332" s="189">
        <f>SUM(J1332:N1332)</f>
        <v/>
      </c>
      <c r="P1332" s="190">
        <f>O1332/IF(H1332="L",20,IF(H1332="U",30,IF(H1332="O",40,IF(H1332="I",20,""))))</f>
        <v/>
      </c>
      <c r="Q1332" s="190">
        <f>IF(AND(H1332="L", P1332&gt;=50%), "Pass", IF(AND(H1332="U", P1332&gt;=60%), "Pass", IF(AND(H1332="O", P1332&gt;=75%), "Pass", "Fail")))</f>
        <v/>
      </c>
      <c r="R1332" s="189" t="n"/>
      <c r="S1332" s="189" t="n"/>
      <c r="T1332" s="189" t="n"/>
      <c r="U1332" s="189">
        <f>SUM(S1332:T1332)</f>
        <v/>
      </c>
      <c r="V1332" s="190">
        <f>U1332/IF(H1332="L",35,IF(H1332="U",35,IF(H1332="O",35,IF(H1332="I",35,""))))</f>
        <v/>
      </c>
      <c r="W1332" s="190">
        <f>IF(AND(H1332="L", V1332&gt;=50%), "Pass", IF(AND(H1332="U", V1332&gt;=60%), "Pass", IF(AND(H1332="O", V1332&gt;=75%), "Pass", "Fail")))</f>
        <v/>
      </c>
      <c r="X1332" s="190">
        <f>IF(AND(Q1332="Pass", W1332="Pass"), "Pass", "Fail")</f>
        <v/>
      </c>
      <c r="Y1332" s="191">
        <f>IF($X1332="Pass",$H1332, IF(H1332="L","I", IF(H1332="U","L", IF(H1332="O","U", "I"))))</f>
        <v/>
      </c>
      <c r="Z1332" s="182" t="n"/>
    </row>
    <row r="1333">
      <c r="A1333" s="185">
        <f>ROW()-2</f>
        <v/>
      </c>
      <c r="B1333" s="133" t="inlineStr">
        <is>
          <t>LN1319</t>
        </is>
      </c>
      <c r="C1333" s="148" t="inlineStr">
        <is>
          <t>TAMILSELVI</t>
        </is>
      </c>
      <c r="D1333" s="133" t="inlineStr">
        <is>
          <t>QUALITY CONTROL</t>
        </is>
      </c>
      <c r="E1333" s="186" t="inlineStr">
        <is>
          <t>Final Finish QA</t>
        </is>
      </c>
      <c r="F1333" s="187" t="n">
        <v>46182</v>
      </c>
      <c r="G1333" s="188">
        <f>NOW()-F1333</f>
        <v/>
      </c>
      <c r="H1333" s="189" t="inlineStr">
        <is>
          <t>L</t>
        </is>
      </c>
      <c r="I1333" s="189" t="inlineStr">
        <is>
          <t>I</t>
        </is>
      </c>
      <c r="J1333" s="189" t="n"/>
      <c r="K1333" s="189" t="n"/>
      <c r="L1333" s="189" t="n"/>
      <c r="M1333" s="189" t="n"/>
      <c r="N1333" s="189" t="n"/>
      <c r="O1333" s="189">
        <f>SUM(J1333:N1333)</f>
        <v/>
      </c>
      <c r="P1333" s="190">
        <f>O1333/IF(H1333="L",20,IF(H1333="U",30,IF(H1333="O",40,IF(H1333="I",20,""))))</f>
        <v/>
      </c>
      <c r="Q1333" s="190">
        <f>IF(AND(H1333="L", P1333&gt;=50%), "Pass", IF(AND(H1333="U", P1333&gt;=60%), "Pass", IF(AND(H1333="O", P1333&gt;=75%), "Pass", "Fail")))</f>
        <v/>
      </c>
      <c r="R1333" s="189" t="n"/>
      <c r="S1333" s="189" t="n"/>
      <c r="T1333" s="189" t="n"/>
      <c r="U1333" s="189">
        <f>SUM(S1333:T1333)</f>
        <v/>
      </c>
      <c r="V1333" s="190">
        <f>U1333/IF(H1333="L",35,IF(H1333="U",35,IF(H1333="O",35,IF(H1333="I",35,""))))</f>
        <v/>
      </c>
      <c r="W1333" s="190">
        <f>IF(AND(H1333="L", V1333&gt;=50%), "Pass", IF(AND(H1333="U", V1333&gt;=60%), "Pass", IF(AND(H1333="O", V1333&gt;=75%), "Pass", "Fail")))</f>
        <v/>
      </c>
      <c r="X1333" s="190">
        <f>IF(AND(Q1333="Pass", W1333="Pass"), "Pass", "Fail")</f>
        <v/>
      </c>
      <c r="Y1333" s="191">
        <f>IF($X1333="Pass",$H1333, IF(H1333="L","I", IF(H1333="U","L", IF(H1333="O","U", "I"))))</f>
        <v/>
      </c>
      <c r="Z1333" s="182" t="n"/>
    </row>
    <row r="1334">
      <c r="A1334" s="185">
        <f>ROW()-2</f>
        <v/>
      </c>
      <c r="B1334" s="133" t="inlineStr">
        <is>
          <t>MG0464</t>
        </is>
      </c>
      <c r="C1334" s="148" t="inlineStr">
        <is>
          <t>JOHN VARKISH G</t>
        </is>
      </c>
      <c r="D1334" s="133" t="inlineStr">
        <is>
          <t>QUALITY CONTROL</t>
        </is>
      </c>
      <c r="E1334" s="186" t="inlineStr">
        <is>
          <t>Final Finish QA</t>
        </is>
      </c>
      <c r="F1334" s="187" t="n">
        <v>41702</v>
      </c>
      <c r="G1334" s="188">
        <f>NOW()-F1334</f>
        <v/>
      </c>
      <c r="H1334" s="189" t="inlineStr">
        <is>
          <t>O</t>
        </is>
      </c>
      <c r="I1334" s="189" t="inlineStr">
        <is>
          <t>O</t>
        </is>
      </c>
      <c r="J1334" s="189" t="n">
        <v>10</v>
      </c>
      <c r="K1334" s="189" t="n">
        <v>19</v>
      </c>
      <c r="L1334" s="189" t="n">
        <v>0</v>
      </c>
      <c r="M1334" s="189" t="n">
        <v>9</v>
      </c>
      <c r="N1334" s="189" t="n"/>
      <c r="O1334" s="189">
        <f>SUM(J1334:N1334)</f>
        <v/>
      </c>
      <c r="P1334" s="190">
        <f>O1334/IF(H1334="L",20,IF(H1334="U",30,IF(H1334="O",40,IF(H1334="I",20,""))))</f>
        <v/>
      </c>
      <c r="Q1334" s="190">
        <f>IF(AND(H1334="L", P1334&gt;=50%), "Pass", IF(AND(H1334="U", P1334&gt;=60%), "Pass", IF(AND(H1334="O", P1334&gt;=75%), "Pass", "Fail")))</f>
        <v/>
      </c>
      <c r="R1334" s="189" t="n"/>
      <c r="S1334" s="189" t="n">
        <v>15</v>
      </c>
      <c r="T1334" s="189" t="n">
        <v>15</v>
      </c>
      <c r="U1334" s="189">
        <f>SUM(S1334:T1334)</f>
        <v/>
      </c>
      <c r="V1334" s="190">
        <f>U1334/IF(H1334="L",35,IF(H1334="U",35,IF(H1334="O",35,IF(H1334="I",35,""))))</f>
        <v/>
      </c>
      <c r="W1334" s="190">
        <f>IF(AND(H1334="L", V1334&gt;=50%), "Pass", IF(AND(H1334="U", V1334&gt;=60%), "Pass", IF(AND(H1334="O", V1334&gt;=75%), "Pass", "Fail")))</f>
        <v/>
      </c>
      <c r="X1334" s="190">
        <f>IF(AND(Q1334="Pass", W1334="Pass"), "Pass", "Fail")</f>
        <v/>
      </c>
      <c r="Y1334" s="191">
        <f>IF($X1334="Pass",$H1334, IF(H1334="L","I", IF(H1334="U","L", IF(H1334="O","U", "I"))))</f>
        <v/>
      </c>
      <c r="Z1334" s="182" t="n"/>
    </row>
    <row r="1335">
      <c r="A1335" s="185">
        <f>ROW()-2</f>
        <v/>
      </c>
      <c r="B1335" s="133" t="inlineStr">
        <is>
          <t>MG1234</t>
        </is>
      </c>
      <c r="C1335" s="148" t="inlineStr">
        <is>
          <t>MAHALINGAM</t>
        </is>
      </c>
      <c r="D1335" s="133" t="inlineStr">
        <is>
          <t>QUALITY CONTROL</t>
        </is>
      </c>
      <c r="E1335" s="186" t="inlineStr">
        <is>
          <t>Final Finish QA</t>
        </is>
      </c>
      <c r="F1335" s="187" t="n">
        <v>43404</v>
      </c>
      <c r="G1335" s="188">
        <f>NOW()-F1335</f>
        <v/>
      </c>
      <c r="H1335" s="189" t="inlineStr">
        <is>
          <t>O</t>
        </is>
      </c>
      <c r="I1335" s="189" t="inlineStr">
        <is>
          <t>O</t>
        </is>
      </c>
      <c r="J1335" s="189" t="n">
        <v>10</v>
      </c>
      <c r="K1335" s="189" t="n">
        <v>18</v>
      </c>
      <c r="L1335" s="189" t="n">
        <v>0</v>
      </c>
      <c r="M1335" s="189" t="n">
        <v>9</v>
      </c>
      <c r="N1335" s="189" t="n"/>
      <c r="O1335" s="189">
        <f>SUM(J1335:N1335)</f>
        <v/>
      </c>
      <c r="P1335" s="190">
        <f>O1335/IF(H1335="L",20,IF(H1335="U",30,IF(H1335="O",40,IF(H1335="I",20,""))))</f>
        <v/>
      </c>
      <c r="Q1335" s="190">
        <f>IF(AND(H1335="L", P1335&gt;=50%), "Pass", IF(AND(H1335="U", P1335&gt;=60%), "Pass", IF(AND(H1335="O", P1335&gt;=75%), "Pass", "Fail")))</f>
        <v/>
      </c>
      <c r="R1335" s="189" t="n"/>
      <c r="S1335" s="189" t="n">
        <v>15</v>
      </c>
      <c r="T1335" s="189" t="n">
        <v>15</v>
      </c>
      <c r="U1335" s="189">
        <f>SUM(S1335:T1335)</f>
        <v/>
      </c>
      <c r="V1335" s="190">
        <f>U1335/IF(H1335="L",35,IF(H1335="U",35,IF(H1335="O",35,IF(H1335="I",35,""))))</f>
        <v/>
      </c>
      <c r="W1335" s="190">
        <f>IF(AND(H1335="L", V1335&gt;=50%), "Pass", IF(AND(H1335="U", V1335&gt;=60%), "Pass", IF(AND(H1335="O", V1335&gt;=75%), "Pass", "Fail")))</f>
        <v/>
      </c>
      <c r="X1335" s="190">
        <f>IF(AND(Q1335="Pass", W1335="Pass"), "Pass", "Fail")</f>
        <v/>
      </c>
      <c r="Y1335" s="191">
        <f>IF($X1335="Pass",$H1335, IF(H1335="L","I", IF(H1335="U","L", IF(H1335="O","U", "I"))))</f>
        <v/>
      </c>
      <c r="Z1335" s="182" t="n"/>
    </row>
    <row r="1336">
      <c r="A1336" s="185">
        <f>ROW()-2</f>
        <v/>
      </c>
      <c r="B1336" s="133" t="inlineStr">
        <is>
          <t>MG1243</t>
        </is>
      </c>
      <c r="C1336" s="148" t="inlineStr">
        <is>
          <t>KARTHICK NARAYANAN</t>
        </is>
      </c>
      <c r="D1336" s="133" t="inlineStr">
        <is>
          <t>QUALITY CONTROL</t>
        </is>
      </c>
      <c r="E1336" s="186" t="inlineStr">
        <is>
          <t>Final Finish QA</t>
        </is>
      </c>
      <c r="F1336" s="187" t="n">
        <v>43405</v>
      </c>
      <c r="G1336" s="188">
        <f>NOW()-F1336</f>
        <v/>
      </c>
      <c r="H1336" s="189" t="inlineStr">
        <is>
          <t>O</t>
        </is>
      </c>
      <c r="I1336" s="189" t="inlineStr">
        <is>
          <t>O</t>
        </is>
      </c>
      <c r="J1336" s="189" t="n">
        <v>10</v>
      </c>
      <c r="K1336" s="189" t="n">
        <v>18</v>
      </c>
      <c r="L1336" s="189" t="n">
        <v>0</v>
      </c>
      <c r="M1336" s="189" t="n">
        <v>9</v>
      </c>
      <c r="N1336" s="189" t="n"/>
      <c r="O1336" s="189">
        <f>SUM(J1336:N1336)</f>
        <v/>
      </c>
      <c r="P1336" s="190">
        <f>O1336/IF(H1336="L",20,IF(H1336="U",30,IF(H1336="O",40,IF(H1336="I",20,""))))</f>
        <v/>
      </c>
      <c r="Q1336" s="190">
        <f>IF(AND(H1336="L", P1336&gt;=50%), "Pass", IF(AND(H1336="U", P1336&gt;=60%), "Pass", IF(AND(H1336="O", P1336&gt;=75%), "Pass", "Fail")))</f>
        <v/>
      </c>
      <c r="R1336" s="189" t="n"/>
      <c r="S1336" s="189" t="n">
        <v>15</v>
      </c>
      <c r="T1336" s="189" t="n">
        <v>15</v>
      </c>
      <c r="U1336" s="189">
        <f>SUM(S1336:T1336)</f>
        <v/>
      </c>
      <c r="V1336" s="190">
        <f>U1336/IF(H1336="L",35,IF(H1336="U",35,IF(H1336="O",35,IF(H1336="I",35,""))))</f>
        <v/>
      </c>
      <c r="W1336" s="190">
        <f>IF(AND(H1336="L", V1336&gt;=50%), "Pass", IF(AND(H1336="U", V1336&gt;=60%), "Pass", IF(AND(H1336="O", V1336&gt;=75%), "Pass", "Fail")))</f>
        <v/>
      </c>
      <c r="X1336" s="190">
        <f>IF(AND(Q1336="Pass", W1336="Pass"), "Pass", "Fail")</f>
        <v/>
      </c>
      <c r="Y1336" s="191">
        <f>IF($X1336="Pass",$H1336, IF(H1336="L","I", IF(H1336="U","L", IF(H1336="O","U", "I"))))</f>
        <v/>
      </c>
      <c r="Z1336" s="182" t="n"/>
    </row>
    <row r="1337">
      <c r="A1337" s="185">
        <f>ROW()-2</f>
        <v/>
      </c>
      <c r="B1337" s="133" t="inlineStr">
        <is>
          <t>MG1268</t>
        </is>
      </c>
      <c r="C1337" s="148" t="inlineStr">
        <is>
          <t>MANIKANDAN E</t>
        </is>
      </c>
      <c r="D1337" s="133" t="inlineStr">
        <is>
          <t>QUALITY CONTROL</t>
        </is>
      </c>
      <c r="E1337" s="186" t="inlineStr">
        <is>
          <t>Final Finish QA</t>
        </is>
      </c>
      <c r="F1337" s="187" t="n">
        <v>43415</v>
      </c>
      <c r="G1337" s="188">
        <f>NOW()-F1337</f>
        <v/>
      </c>
      <c r="H1337" s="189" t="inlineStr">
        <is>
          <t>O</t>
        </is>
      </c>
      <c r="I1337" s="189" t="inlineStr">
        <is>
          <t>O</t>
        </is>
      </c>
      <c r="J1337" s="189" t="n">
        <v>10</v>
      </c>
      <c r="K1337" s="189" t="n">
        <v>19</v>
      </c>
      <c r="L1337" s="189" t="n">
        <v>0</v>
      </c>
      <c r="M1337" s="189" t="n">
        <v>9</v>
      </c>
      <c r="N1337" s="189" t="n"/>
      <c r="O1337" s="189">
        <f>SUM(J1337:N1337)</f>
        <v/>
      </c>
      <c r="P1337" s="190">
        <f>O1337/IF(H1337="L",20,IF(H1337="U",30,IF(H1337="O",40,IF(H1337="I",20,""))))</f>
        <v/>
      </c>
      <c r="Q1337" s="190">
        <f>IF(AND(H1337="L", P1337&gt;=50%), "Pass", IF(AND(H1337="U", P1337&gt;=60%), "Pass", IF(AND(H1337="O", P1337&gt;=75%), "Pass", "Fail")))</f>
        <v/>
      </c>
      <c r="R1337" s="189" t="n"/>
      <c r="S1337" s="189" t="n">
        <v>15</v>
      </c>
      <c r="T1337" s="189" t="n">
        <v>15</v>
      </c>
      <c r="U1337" s="189">
        <f>SUM(S1337:T1337)</f>
        <v/>
      </c>
      <c r="V1337" s="190">
        <f>U1337/IF(H1337="L",35,IF(H1337="U",35,IF(H1337="O",35,IF(H1337="I",35,""))))</f>
        <v/>
      </c>
      <c r="W1337" s="190">
        <f>IF(AND(H1337="L", V1337&gt;=50%), "Pass", IF(AND(H1337="U", V1337&gt;=60%), "Pass", IF(AND(H1337="O", V1337&gt;=75%), "Pass", "Fail")))</f>
        <v/>
      </c>
      <c r="X1337" s="190">
        <f>IF(AND(Q1337="Pass", W1337="Pass"), "Pass", "Fail")</f>
        <v/>
      </c>
      <c r="Y1337" s="191">
        <f>IF($X1337="Pass",$H1337, IF(H1337="L","I", IF(H1337="U","L", IF(H1337="O","U", "I"))))</f>
        <v/>
      </c>
      <c r="Z1337" s="182" t="n"/>
    </row>
    <row r="1338">
      <c r="A1338" s="185">
        <f>ROW()-2</f>
        <v/>
      </c>
      <c r="B1338" s="133" t="inlineStr">
        <is>
          <t>MG1271</t>
        </is>
      </c>
      <c r="C1338" s="148" t="inlineStr">
        <is>
          <t>VETRIVEL R</t>
        </is>
      </c>
      <c r="D1338" s="133" t="inlineStr">
        <is>
          <t>QUALITY CONTROL</t>
        </is>
      </c>
      <c r="E1338" s="186" t="inlineStr">
        <is>
          <t>Final Finish QA</t>
        </is>
      </c>
      <c r="F1338" s="187" t="n">
        <v>43418</v>
      </c>
      <c r="G1338" s="188">
        <f>NOW()-F1338</f>
        <v/>
      </c>
      <c r="H1338" s="189" t="inlineStr">
        <is>
          <t>O</t>
        </is>
      </c>
      <c r="I1338" s="189" t="inlineStr">
        <is>
          <t>O</t>
        </is>
      </c>
      <c r="J1338" s="189" t="n">
        <v>10</v>
      </c>
      <c r="K1338" s="189" t="n">
        <v>15</v>
      </c>
      <c r="L1338" s="189" t="n">
        <v>0</v>
      </c>
      <c r="M1338" s="189" t="n">
        <v>9</v>
      </c>
      <c r="N1338" s="189" t="n"/>
      <c r="O1338" s="189">
        <f>SUM(J1338:N1338)</f>
        <v/>
      </c>
      <c r="P1338" s="190">
        <f>O1338/IF(H1338="L",20,IF(H1338="U",30,IF(H1338="O",40,IF(H1338="I",20,""))))</f>
        <v/>
      </c>
      <c r="Q1338" s="190">
        <f>IF(AND(H1338="L", P1338&gt;=50%), "Pass", IF(AND(H1338="U", P1338&gt;=60%), "Pass", IF(AND(H1338="O", P1338&gt;=75%), "Pass", "Fail")))</f>
        <v/>
      </c>
      <c r="R1338" s="189" t="n"/>
      <c r="S1338" s="189" t="n">
        <v>15</v>
      </c>
      <c r="T1338" s="189" t="n">
        <v>15</v>
      </c>
      <c r="U1338" s="189">
        <f>SUM(S1338:T1338)</f>
        <v/>
      </c>
      <c r="V1338" s="190">
        <f>U1338/IF(H1338="L",35,IF(H1338="U",35,IF(H1338="O",35,IF(H1338="I",35,""))))</f>
        <v/>
      </c>
      <c r="W1338" s="190">
        <f>IF(AND(H1338="L", V1338&gt;=50%), "Pass", IF(AND(H1338="U", V1338&gt;=60%), "Pass", IF(AND(H1338="O", V1338&gt;=75%), "Pass", "Fail")))</f>
        <v/>
      </c>
      <c r="X1338" s="190">
        <f>IF(AND(Q1338="Pass", W1338="Pass"), "Pass", "Fail")</f>
        <v/>
      </c>
      <c r="Y1338" s="191">
        <f>IF($X1338="Pass",$H1338, IF(H1338="L","I", IF(H1338="U","L", IF(H1338="O","U", "I"))))</f>
        <v/>
      </c>
      <c r="Z1338" s="182" t="n"/>
    </row>
    <row r="1339">
      <c r="A1339" s="185">
        <f>ROW()-2</f>
        <v/>
      </c>
      <c r="B1339" s="133" t="inlineStr">
        <is>
          <t>MG1272</t>
        </is>
      </c>
      <c r="C1339" s="148" t="inlineStr">
        <is>
          <t>MUTHU MARIAPPAN V</t>
        </is>
      </c>
      <c r="D1339" s="133" t="inlineStr">
        <is>
          <t>QUALITY CONTROL</t>
        </is>
      </c>
      <c r="E1339" s="186" t="inlineStr">
        <is>
          <t>Final Finish QA</t>
        </is>
      </c>
      <c r="F1339" s="187" t="n">
        <v>43418</v>
      </c>
      <c r="G1339" s="188">
        <f>NOW()-F1339</f>
        <v/>
      </c>
      <c r="H1339" s="189" t="inlineStr">
        <is>
          <t>O</t>
        </is>
      </c>
      <c r="I1339" s="189" t="inlineStr">
        <is>
          <t>O</t>
        </is>
      </c>
      <c r="J1339" s="189" t="n">
        <v>10</v>
      </c>
      <c r="K1339" s="189" t="n">
        <v>15</v>
      </c>
      <c r="L1339" s="189" t="n">
        <v>0</v>
      </c>
      <c r="M1339" s="189" t="n">
        <v>9</v>
      </c>
      <c r="N1339" s="189" t="n"/>
      <c r="O1339" s="189">
        <f>SUM(J1339:N1339)</f>
        <v/>
      </c>
      <c r="P1339" s="190">
        <f>O1339/IF(H1339="L",20,IF(H1339="U",30,IF(H1339="O",40,IF(H1339="I",20,""))))</f>
        <v/>
      </c>
      <c r="Q1339" s="190">
        <f>IF(AND(H1339="L", P1339&gt;=50%), "Pass", IF(AND(H1339="U", P1339&gt;=60%), "Pass", IF(AND(H1339="O", P1339&gt;=75%), "Pass", "Fail")))</f>
        <v/>
      </c>
      <c r="R1339" s="189" t="n"/>
      <c r="S1339" s="189" t="n">
        <v>15</v>
      </c>
      <c r="T1339" s="189" t="n">
        <v>15</v>
      </c>
      <c r="U1339" s="189">
        <f>SUM(S1339:T1339)</f>
        <v/>
      </c>
      <c r="V1339" s="190">
        <f>U1339/IF(H1339="L",35,IF(H1339="U",35,IF(H1339="O",35,IF(H1339="I",35,""))))</f>
        <v/>
      </c>
      <c r="W1339" s="190">
        <f>IF(AND(H1339="L", V1339&gt;=50%), "Pass", IF(AND(H1339="U", V1339&gt;=60%), "Pass", IF(AND(H1339="O", V1339&gt;=75%), "Pass", "Fail")))</f>
        <v/>
      </c>
      <c r="X1339" s="190">
        <f>IF(AND(Q1339="Pass", W1339="Pass"), "Pass", "Fail")</f>
        <v/>
      </c>
      <c r="Y1339" s="191">
        <f>IF($X1339="Pass",$H1339, IF(H1339="L","I", IF(H1339="U","L", IF(H1339="O","U", "I"))))</f>
        <v/>
      </c>
      <c r="Z1339" s="182" t="n"/>
    </row>
    <row r="1340">
      <c r="A1340" s="185">
        <f>ROW()-2</f>
        <v/>
      </c>
      <c r="B1340" s="133" t="inlineStr">
        <is>
          <t>MG1338</t>
        </is>
      </c>
      <c r="C1340" s="148" t="inlineStr">
        <is>
          <t>A SUDALAIMUTHU</t>
        </is>
      </c>
      <c r="D1340" s="133" t="inlineStr">
        <is>
          <t>QUALITY CONTROL</t>
        </is>
      </c>
      <c r="E1340" s="186" t="inlineStr">
        <is>
          <t>Final Finish QA</t>
        </is>
      </c>
      <c r="F1340" s="187" t="n">
        <v>43636</v>
      </c>
      <c r="G1340" s="188">
        <f>NOW()-F1340</f>
        <v/>
      </c>
      <c r="H1340" s="189" t="inlineStr">
        <is>
          <t>O</t>
        </is>
      </c>
      <c r="I1340" s="189" t="inlineStr">
        <is>
          <t>O</t>
        </is>
      </c>
      <c r="J1340" s="189" t="n">
        <v>10</v>
      </c>
      <c r="K1340" s="189" t="n">
        <v>18</v>
      </c>
      <c r="L1340" s="189" t="n">
        <v>0</v>
      </c>
      <c r="M1340" s="189" t="n">
        <v>9</v>
      </c>
      <c r="N1340" s="189" t="n"/>
      <c r="O1340" s="189">
        <f>SUM(J1340:N1340)</f>
        <v/>
      </c>
      <c r="P1340" s="190">
        <f>O1340/IF(H1340="L",20,IF(H1340="U",30,IF(H1340="O",40,IF(H1340="I",20,""))))</f>
        <v/>
      </c>
      <c r="Q1340" s="190">
        <f>IF(AND(H1340="L", P1340&gt;=50%), "Pass", IF(AND(H1340="U", P1340&gt;=60%), "Pass", IF(AND(H1340="O", P1340&gt;=75%), "Pass", "Fail")))</f>
        <v/>
      </c>
      <c r="R1340" s="189" t="n"/>
      <c r="S1340" s="189" t="n">
        <v>15</v>
      </c>
      <c r="T1340" s="189" t="n">
        <v>15</v>
      </c>
      <c r="U1340" s="189">
        <f>SUM(S1340:T1340)</f>
        <v/>
      </c>
      <c r="V1340" s="190">
        <f>U1340/IF(H1340="L",35,IF(H1340="U",35,IF(H1340="O",35,IF(H1340="I",35,""))))</f>
        <v/>
      </c>
      <c r="W1340" s="190">
        <f>IF(AND(H1340="L", V1340&gt;=50%), "Pass", IF(AND(H1340="U", V1340&gt;=60%), "Pass", IF(AND(H1340="O", V1340&gt;=75%), "Pass", "Fail")))</f>
        <v/>
      </c>
      <c r="X1340" s="190">
        <f>IF(AND(Q1340="Pass", W1340="Pass"), "Pass", "Fail")</f>
        <v/>
      </c>
      <c r="Y1340" s="191">
        <f>IF($X1340="Pass",$H1340, IF(H1340="L","I", IF(H1340="U","L", IF(H1340="O","U", "I"))))</f>
        <v/>
      </c>
      <c r="Z1340" s="182" t="n"/>
    </row>
    <row r="1341">
      <c r="A1341" s="185">
        <f>ROW()-2</f>
        <v/>
      </c>
      <c r="B1341" s="133" t="inlineStr">
        <is>
          <t>MG1552</t>
        </is>
      </c>
      <c r="C1341" s="148" t="inlineStr">
        <is>
          <t>EJAMAAN</t>
        </is>
      </c>
      <c r="D1341" s="133" t="inlineStr">
        <is>
          <t>QUALITY CONTROL</t>
        </is>
      </c>
      <c r="E1341" s="186" t="inlineStr">
        <is>
          <t>Final Finish QA</t>
        </is>
      </c>
      <c r="F1341" s="187" t="n">
        <v>45055</v>
      </c>
      <c r="G1341" s="188">
        <f>NOW()-F1341</f>
        <v/>
      </c>
      <c r="H1341" s="189" t="inlineStr">
        <is>
          <t>O</t>
        </is>
      </c>
      <c r="I1341" s="189" t="inlineStr">
        <is>
          <t>U</t>
        </is>
      </c>
      <c r="J1341" s="189" t="n">
        <v>10</v>
      </c>
      <c r="K1341" s="189" t="n">
        <v>16</v>
      </c>
      <c r="L1341" s="189" t="n">
        <v>0</v>
      </c>
      <c r="M1341" s="189" t="n">
        <v>9</v>
      </c>
      <c r="N1341" s="189" t="n"/>
      <c r="O1341" s="189">
        <f>SUM(J1341:N1341)</f>
        <v/>
      </c>
      <c r="P1341" s="190">
        <f>O1341/IF(H1341="L",20,IF(H1341="U",30,IF(H1341="O",40,IF(H1341="I",20,""))))</f>
        <v/>
      </c>
      <c r="Q1341" s="190">
        <f>IF(AND(H1341="L", P1341&gt;=50%), "Pass", IF(AND(H1341="U", P1341&gt;=60%), "Pass", IF(AND(H1341="O", P1341&gt;=75%), "Pass", "Fail")))</f>
        <v/>
      </c>
      <c r="R1341" s="189" t="n"/>
      <c r="S1341" s="189" t="n">
        <v>15</v>
      </c>
      <c r="T1341" s="189" t="n">
        <v>15</v>
      </c>
      <c r="U1341" s="189">
        <f>SUM(S1341:T1341)</f>
        <v/>
      </c>
      <c r="V1341" s="190">
        <f>U1341/IF(H1341="L",35,IF(H1341="U",35,IF(H1341="O",35,IF(H1341="I",35,""))))</f>
        <v/>
      </c>
      <c r="W1341" s="190">
        <f>IF(AND(H1341="L", V1341&gt;=50%), "Pass", IF(AND(H1341="U", V1341&gt;=60%), "Pass", IF(AND(H1341="O", V1341&gt;=75%), "Pass", "Fail")))</f>
        <v/>
      </c>
      <c r="X1341" s="190">
        <f>IF(AND(Q1341="Pass", W1341="Pass"), "Pass", "Fail")</f>
        <v/>
      </c>
      <c r="Y1341" s="191">
        <f>IF($X1341="Pass",$H1341, IF(H1341="L","I", IF(H1341="U","L", IF(H1341="O","U", "I"))))</f>
        <v/>
      </c>
      <c r="Z1341" s="182" t="n"/>
    </row>
    <row r="1342">
      <c r="A1342" s="185">
        <f>ROW()-2</f>
        <v/>
      </c>
      <c r="B1342" s="133" t="inlineStr">
        <is>
          <t>MG1554</t>
        </is>
      </c>
      <c r="C1342" s="148" t="inlineStr">
        <is>
          <t>MARISELVAM M</t>
        </is>
      </c>
      <c r="D1342" s="133" t="inlineStr">
        <is>
          <t>QUALITY CONTROL</t>
        </is>
      </c>
      <c r="E1342" s="186" t="inlineStr">
        <is>
          <t>Final Finish QA</t>
        </is>
      </c>
      <c r="F1342" s="187" t="n">
        <v>45059</v>
      </c>
      <c r="G1342" s="188">
        <f>NOW()-F1342</f>
        <v/>
      </c>
      <c r="H1342" s="189" t="inlineStr">
        <is>
          <t>O</t>
        </is>
      </c>
      <c r="I1342" s="189" t="inlineStr">
        <is>
          <t>U</t>
        </is>
      </c>
      <c r="J1342" s="189" t="n">
        <v>10</v>
      </c>
      <c r="K1342" s="189" t="n">
        <v>16</v>
      </c>
      <c r="L1342" s="189" t="n">
        <v>0</v>
      </c>
      <c r="M1342" s="189" t="n">
        <v>9</v>
      </c>
      <c r="N1342" s="189" t="n"/>
      <c r="O1342" s="189">
        <f>SUM(J1342:N1342)</f>
        <v/>
      </c>
      <c r="P1342" s="190">
        <f>O1342/IF(H1342="L",20,IF(H1342="U",30,IF(H1342="O",40,IF(H1342="I",20,""))))</f>
        <v/>
      </c>
      <c r="Q1342" s="190">
        <f>IF(AND(H1342="L", P1342&gt;=50%), "Pass", IF(AND(H1342="U", P1342&gt;=60%), "Pass", IF(AND(H1342="O", P1342&gt;=75%), "Pass", "Fail")))</f>
        <v/>
      </c>
      <c r="R1342" s="189" t="n"/>
      <c r="S1342" s="189" t="n">
        <v>15</v>
      </c>
      <c r="T1342" s="189" t="n">
        <v>15</v>
      </c>
      <c r="U1342" s="189">
        <f>SUM(S1342:T1342)</f>
        <v/>
      </c>
      <c r="V1342" s="190">
        <f>U1342/IF(H1342="L",35,IF(H1342="U",35,IF(H1342="O",35,IF(H1342="I",35,""))))</f>
        <v/>
      </c>
      <c r="W1342" s="190">
        <f>IF(AND(H1342="L", V1342&gt;=50%), "Pass", IF(AND(H1342="U", V1342&gt;=60%), "Pass", IF(AND(H1342="O", V1342&gt;=75%), "Pass", "Fail")))</f>
        <v/>
      </c>
      <c r="X1342" s="190">
        <f>IF(AND(Q1342="Pass", W1342="Pass"), "Pass", "Fail")</f>
        <v/>
      </c>
      <c r="Y1342" s="191">
        <f>IF($X1342="Pass",$H1342, IF(H1342="L","I", IF(H1342="U","L", IF(H1342="O","U", "I"))))</f>
        <v/>
      </c>
      <c r="Z1342" s="182" t="n"/>
    </row>
    <row r="1343">
      <c r="A1343" s="185">
        <f>ROW()-2</f>
        <v/>
      </c>
      <c r="B1343" s="133" t="inlineStr">
        <is>
          <t>PK0666</t>
        </is>
      </c>
      <c r="C1343" s="148" t="inlineStr">
        <is>
          <t>SUDALAI KANNU M</t>
        </is>
      </c>
      <c r="D1343" s="133" t="inlineStr">
        <is>
          <t>QUALITY CONTROL</t>
        </is>
      </c>
      <c r="E1343" s="186" t="inlineStr">
        <is>
          <t>Final Finish QA</t>
        </is>
      </c>
      <c r="F1343" s="187" t="n">
        <v>41515</v>
      </c>
      <c r="G1343" s="188">
        <f>NOW()-F1343</f>
        <v/>
      </c>
      <c r="H1343" s="189" t="inlineStr">
        <is>
          <t>O</t>
        </is>
      </c>
      <c r="I1343" s="189" t="inlineStr">
        <is>
          <t>O</t>
        </is>
      </c>
      <c r="J1343" s="189" t="n">
        <v>10</v>
      </c>
      <c r="K1343" s="189" t="n">
        <v>17</v>
      </c>
      <c r="L1343" s="189" t="n">
        <v>0</v>
      </c>
      <c r="M1343" s="189" t="n">
        <v>9</v>
      </c>
      <c r="N1343" s="189" t="n"/>
      <c r="O1343" s="189">
        <f>SUM(J1343:N1343)</f>
        <v/>
      </c>
      <c r="P1343" s="190">
        <f>O1343/IF(H1343="L",20,IF(H1343="U",30,IF(H1343="O",40,IF(H1343="I",20,""))))</f>
        <v/>
      </c>
      <c r="Q1343" s="190">
        <f>IF(AND(H1343="L", P1343&gt;=50%), "Pass", IF(AND(H1343="U", P1343&gt;=60%), "Pass", IF(AND(H1343="O", P1343&gt;=75%), "Pass", "Fail")))</f>
        <v/>
      </c>
      <c r="R1343" s="189" t="n"/>
      <c r="S1343" s="189" t="n">
        <v>15</v>
      </c>
      <c r="T1343" s="189" t="n">
        <v>15</v>
      </c>
      <c r="U1343" s="189">
        <f>SUM(S1343:T1343)</f>
        <v/>
      </c>
      <c r="V1343" s="190">
        <f>U1343/IF(H1343="L",35,IF(H1343="U",35,IF(H1343="O",35,IF(H1343="I",35,""))))</f>
        <v/>
      </c>
      <c r="W1343" s="190">
        <f>IF(AND(H1343="L", V1343&gt;=50%), "Pass", IF(AND(H1343="U", V1343&gt;=60%), "Pass", IF(AND(H1343="O", V1343&gt;=75%), "Pass", "Fail")))</f>
        <v/>
      </c>
      <c r="X1343" s="190">
        <f>IF(AND(Q1343="Pass", W1343="Pass"), "Pass", "Fail")</f>
        <v/>
      </c>
      <c r="Y1343" s="191">
        <f>IF($X1343="Pass",$H1343, IF(H1343="L","I", IF(H1343="U","L", IF(H1343="O","U", "I"))))</f>
        <v/>
      </c>
      <c r="Z1343" s="182" t="n"/>
    </row>
    <row r="1344">
      <c r="A1344" s="185">
        <f>ROW()-2</f>
        <v/>
      </c>
      <c r="B1344" s="133" t="inlineStr">
        <is>
          <t>PK0673</t>
        </is>
      </c>
      <c r="C1344" s="148" t="inlineStr">
        <is>
          <t>SANKAR M</t>
        </is>
      </c>
      <c r="D1344" s="133" t="inlineStr">
        <is>
          <t>QUALITY CONTROL</t>
        </is>
      </c>
      <c r="E1344" s="186" t="inlineStr">
        <is>
          <t>Final Finish QA</t>
        </is>
      </c>
      <c r="F1344" s="187" t="n">
        <v>41667</v>
      </c>
      <c r="G1344" s="188">
        <f>NOW()-F1344</f>
        <v/>
      </c>
      <c r="H1344" s="189" t="inlineStr">
        <is>
          <t>O</t>
        </is>
      </c>
      <c r="I1344" s="189" t="inlineStr">
        <is>
          <t>O</t>
        </is>
      </c>
      <c r="J1344" s="189" t="n">
        <v>10</v>
      </c>
      <c r="K1344" s="189" t="n">
        <v>17</v>
      </c>
      <c r="L1344" s="189" t="n">
        <v>0</v>
      </c>
      <c r="M1344" s="189" t="n">
        <v>9</v>
      </c>
      <c r="N1344" s="189" t="n"/>
      <c r="O1344" s="189">
        <f>SUM(J1344:N1344)</f>
        <v/>
      </c>
      <c r="P1344" s="190">
        <f>O1344/IF(H1344="L",20,IF(H1344="U",30,IF(H1344="O",40,IF(H1344="I",20,""))))</f>
        <v/>
      </c>
      <c r="Q1344" s="190">
        <f>IF(AND(H1344="L", P1344&gt;=50%), "Pass", IF(AND(H1344="U", P1344&gt;=60%), "Pass", IF(AND(H1344="O", P1344&gt;=75%), "Pass", "Fail")))</f>
        <v/>
      </c>
      <c r="R1344" s="189" t="n"/>
      <c r="S1344" s="189" t="n">
        <v>15</v>
      </c>
      <c r="T1344" s="189" t="n">
        <v>15</v>
      </c>
      <c r="U1344" s="189">
        <f>SUM(S1344:T1344)</f>
        <v/>
      </c>
      <c r="V1344" s="190">
        <f>U1344/IF(H1344="L",35,IF(H1344="U",35,IF(H1344="O",35,IF(H1344="I",35,""))))</f>
        <v/>
      </c>
      <c r="W1344" s="190">
        <f>IF(AND(H1344="L", V1344&gt;=50%), "Pass", IF(AND(H1344="U", V1344&gt;=60%), "Pass", IF(AND(H1344="O", V1344&gt;=75%), "Pass", "Fail")))</f>
        <v/>
      </c>
      <c r="X1344" s="190">
        <f>IF(AND(Q1344="Pass", W1344="Pass"), "Pass", "Fail")</f>
        <v/>
      </c>
      <c r="Y1344" s="191">
        <f>IF($X1344="Pass",$H1344, IF(H1344="L","I", IF(H1344="U","L", IF(H1344="O","U", "I"))))</f>
        <v/>
      </c>
      <c r="Z1344" s="182" t="n"/>
    </row>
    <row r="1345">
      <c r="A1345" s="185">
        <f>ROW()-2</f>
        <v/>
      </c>
      <c r="B1345" s="133" t="inlineStr">
        <is>
          <t>PK0676</t>
        </is>
      </c>
      <c r="C1345" s="148" t="inlineStr">
        <is>
          <t>BALAKRISHNAN M</t>
        </is>
      </c>
      <c r="D1345" s="133" t="inlineStr">
        <is>
          <t>QUALITY CONTROL</t>
        </is>
      </c>
      <c r="E1345" s="186" t="inlineStr">
        <is>
          <t>Final Finish QA</t>
        </is>
      </c>
      <c r="F1345" s="187" t="n">
        <v>41711</v>
      </c>
      <c r="G1345" s="188">
        <f>NOW()-F1345</f>
        <v/>
      </c>
      <c r="H1345" s="189" t="inlineStr">
        <is>
          <t>O</t>
        </is>
      </c>
      <c r="I1345" s="189" t="inlineStr">
        <is>
          <t>O</t>
        </is>
      </c>
      <c r="J1345" s="189" t="n">
        <v>10</v>
      </c>
      <c r="K1345" s="189" t="n">
        <v>18</v>
      </c>
      <c r="L1345" s="189" t="n">
        <v>0</v>
      </c>
      <c r="M1345" s="189" t="n">
        <v>9</v>
      </c>
      <c r="N1345" s="189" t="n"/>
      <c r="O1345" s="189">
        <f>SUM(J1345:N1345)</f>
        <v/>
      </c>
      <c r="P1345" s="190">
        <f>O1345/IF(H1345="L",20,IF(H1345="U",30,IF(H1345="O",40,IF(H1345="I",20,""))))</f>
        <v/>
      </c>
      <c r="Q1345" s="190">
        <f>IF(AND(H1345="L", P1345&gt;=50%), "Pass", IF(AND(H1345="U", P1345&gt;=60%), "Pass", IF(AND(H1345="O", P1345&gt;=75%), "Pass", "Fail")))</f>
        <v/>
      </c>
      <c r="R1345" s="189" t="n"/>
      <c r="S1345" s="189" t="n">
        <v>15</v>
      </c>
      <c r="T1345" s="189" t="n">
        <v>15</v>
      </c>
      <c r="U1345" s="189">
        <f>SUM(S1345:T1345)</f>
        <v/>
      </c>
      <c r="V1345" s="190">
        <f>U1345/IF(H1345="L",35,IF(H1345="U",35,IF(H1345="O",35,IF(H1345="I",35,""))))</f>
        <v/>
      </c>
      <c r="W1345" s="190">
        <f>IF(AND(H1345="L", V1345&gt;=50%), "Pass", IF(AND(H1345="U", V1345&gt;=60%), "Pass", IF(AND(H1345="O", V1345&gt;=75%), "Pass", "Fail")))</f>
        <v/>
      </c>
      <c r="X1345" s="190">
        <f>IF(AND(Q1345="Pass", W1345="Pass"), "Pass", "Fail")</f>
        <v/>
      </c>
      <c r="Y1345" s="191">
        <f>IF($X1345="Pass",$H1345, IF(H1345="L","I", IF(H1345="U","L", IF(H1345="O","U", "I"))))</f>
        <v/>
      </c>
      <c r="Z1345" s="182" t="n"/>
    </row>
    <row r="1346">
      <c r="A1346" s="185">
        <f>ROW()-2</f>
        <v/>
      </c>
      <c r="B1346" s="133" t="inlineStr">
        <is>
          <t>PK0759</t>
        </is>
      </c>
      <c r="C1346" s="148" t="inlineStr">
        <is>
          <t>MANGLESH ORAON</t>
        </is>
      </c>
      <c r="D1346" s="133" t="inlineStr">
        <is>
          <t>QUALITY CONTROL</t>
        </is>
      </c>
      <c r="E1346" s="186" t="inlineStr">
        <is>
          <t>Final Finish QA</t>
        </is>
      </c>
      <c r="F1346" s="187" t="n">
        <v>42923</v>
      </c>
      <c r="G1346" s="188">
        <f>NOW()-F1346</f>
        <v/>
      </c>
      <c r="H1346" s="189" t="inlineStr">
        <is>
          <t>O</t>
        </is>
      </c>
      <c r="I1346" s="189" t="inlineStr">
        <is>
          <t>O</t>
        </is>
      </c>
      <c r="J1346" s="189" t="n">
        <v>10</v>
      </c>
      <c r="K1346" s="189" t="n">
        <v>18</v>
      </c>
      <c r="L1346" s="189" t="n">
        <v>0</v>
      </c>
      <c r="M1346" s="189" t="n">
        <v>9</v>
      </c>
      <c r="N1346" s="189" t="n"/>
      <c r="O1346" s="189">
        <f>SUM(J1346:N1346)</f>
        <v/>
      </c>
      <c r="P1346" s="190">
        <f>O1346/IF(H1346="L",20,IF(H1346="U",30,IF(H1346="O",40,IF(H1346="I",20,""))))</f>
        <v/>
      </c>
      <c r="Q1346" s="190">
        <f>IF(AND(H1346="L", P1346&gt;=50%), "Pass", IF(AND(H1346="U", P1346&gt;=60%), "Pass", IF(AND(H1346="O", P1346&gt;=75%), "Pass", "Fail")))</f>
        <v/>
      </c>
      <c r="R1346" s="189" t="n"/>
      <c r="S1346" s="189" t="n">
        <v>15</v>
      </c>
      <c r="T1346" s="189" t="n">
        <v>15</v>
      </c>
      <c r="U1346" s="189">
        <f>SUM(S1346:T1346)</f>
        <v/>
      </c>
      <c r="V1346" s="190">
        <f>U1346/IF(H1346="L",35,IF(H1346="U",35,IF(H1346="O",35,IF(H1346="I",35,""))))</f>
        <v/>
      </c>
      <c r="W1346" s="190">
        <f>IF(AND(H1346="L", V1346&gt;=50%), "Pass", IF(AND(H1346="U", V1346&gt;=60%), "Pass", IF(AND(H1346="O", V1346&gt;=75%), "Pass", "Fail")))</f>
        <v/>
      </c>
      <c r="X1346" s="190">
        <f>IF(AND(Q1346="Pass", W1346="Pass"), "Pass", "Fail")</f>
        <v/>
      </c>
      <c r="Y1346" s="191">
        <f>IF($X1346="Pass",$H1346, IF(H1346="L","I", IF(H1346="U","L", IF(H1346="O","U", "I"))))</f>
        <v/>
      </c>
      <c r="Z1346" s="182" t="n"/>
    </row>
    <row r="1347">
      <c r="A1347" s="185">
        <f>ROW()-2</f>
        <v/>
      </c>
      <c r="B1347" s="133" t="inlineStr">
        <is>
          <t>PK0926</t>
        </is>
      </c>
      <c r="C1347" s="148" t="inlineStr">
        <is>
          <t>ARMUGAM ALIAS MAHARAJA</t>
        </is>
      </c>
      <c r="D1347" s="133" t="inlineStr">
        <is>
          <t>QUALITY CONTROL</t>
        </is>
      </c>
      <c r="E1347" s="186" t="inlineStr">
        <is>
          <t>Final Finish QA</t>
        </is>
      </c>
      <c r="F1347" s="187" t="n">
        <v>43279</v>
      </c>
      <c r="G1347" s="188">
        <f>NOW()-F1347</f>
        <v/>
      </c>
      <c r="H1347" s="189" t="inlineStr">
        <is>
          <t>O</t>
        </is>
      </c>
      <c r="I1347" s="189" t="inlineStr">
        <is>
          <t>O</t>
        </is>
      </c>
      <c r="J1347" s="189" t="n">
        <v>10</v>
      </c>
      <c r="K1347" s="189" t="n">
        <v>15</v>
      </c>
      <c r="L1347" s="189" t="n">
        <v>0</v>
      </c>
      <c r="M1347" s="189" t="n">
        <v>9</v>
      </c>
      <c r="N1347" s="189" t="n"/>
      <c r="O1347" s="189">
        <f>SUM(J1347:N1347)</f>
        <v/>
      </c>
      <c r="P1347" s="190">
        <f>O1347/IF(H1347="L",20,IF(H1347="U",30,IF(H1347="O",40,IF(H1347="I",20,""))))</f>
        <v/>
      </c>
      <c r="Q1347" s="190">
        <f>IF(AND(H1347="L", P1347&gt;=50%), "Pass", IF(AND(H1347="U", P1347&gt;=60%), "Pass", IF(AND(H1347="O", P1347&gt;=75%), "Pass", "Fail")))</f>
        <v/>
      </c>
      <c r="R1347" s="189" t="n"/>
      <c r="S1347" s="189" t="n">
        <v>15</v>
      </c>
      <c r="T1347" s="189" t="n">
        <v>15</v>
      </c>
      <c r="U1347" s="189">
        <f>SUM(S1347:T1347)</f>
        <v/>
      </c>
      <c r="V1347" s="190">
        <f>U1347/IF(H1347="L",35,IF(H1347="U",35,IF(H1347="O",35,IF(H1347="I",35,""))))</f>
        <v/>
      </c>
      <c r="W1347" s="190">
        <f>IF(AND(H1347="L", V1347&gt;=50%), "Pass", IF(AND(H1347="U", V1347&gt;=60%), "Pass", IF(AND(H1347="O", V1347&gt;=75%), "Pass", "Fail")))</f>
        <v/>
      </c>
      <c r="X1347" s="190">
        <f>IF(AND(Q1347="Pass", W1347="Pass"), "Pass", "Fail")</f>
        <v/>
      </c>
      <c r="Y1347" s="191">
        <f>IF($X1347="Pass",$H1347, IF(H1347="L","I", IF(H1347="U","L", IF(H1347="O","U", "I"))))</f>
        <v/>
      </c>
      <c r="Z1347" s="182" t="n"/>
    </row>
    <row r="1348">
      <c r="A1348" s="185">
        <f>ROW()-2</f>
        <v/>
      </c>
      <c r="B1348" s="133" t="inlineStr">
        <is>
          <t>PK0928</t>
        </is>
      </c>
      <c r="C1348" s="148" t="inlineStr">
        <is>
          <t>MURUGAPERUMAL NATARAJAN</t>
        </is>
      </c>
      <c r="D1348" s="133" t="inlineStr">
        <is>
          <t>QUALITY CONTROL</t>
        </is>
      </c>
      <c r="E1348" s="186" t="inlineStr">
        <is>
          <t>Final Finish QA</t>
        </is>
      </c>
      <c r="F1348" s="187" t="n">
        <v>43280</v>
      </c>
      <c r="G1348" s="188">
        <f>NOW()-F1348</f>
        <v/>
      </c>
      <c r="H1348" s="189" t="inlineStr">
        <is>
          <t>O</t>
        </is>
      </c>
      <c r="I1348" s="189" t="inlineStr">
        <is>
          <t>O</t>
        </is>
      </c>
      <c r="J1348" s="189" t="n">
        <v>10</v>
      </c>
      <c r="K1348" s="189" t="n">
        <v>16</v>
      </c>
      <c r="L1348" s="189" t="n">
        <v>0</v>
      </c>
      <c r="M1348" s="189" t="n">
        <v>9</v>
      </c>
      <c r="N1348" s="189" t="n"/>
      <c r="O1348" s="189">
        <f>SUM(J1348:N1348)</f>
        <v/>
      </c>
      <c r="P1348" s="190">
        <f>O1348/IF(H1348="L",20,IF(H1348="U",30,IF(H1348="O",40,IF(H1348="I",20,""))))</f>
        <v/>
      </c>
      <c r="Q1348" s="190">
        <f>IF(AND(H1348="L", P1348&gt;=50%), "Pass", IF(AND(H1348="U", P1348&gt;=60%), "Pass", IF(AND(H1348="O", P1348&gt;=75%), "Pass", "Fail")))</f>
        <v/>
      </c>
      <c r="R1348" s="189" t="n"/>
      <c r="S1348" s="189" t="n">
        <v>15</v>
      </c>
      <c r="T1348" s="189" t="n">
        <v>15</v>
      </c>
      <c r="U1348" s="189">
        <f>SUM(S1348:T1348)</f>
        <v/>
      </c>
      <c r="V1348" s="190">
        <f>U1348/IF(H1348="L",35,IF(H1348="U",35,IF(H1348="O",35,IF(H1348="I",35,""))))</f>
        <v/>
      </c>
      <c r="W1348" s="190">
        <f>IF(AND(H1348="L", V1348&gt;=50%), "Pass", IF(AND(H1348="U", V1348&gt;=60%), "Pass", IF(AND(H1348="O", V1348&gt;=75%), "Pass", "Fail")))</f>
        <v/>
      </c>
      <c r="X1348" s="190">
        <f>IF(AND(Q1348="Pass", W1348="Pass"), "Pass", "Fail")</f>
        <v/>
      </c>
      <c r="Y1348" s="191">
        <f>IF($X1348="Pass",$H1348, IF(H1348="L","I", IF(H1348="U","L", IF(H1348="O","U", "I"))))</f>
        <v/>
      </c>
      <c r="Z1348" s="182" t="n"/>
    </row>
    <row r="1349">
      <c r="A1349" s="185">
        <f>ROW()-2</f>
        <v/>
      </c>
      <c r="B1349" s="133" t="inlineStr">
        <is>
          <t>PK0951</t>
        </is>
      </c>
      <c r="C1349" s="148" t="inlineStr">
        <is>
          <t>JITRAM ORAON</t>
        </is>
      </c>
      <c r="D1349" s="133" t="inlineStr">
        <is>
          <t>QUALITY CONTROL</t>
        </is>
      </c>
      <c r="E1349" s="186" t="inlineStr">
        <is>
          <t>Final Finish QA</t>
        </is>
      </c>
      <c r="F1349" s="187" t="n">
        <v>43430</v>
      </c>
      <c r="G1349" s="188">
        <f>NOW()-F1349</f>
        <v/>
      </c>
      <c r="H1349" s="189" t="inlineStr">
        <is>
          <t>O</t>
        </is>
      </c>
      <c r="I1349" s="189" t="inlineStr">
        <is>
          <t>O</t>
        </is>
      </c>
      <c r="J1349" s="189" t="n">
        <v>10</v>
      </c>
      <c r="K1349" s="189" t="n">
        <v>16</v>
      </c>
      <c r="L1349" s="189" t="n">
        <v>0</v>
      </c>
      <c r="M1349" s="189" t="n">
        <v>9</v>
      </c>
      <c r="N1349" s="189" t="n"/>
      <c r="O1349" s="189">
        <f>SUM(J1349:N1349)</f>
        <v/>
      </c>
      <c r="P1349" s="190">
        <f>O1349/IF(H1349="L",20,IF(H1349="U",30,IF(H1349="O",40,IF(H1349="I",20,""))))</f>
        <v/>
      </c>
      <c r="Q1349" s="190">
        <f>IF(AND(H1349="L", P1349&gt;=50%), "Pass", IF(AND(H1349="U", P1349&gt;=60%), "Pass", IF(AND(H1349="O", P1349&gt;=75%), "Pass", "Fail")))</f>
        <v/>
      </c>
      <c r="R1349" s="189" t="n"/>
      <c r="S1349" s="189" t="n">
        <v>15</v>
      </c>
      <c r="T1349" s="189" t="n">
        <v>15</v>
      </c>
      <c r="U1349" s="189">
        <f>SUM(S1349:T1349)</f>
        <v/>
      </c>
      <c r="V1349" s="190">
        <f>U1349/IF(H1349="L",35,IF(H1349="U",35,IF(H1349="O",35,IF(H1349="I",35,""))))</f>
        <v/>
      </c>
      <c r="W1349" s="190">
        <f>IF(AND(H1349="L", V1349&gt;=50%), "Pass", IF(AND(H1349="U", V1349&gt;=60%), "Pass", IF(AND(H1349="O", V1349&gt;=75%), "Pass", "Fail")))</f>
        <v/>
      </c>
      <c r="X1349" s="190">
        <f>IF(AND(Q1349="Pass", W1349="Pass"), "Pass", "Fail")</f>
        <v/>
      </c>
      <c r="Y1349" s="191">
        <f>IF($X1349="Pass",$H1349, IF(H1349="L","I", IF(H1349="U","L", IF(H1349="O","U", "I"))))</f>
        <v/>
      </c>
      <c r="Z1349" s="182" t="n"/>
    </row>
    <row r="1350">
      <c r="A1350" s="185">
        <f>ROW()-2</f>
        <v/>
      </c>
      <c r="B1350" s="133" t="inlineStr">
        <is>
          <t>PK1053</t>
        </is>
      </c>
      <c r="C1350" s="148" t="inlineStr">
        <is>
          <t>VEMBU SUNDAR</t>
        </is>
      </c>
      <c r="D1350" s="133" t="inlineStr">
        <is>
          <t>QUALITY CONTROL</t>
        </is>
      </c>
      <c r="E1350" s="186" t="inlineStr">
        <is>
          <t>Final Finish QA</t>
        </is>
      </c>
      <c r="F1350" s="187" t="n">
        <v>43973</v>
      </c>
      <c r="G1350" s="188">
        <f>NOW()-F1350</f>
        <v/>
      </c>
      <c r="H1350" s="189" t="inlineStr">
        <is>
          <t>O</t>
        </is>
      </c>
      <c r="I1350" s="189" t="inlineStr">
        <is>
          <t>O</t>
        </is>
      </c>
      <c r="J1350" s="189" t="n">
        <v>10</v>
      </c>
      <c r="K1350" s="189" t="n">
        <v>17</v>
      </c>
      <c r="L1350" s="189" t="n">
        <v>0</v>
      </c>
      <c r="M1350" s="189" t="n">
        <v>9</v>
      </c>
      <c r="N1350" s="189" t="n"/>
      <c r="O1350" s="189">
        <f>SUM(J1350:N1350)</f>
        <v/>
      </c>
      <c r="P1350" s="190">
        <f>O1350/IF(H1350="L",20,IF(H1350="U",30,IF(H1350="O",40,IF(H1350="I",20,""))))</f>
        <v/>
      </c>
      <c r="Q1350" s="190">
        <f>IF(AND(H1350="L", P1350&gt;=50%), "Pass", IF(AND(H1350="U", P1350&gt;=60%), "Pass", IF(AND(H1350="O", P1350&gt;=75%), "Pass", "Fail")))</f>
        <v/>
      </c>
      <c r="R1350" s="189" t="n"/>
      <c r="S1350" s="189" t="n">
        <v>15</v>
      </c>
      <c r="T1350" s="189" t="n">
        <v>15</v>
      </c>
      <c r="U1350" s="189">
        <f>SUM(S1350:T1350)</f>
        <v/>
      </c>
      <c r="V1350" s="190">
        <f>U1350/IF(H1350="L",35,IF(H1350="U",35,IF(H1350="O",35,IF(H1350="I",35,""))))</f>
        <v/>
      </c>
      <c r="W1350" s="190">
        <f>IF(AND(H1350="L", V1350&gt;=50%), "Pass", IF(AND(H1350="U", V1350&gt;=60%), "Pass", IF(AND(H1350="O", V1350&gt;=75%), "Pass", "Fail")))</f>
        <v/>
      </c>
      <c r="X1350" s="190">
        <f>IF(AND(Q1350="Pass", W1350="Pass"), "Pass", "Fail")</f>
        <v/>
      </c>
      <c r="Y1350" s="191">
        <f>IF($X1350="Pass",$H1350, IF(H1350="L","I", IF(H1350="U","L", IF(H1350="O","U", "I"))))</f>
        <v/>
      </c>
      <c r="Z1350" s="182" t="n"/>
    </row>
    <row r="1351">
      <c r="A1351" s="185">
        <f>ROW()-2</f>
        <v/>
      </c>
      <c r="B1351" s="133" t="inlineStr">
        <is>
          <t>PK1185</t>
        </is>
      </c>
      <c r="C1351" s="148" t="inlineStr">
        <is>
          <t>SUBESH ORAON</t>
        </is>
      </c>
      <c r="D1351" s="133" t="inlineStr">
        <is>
          <t>QUALITY CONTROL</t>
        </is>
      </c>
      <c r="E1351" s="186" t="inlineStr">
        <is>
          <t>Final Finish QA</t>
        </is>
      </c>
      <c r="F1351" s="187" t="n">
        <v>44233</v>
      </c>
      <c r="G1351" s="188">
        <f>NOW()-F1351</f>
        <v/>
      </c>
      <c r="H1351" s="189" t="inlineStr">
        <is>
          <t>O</t>
        </is>
      </c>
      <c r="I1351" s="189" t="inlineStr">
        <is>
          <t>O</t>
        </is>
      </c>
      <c r="J1351" s="189" t="n">
        <v>10</v>
      </c>
      <c r="K1351" s="189" t="n">
        <v>18</v>
      </c>
      <c r="L1351" s="189" t="n">
        <v>0</v>
      </c>
      <c r="M1351" s="189" t="n">
        <v>9</v>
      </c>
      <c r="N1351" s="189" t="n"/>
      <c r="O1351" s="189">
        <f>SUM(J1351:N1351)</f>
        <v/>
      </c>
      <c r="P1351" s="190">
        <f>O1351/IF(H1351="L",20,IF(H1351="U",30,IF(H1351="O",40,IF(H1351="I",20,""))))</f>
        <v/>
      </c>
      <c r="Q1351" s="190">
        <f>IF(AND(H1351="L", P1351&gt;=50%), "Pass", IF(AND(H1351="U", P1351&gt;=60%), "Pass", IF(AND(H1351="O", P1351&gt;=75%), "Pass", "Fail")))</f>
        <v/>
      </c>
      <c r="R1351" s="189" t="n"/>
      <c r="S1351" s="189" t="n">
        <v>15</v>
      </c>
      <c r="T1351" s="189" t="n">
        <v>15</v>
      </c>
      <c r="U1351" s="189">
        <f>SUM(S1351:T1351)</f>
        <v/>
      </c>
      <c r="V1351" s="190">
        <f>U1351/IF(H1351="L",35,IF(H1351="U",35,IF(H1351="O",35,IF(H1351="I",35,""))))</f>
        <v/>
      </c>
      <c r="W1351" s="190">
        <f>IF(AND(H1351="L", V1351&gt;=50%), "Pass", IF(AND(H1351="U", V1351&gt;=60%), "Pass", IF(AND(H1351="O", V1351&gt;=75%), "Pass", "Fail")))</f>
        <v/>
      </c>
      <c r="X1351" s="190">
        <f>IF(AND(Q1351="Pass", W1351="Pass"), "Pass", "Fail")</f>
        <v/>
      </c>
      <c r="Y1351" s="191">
        <f>IF($X1351="Pass",$H1351, IF(H1351="L","I", IF(H1351="U","L", IF(H1351="O","U", "I"))))</f>
        <v/>
      </c>
      <c r="Z1351" s="182" t="n"/>
    </row>
    <row r="1352">
      <c r="A1352" s="185">
        <f>ROW()-2</f>
        <v/>
      </c>
      <c r="B1352" s="133" t="inlineStr">
        <is>
          <t>PK1186</t>
        </is>
      </c>
      <c r="C1352" s="148" t="inlineStr">
        <is>
          <t>SUJIT ORAON</t>
        </is>
      </c>
      <c r="D1352" s="133" t="inlineStr">
        <is>
          <t>QUALITY CONTROL</t>
        </is>
      </c>
      <c r="E1352" s="186" t="inlineStr">
        <is>
          <t>Final Finish QA</t>
        </is>
      </c>
      <c r="F1352" s="187" t="n">
        <v>44233</v>
      </c>
      <c r="G1352" s="188">
        <f>NOW()-F1352</f>
        <v/>
      </c>
      <c r="H1352" s="189" t="inlineStr">
        <is>
          <t>O</t>
        </is>
      </c>
      <c r="I1352" s="189" t="inlineStr">
        <is>
          <t>O</t>
        </is>
      </c>
      <c r="J1352" s="189" t="n">
        <v>10</v>
      </c>
      <c r="K1352" s="189" t="n">
        <v>18</v>
      </c>
      <c r="L1352" s="189" t="n">
        <v>0</v>
      </c>
      <c r="M1352" s="189" t="n">
        <v>9</v>
      </c>
      <c r="N1352" s="189" t="n"/>
      <c r="O1352" s="189">
        <f>SUM(J1352:N1352)</f>
        <v/>
      </c>
      <c r="P1352" s="190">
        <f>O1352/IF(H1352="L",20,IF(H1352="U",30,IF(H1352="O",40,IF(H1352="I",20,""))))</f>
        <v/>
      </c>
      <c r="Q1352" s="190">
        <f>IF(AND(H1352="L", P1352&gt;=50%), "Pass", IF(AND(H1352="U", P1352&gt;=60%), "Pass", IF(AND(H1352="O", P1352&gt;=75%), "Pass", "Fail")))</f>
        <v/>
      </c>
      <c r="R1352" s="189" t="n"/>
      <c r="S1352" s="189" t="n">
        <v>15</v>
      </c>
      <c r="T1352" s="189" t="n">
        <v>15</v>
      </c>
      <c r="U1352" s="189">
        <f>SUM(S1352:T1352)</f>
        <v/>
      </c>
      <c r="V1352" s="190">
        <f>U1352/IF(H1352="L",35,IF(H1352="U",35,IF(H1352="O",35,IF(H1352="I",35,""))))</f>
        <v/>
      </c>
      <c r="W1352" s="190">
        <f>IF(AND(H1352="L", V1352&gt;=50%), "Pass", IF(AND(H1352="U", V1352&gt;=60%), "Pass", IF(AND(H1352="O", V1352&gt;=75%), "Pass", "Fail")))</f>
        <v/>
      </c>
      <c r="X1352" s="190">
        <f>IF(AND(Q1352="Pass", W1352="Pass"), "Pass", "Fail")</f>
        <v/>
      </c>
      <c r="Y1352" s="191">
        <f>IF($X1352="Pass",$H1352, IF(H1352="L","I", IF(H1352="U","L", IF(H1352="O","U", "I"))))</f>
        <v/>
      </c>
      <c r="Z1352" s="182" t="n"/>
    </row>
    <row r="1353">
      <c r="A1353" s="185">
        <f>ROW()-2</f>
        <v/>
      </c>
      <c r="B1353" s="133" t="inlineStr">
        <is>
          <t>PK1355</t>
        </is>
      </c>
      <c r="C1353" s="148" t="inlineStr">
        <is>
          <t>MAHARAJAN KARUPPASAMY</t>
        </is>
      </c>
      <c r="D1353" s="133" t="inlineStr">
        <is>
          <t>QUALITY CONTROL</t>
        </is>
      </c>
      <c r="E1353" s="186" t="inlineStr">
        <is>
          <t>Final Finish QA</t>
        </is>
      </c>
      <c r="F1353" s="187" t="n">
        <v>44606</v>
      </c>
      <c r="G1353" s="188">
        <f>NOW()-F1353</f>
        <v/>
      </c>
      <c r="H1353" s="189" t="inlineStr">
        <is>
          <t>O</t>
        </is>
      </c>
      <c r="I1353" s="189" t="inlineStr">
        <is>
          <t>O</t>
        </is>
      </c>
      <c r="J1353" s="189" t="n">
        <v>10</v>
      </c>
      <c r="K1353" s="189" t="n">
        <v>16</v>
      </c>
      <c r="L1353" s="189" t="n">
        <v>0</v>
      </c>
      <c r="M1353" s="189" t="n">
        <v>9</v>
      </c>
      <c r="N1353" s="189" t="n"/>
      <c r="O1353" s="189">
        <f>SUM(J1353:N1353)</f>
        <v/>
      </c>
      <c r="P1353" s="190">
        <f>O1353/IF(H1353="L",20,IF(H1353="U",30,IF(H1353="O",40,IF(H1353="I",20,""))))</f>
        <v/>
      </c>
      <c r="Q1353" s="190">
        <f>IF(AND(H1353="L", P1353&gt;=50%), "Pass", IF(AND(H1353="U", P1353&gt;=60%), "Pass", IF(AND(H1353="O", P1353&gt;=75%), "Pass", "Fail")))</f>
        <v/>
      </c>
      <c r="R1353" s="189" t="n"/>
      <c r="S1353" s="189" t="n">
        <v>15</v>
      </c>
      <c r="T1353" s="189" t="n">
        <v>15</v>
      </c>
      <c r="U1353" s="189">
        <f>SUM(S1353:T1353)</f>
        <v/>
      </c>
      <c r="V1353" s="190">
        <f>U1353/IF(H1353="L",35,IF(H1353="U",35,IF(H1353="O",35,IF(H1353="I",35,""))))</f>
        <v/>
      </c>
      <c r="W1353" s="190">
        <f>IF(AND(H1353="L", V1353&gt;=50%), "Pass", IF(AND(H1353="U", V1353&gt;=60%), "Pass", IF(AND(H1353="O", V1353&gt;=75%), "Pass", "Fail")))</f>
        <v/>
      </c>
      <c r="X1353" s="190">
        <f>IF(AND(Q1353="Pass", W1353="Pass"), "Pass", "Fail")</f>
        <v/>
      </c>
      <c r="Y1353" s="191">
        <f>IF($X1353="Pass",$H1353, IF(H1353="L","I", IF(H1353="U","L", IF(H1353="O","U", "I"))))</f>
        <v/>
      </c>
      <c r="Z1353" s="182" t="n"/>
    </row>
    <row r="1354">
      <c r="A1354" s="185">
        <f>ROW()-2</f>
        <v/>
      </c>
      <c r="B1354" s="133" t="inlineStr">
        <is>
          <t>PK1572</t>
        </is>
      </c>
      <c r="C1354" s="148" t="inlineStr">
        <is>
          <t>PRADESIYA ORAON</t>
        </is>
      </c>
      <c r="D1354" s="133" t="inlineStr">
        <is>
          <t>QUALITY CONTROL</t>
        </is>
      </c>
      <c r="E1354" s="186" t="inlineStr">
        <is>
          <t>Final Finish QA</t>
        </is>
      </c>
      <c r="F1354" s="187" t="n">
        <v>45705</v>
      </c>
      <c r="G1354" s="188">
        <f>NOW()-F1354</f>
        <v/>
      </c>
      <c r="H1354" s="189" t="inlineStr">
        <is>
          <t>U</t>
        </is>
      </c>
      <c r="I1354" s="189" t="inlineStr">
        <is>
          <t>L</t>
        </is>
      </c>
      <c r="J1354" s="189" t="n">
        <v>7</v>
      </c>
      <c r="K1354" s="189" t="n">
        <v>12</v>
      </c>
      <c r="L1354" s="189" t="n">
        <v>0</v>
      </c>
      <c r="M1354" s="189" t="n">
        <v>7</v>
      </c>
      <c r="N1354" s="189" t="n"/>
      <c r="O1354" s="189">
        <f>SUM(J1354:N1354)</f>
        <v/>
      </c>
      <c r="P1354" s="190">
        <f>O1354/IF(H1354="L",20,IF(H1354="U",30,IF(H1354="O",40,IF(H1354="I",20,""))))</f>
        <v/>
      </c>
      <c r="Q1354" s="190">
        <f>IF(AND(H1354="L", P1354&gt;=50%), "Pass", IF(AND(H1354="U", P1354&gt;=60%), "Pass", IF(AND(H1354="O", P1354&gt;=75%), "Pass", "Fail")))</f>
        <v/>
      </c>
      <c r="R1354" s="189" t="n"/>
      <c r="S1354" s="189" t="n">
        <v>15</v>
      </c>
      <c r="T1354" s="189" t="n">
        <v>15</v>
      </c>
      <c r="U1354" s="189">
        <f>SUM(S1354:T1354)</f>
        <v/>
      </c>
      <c r="V1354" s="190">
        <f>U1354/IF(H1354="L",35,IF(H1354="U",35,IF(H1354="O",35,IF(H1354="I",35,""))))</f>
        <v/>
      </c>
      <c r="W1354" s="190">
        <f>IF(AND(H1354="L", V1354&gt;=50%), "Pass", IF(AND(H1354="U", V1354&gt;=60%), "Pass", IF(AND(H1354="O", V1354&gt;=75%), "Pass", "Fail")))</f>
        <v/>
      </c>
      <c r="X1354" s="190">
        <f>IF(AND(Q1354="Pass", W1354="Pass"), "Pass", "Fail")</f>
        <v/>
      </c>
      <c r="Y1354" s="191">
        <f>IF($X1354="Pass",$H1354, IF(H1354="L","I", IF(H1354="U","L", IF(H1354="O","U", "I"))))</f>
        <v/>
      </c>
      <c r="Z1354" s="182" t="n"/>
    </row>
    <row r="1355">
      <c r="A1355" s="185">
        <f>ROW()-2</f>
        <v/>
      </c>
      <c r="B1355" s="133" t="inlineStr">
        <is>
          <t>PK1573</t>
        </is>
      </c>
      <c r="C1355" s="148" t="inlineStr">
        <is>
          <t>GOPI ORAON</t>
        </is>
      </c>
      <c r="D1355" s="133" t="inlineStr">
        <is>
          <t>QUALITY CONTROL</t>
        </is>
      </c>
      <c r="E1355" s="186" t="inlineStr">
        <is>
          <t>Final Finish QA</t>
        </is>
      </c>
      <c r="F1355" s="187" t="n">
        <v>45705</v>
      </c>
      <c r="G1355" s="188">
        <f>NOW()-F1355</f>
        <v/>
      </c>
      <c r="H1355" s="189" t="inlineStr">
        <is>
          <t>U</t>
        </is>
      </c>
      <c r="I1355" s="189" t="inlineStr">
        <is>
          <t>L</t>
        </is>
      </c>
      <c r="J1355" s="189" t="n">
        <v>7</v>
      </c>
      <c r="K1355" s="189" t="n">
        <v>12</v>
      </c>
      <c r="L1355" s="189" t="n">
        <v>0</v>
      </c>
      <c r="M1355" s="189" t="n">
        <v>7</v>
      </c>
      <c r="N1355" s="189" t="n"/>
      <c r="O1355" s="189">
        <f>SUM(J1355:N1355)</f>
        <v/>
      </c>
      <c r="P1355" s="190">
        <f>O1355/IF(H1355="L",20,IF(H1355="U",30,IF(H1355="O",40,IF(H1355="I",20,""))))</f>
        <v/>
      </c>
      <c r="Q1355" s="190">
        <f>IF(AND(H1355="L", P1355&gt;=50%), "Pass", IF(AND(H1355="U", P1355&gt;=60%), "Pass", IF(AND(H1355="O", P1355&gt;=75%), "Pass", "Fail")))</f>
        <v/>
      </c>
      <c r="R1355" s="189" t="n"/>
      <c r="S1355" s="189" t="n">
        <v>15</v>
      </c>
      <c r="T1355" s="189" t="n">
        <v>15</v>
      </c>
      <c r="U1355" s="189">
        <f>SUM(S1355:T1355)</f>
        <v/>
      </c>
      <c r="V1355" s="190">
        <f>U1355/IF(H1355="L",35,IF(H1355="U",35,IF(H1355="O",35,IF(H1355="I",35,""))))</f>
        <v/>
      </c>
      <c r="W1355" s="190">
        <f>IF(AND(H1355="L", V1355&gt;=50%), "Pass", IF(AND(H1355="U", V1355&gt;=60%), "Pass", IF(AND(H1355="O", V1355&gt;=75%), "Pass", "Fail")))</f>
        <v/>
      </c>
      <c r="X1355" s="190">
        <f>IF(AND(Q1355="Pass", W1355="Pass"), "Pass", "Fail")</f>
        <v/>
      </c>
      <c r="Y1355" s="191">
        <f>IF($X1355="Pass",$H1355, IF(H1355="L","I", IF(H1355="U","L", IF(H1355="O","U", "I"))))</f>
        <v/>
      </c>
      <c r="Z1355" s="182" t="n"/>
    </row>
    <row r="1356">
      <c r="A1356" s="185">
        <f>ROW()-2</f>
        <v/>
      </c>
      <c r="B1356" s="133" t="inlineStr">
        <is>
          <t>PK1575</t>
        </is>
      </c>
      <c r="C1356" s="148" t="inlineStr">
        <is>
          <t>AJIT ORAON</t>
        </is>
      </c>
      <c r="D1356" s="133" t="inlineStr">
        <is>
          <t>QUALITY CONTROL</t>
        </is>
      </c>
      <c r="E1356" s="186" t="inlineStr">
        <is>
          <t>Final Finish QA</t>
        </is>
      </c>
      <c r="F1356" s="187" t="n">
        <v>45705</v>
      </c>
      <c r="G1356" s="188">
        <f>NOW()-F1356</f>
        <v/>
      </c>
      <c r="H1356" s="189" t="inlineStr">
        <is>
          <t>U</t>
        </is>
      </c>
      <c r="I1356" s="189" t="inlineStr">
        <is>
          <t>L</t>
        </is>
      </c>
      <c r="J1356" s="189" t="n">
        <v>7</v>
      </c>
      <c r="K1356" s="189" t="n">
        <v>13</v>
      </c>
      <c r="L1356" s="189" t="n">
        <v>0</v>
      </c>
      <c r="M1356" s="189" t="n">
        <v>7</v>
      </c>
      <c r="N1356" s="189" t="n"/>
      <c r="O1356" s="189">
        <f>SUM(J1356:N1356)</f>
        <v/>
      </c>
      <c r="P1356" s="190">
        <f>O1356/IF(H1356="L",20,IF(H1356="U",30,IF(H1356="O",40,IF(H1356="I",20,""))))</f>
        <v/>
      </c>
      <c r="Q1356" s="190">
        <f>IF(AND(H1356="L", P1356&gt;=50%), "Pass", IF(AND(H1356="U", P1356&gt;=60%), "Pass", IF(AND(H1356="O", P1356&gt;=75%), "Pass", "Fail")))</f>
        <v/>
      </c>
      <c r="R1356" s="189" t="n"/>
      <c r="S1356" s="189" t="n">
        <v>15</v>
      </c>
      <c r="T1356" s="189" t="n">
        <v>15</v>
      </c>
      <c r="U1356" s="189">
        <f>SUM(S1356:T1356)</f>
        <v/>
      </c>
      <c r="V1356" s="190">
        <f>U1356/IF(H1356="L",35,IF(H1356="U",35,IF(H1356="O",35,IF(H1356="I",35,""))))</f>
        <v/>
      </c>
      <c r="W1356" s="190">
        <f>IF(AND(H1356="L", V1356&gt;=50%), "Pass", IF(AND(H1356="U", V1356&gt;=60%), "Pass", IF(AND(H1356="O", V1356&gt;=75%), "Pass", "Fail")))</f>
        <v/>
      </c>
      <c r="X1356" s="190">
        <f>IF(AND(Q1356="Pass", W1356="Pass"), "Pass", "Fail")</f>
        <v/>
      </c>
      <c r="Y1356" s="191">
        <f>IF($X1356="Pass",$H1356, IF(H1356="L","I", IF(H1356="U","L", IF(H1356="O","U", "I"))))</f>
        <v/>
      </c>
      <c r="Z1356" s="182" t="n"/>
    </row>
    <row r="1357">
      <c r="A1357" s="185">
        <f>ROW()-2</f>
        <v/>
      </c>
      <c r="B1357" s="133" t="inlineStr">
        <is>
          <t>PK1726</t>
        </is>
      </c>
      <c r="C1357" s="148" t="inlineStr">
        <is>
          <t>BABLU ORAON</t>
        </is>
      </c>
      <c r="D1357" s="133" t="inlineStr">
        <is>
          <t>QUALITY CONTROL</t>
        </is>
      </c>
      <c r="E1357" s="186" t="inlineStr">
        <is>
          <t>Final Finish QA</t>
        </is>
      </c>
      <c r="F1357" s="187" t="n">
        <v>46209</v>
      </c>
      <c r="G1357" s="188">
        <f>NOW()-F1357</f>
        <v/>
      </c>
      <c r="H1357" s="189" t="inlineStr">
        <is>
          <t>L</t>
        </is>
      </c>
      <c r="I1357" s="189" t="inlineStr">
        <is>
          <t>I</t>
        </is>
      </c>
      <c r="J1357" s="189" t="n"/>
      <c r="K1357" s="189" t="n"/>
      <c r="L1357" s="189" t="n"/>
      <c r="M1357" s="189" t="n"/>
      <c r="N1357" s="189" t="n"/>
      <c r="O1357" s="189">
        <f>SUM(J1357:N1357)</f>
        <v/>
      </c>
      <c r="P1357" s="190">
        <f>O1357/IF(H1357="L",20,IF(H1357="U",30,IF(H1357="O",40,IF(H1357="I",20,""))))</f>
        <v/>
      </c>
      <c r="Q1357" s="190">
        <f>IF(AND(H1357="L", P1357&gt;=50%), "Pass", IF(AND(H1357="U", P1357&gt;=60%), "Pass", IF(AND(H1357="O", P1357&gt;=75%), "Pass", "Fail")))</f>
        <v/>
      </c>
      <c r="R1357" s="189" t="n"/>
      <c r="S1357" s="189" t="n"/>
      <c r="T1357" s="189" t="n"/>
      <c r="U1357" s="189">
        <f>SUM(S1357:T1357)</f>
        <v/>
      </c>
      <c r="V1357" s="190">
        <f>U1357/IF(H1357="L",35,IF(H1357="U",35,IF(H1357="O",35,IF(H1357="I",35,""))))</f>
        <v/>
      </c>
      <c r="W1357" s="190">
        <f>IF(AND(H1357="L", V1357&gt;=50%), "Pass", IF(AND(H1357="U", V1357&gt;=60%), "Pass", IF(AND(H1357="O", V1357&gt;=75%), "Pass", "Fail")))</f>
        <v/>
      </c>
      <c r="X1357" s="190">
        <f>IF(AND(Q1357="Pass", W1357="Pass"), "Pass", "Fail")</f>
        <v/>
      </c>
      <c r="Y1357" s="191">
        <f>IF($X1357="Pass",$H1357, IF(H1357="L","I", IF(H1357="U","L", IF(H1357="O","U", "I"))))</f>
        <v/>
      </c>
      <c r="Z1357" s="182" t="n"/>
    </row>
    <row r="1358">
      <c r="A1358" s="185">
        <f>ROW()-2</f>
        <v/>
      </c>
      <c r="B1358" s="133" t="inlineStr">
        <is>
          <t>SK0534</t>
        </is>
      </c>
      <c r="C1358" s="148" t="inlineStr">
        <is>
          <t>SANJIV KUMAR</t>
        </is>
      </c>
      <c r="D1358" s="133" t="inlineStr">
        <is>
          <t>QUALITY CONTROL</t>
        </is>
      </c>
      <c r="E1358" s="186" t="inlineStr">
        <is>
          <t>Final Finish QA</t>
        </is>
      </c>
      <c r="F1358" s="187" t="n">
        <v>41264</v>
      </c>
      <c r="G1358" s="188">
        <f>NOW()-F1358</f>
        <v/>
      </c>
      <c r="H1358" s="189" t="inlineStr">
        <is>
          <t>O</t>
        </is>
      </c>
      <c r="I1358" s="189" t="inlineStr">
        <is>
          <t>O</t>
        </is>
      </c>
      <c r="J1358" s="189" t="n">
        <v>10</v>
      </c>
      <c r="K1358" s="189" t="n">
        <v>17</v>
      </c>
      <c r="L1358" s="189" t="n">
        <v>0</v>
      </c>
      <c r="M1358" s="189" t="n">
        <v>9</v>
      </c>
      <c r="N1358" s="189" t="n"/>
      <c r="O1358" s="189">
        <f>SUM(J1358:N1358)</f>
        <v/>
      </c>
      <c r="P1358" s="190">
        <f>O1358/IF(H1358="L",20,IF(H1358="U",30,IF(H1358="O",40,IF(H1358="I",20,""))))</f>
        <v/>
      </c>
      <c r="Q1358" s="190">
        <f>IF(AND(H1358="L", P1358&gt;=50%), "Pass", IF(AND(H1358="U", P1358&gt;=60%), "Pass", IF(AND(H1358="O", P1358&gt;=75%), "Pass", "Fail")))</f>
        <v/>
      </c>
      <c r="R1358" s="189" t="n"/>
      <c r="S1358" s="189" t="n">
        <v>15</v>
      </c>
      <c r="T1358" s="189" t="n">
        <v>15</v>
      </c>
      <c r="U1358" s="189">
        <f>SUM(S1358:T1358)</f>
        <v/>
      </c>
      <c r="V1358" s="190">
        <f>U1358/IF(H1358="L",35,IF(H1358="U",35,IF(H1358="O",35,IF(H1358="I",35,""))))</f>
        <v/>
      </c>
      <c r="W1358" s="190">
        <f>IF(AND(H1358="L", V1358&gt;=50%), "Pass", IF(AND(H1358="U", V1358&gt;=60%), "Pass", IF(AND(H1358="O", V1358&gt;=75%), "Pass", "Fail")))</f>
        <v/>
      </c>
      <c r="X1358" s="190">
        <f>IF(AND(Q1358="Pass", W1358="Pass"), "Pass", "Fail")</f>
        <v/>
      </c>
      <c r="Y1358" s="191">
        <f>IF($X1358="Pass",$H1358, IF(H1358="L","I", IF(H1358="U","L", IF(H1358="O","U", "I"))))</f>
        <v/>
      </c>
      <c r="Z1358" s="182" t="n"/>
    </row>
    <row r="1359">
      <c r="A1359" s="185">
        <f>ROW()-2</f>
        <v/>
      </c>
      <c r="B1359" s="133" t="inlineStr">
        <is>
          <t>SK0942</t>
        </is>
      </c>
      <c r="C1359" s="148" t="inlineStr">
        <is>
          <t>RAJAN M</t>
        </is>
      </c>
      <c r="D1359" s="133" t="inlineStr">
        <is>
          <t>QUALITY CONTROL</t>
        </is>
      </c>
      <c r="E1359" s="186" t="inlineStr">
        <is>
          <t>Final Finish QA</t>
        </is>
      </c>
      <c r="F1359" s="187" t="n">
        <v>41584</v>
      </c>
      <c r="G1359" s="188">
        <f>NOW()-F1359</f>
        <v/>
      </c>
      <c r="H1359" s="189" t="inlineStr">
        <is>
          <t>O</t>
        </is>
      </c>
      <c r="I1359" s="189" t="inlineStr">
        <is>
          <t>O</t>
        </is>
      </c>
      <c r="J1359" s="189" t="n">
        <v>10</v>
      </c>
      <c r="K1359" s="189" t="n">
        <v>17</v>
      </c>
      <c r="L1359" s="189" t="n">
        <v>0</v>
      </c>
      <c r="M1359" s="189" t="n">
        <v>9</v>
      </c>
      <c r="N1359" s="189" t="n"/>
      <c r="O1359" s="189">
        <f>SUM(J1359:N1359)</f>
        <v/>
      </c>
      <c r="P1359" s="190">
        <f>O1359/IF(H1359="L",20,IF(H1359="U",30,IF(H1359="O",40,IF(H1359="I",20,""))))</f>
        <v/>
      </c>
      <c r="Q1359" s="190">
        <f>IF(AND(H1359="L", P1359&gt;=50%), "Pass", IF(AND(H1359="U", P1359&gt;=60%), "Pass", IF(AND(H1359="O", P1359&gt;=75%), "Pass", "Fail")))</f>
        <v/>
      </c>
      <c r="R1359" s="189" t="n"/>
      <c r="S1359" s="189" t="n">
        <v>15</v>
      </c>
      <c r="T1359" s="189" t="n">
        <v>15</v>
      </c>
      <c r="U1359" s="189">
        <f>SUM(S1359:T1359)</f>
        <v/>
      </c>
      <c r="V1359" s="190">
        <f>U1359/IF(H1359="L",35,IF(H1359="U",35,IF(H1359="O",35,IF(H1359="I",35,""))))</f>
        <v/>
      </c>
      <c r="W1359" s="190">
        <f>IF(AND(H1359="L", V1359&gt;=50%), "Pass", IF(AND(H1359="U", V1359&gt;=60%), "Pass", IF(AND(H1359="O", V1359&gt;=75%), "Pass", "Fail")))</f>
        <v/>
      </c>
      <c r="X1359" s="190">
        <f>IF(AND(Q1359="Pass", W1359="Pass"), "Pass", "Fail")</f>
        <v/>
      </c>
      <c r="Y1359" s="191">
        <f>IF($X1359="Pass",$H1359, IF(H1359="L","I", IF(H1359="U","L", IF(H1359="O","U", "I"))))</f>
        <v/>
      </c>
      <c r="Z1359" s="182" t="n"/>
    </row>
    <row r="1360">
      <c r="A1360" s="185">
        <f>ROW()-2</f>
        <v/>
      </c>
      <c r="B1360" s="133" t="inlineStr">
        <is>
          <t>SK2058</t>
        </is>
      </c>
      <c r="C1360" s="148" t="inlineStr">
        <is>
          <t>SUBBIAH S</t>
        </is>
      </c>
      <c r="D1360" s="133" t="inlineStr">
        <is>
          <t>QUALITY CONTROL</t>
        </is>
      </c>
      <c r="E1360" s="186" t="inlineStr">
        <is>
          <t>Final Finish QA</t>
        </is>
      </c>
      <c r="F1360" s="187" t="n">
        <v>42360</v>
      </c>
      <c r="G1360" s="188">
        <f>NOW()-F1360</f>
        <v/>
      </c>
      <c r="H1360" s="189" t="inlineStr">
        <is>
          <t>O</t>
        </is>
      </c>
      <c r="I1360" s="189" t="inlineStr">
        <is>
          <t>O</t>
        </is>
      </c>
      <c r="J1360" s="189" t="n">
        <v>10</v>
      </c>
      <c r="K1360" s="189" t="n">
        <v>18</v>
      </c>
      <c r="L1360" s="189" t="n">
        <v>0</v>
      </c>
      <c r="M1360" s="189" t="n">
        <v>9</v>
      </c>
      <c r="N1360" s="189" t="n"/>
      <c r="O1360" s="189">
        <f>SUM(J1360:N1360)</f>
        <v/>
      </c>
      <c r="P1360" s="190">
        <f>O1360/IF(H1360="L",20,IF(H1360="U",30,IF(H1360="O",40,IF(H1360="I",20,""))))</f>
        <v/>
      </c>
      <c r="Q1360" s="190">
        <f>IF(AND(H1360="L", P1360&gt;=50%), "Pass", IF(AND(H1360="U", P1360&gt;=60%), "Pass", IF(AND(H1360="O", P1360&gt;=75%), "Pass", "Fail")))</f>
        <v/>
      </c>
      <c r="R1360" s="189" t="n"/>
      <c r="S1360" s="189" t="n">
        <v>15</v>
      </c>
      <c r="T1360" s="189" t="n">
        <v>15</v>
      </c>
      <c r="U1360" s="189">
        <f>SUM(S1360:T1360)</f>
        <v/>
      </c>
      <c r="V1360" s="190">
        <f>U1360/IF(H1360="L",35,IF(H1360="U",35,IF(H1360="O",35,IF(H1360="I",35,""))))</f>
        <v/>
      </c>
      <c r="W1360" s="190">
        <f>IF(AND(H1360="L", V1360&gt;=50%), "Pass", IF(AND(H1360="U", V1360&gt;=60%), "Pass", IF(AND(H1360="O", V1360&gt;=75%), "Pass", "Fail")))</f>
        <v/>
      </c>
      <c r="X1360" s="190">
        <f>IF(AND(Q1360="Pass", W1360="Pass"), "Pass", "Fail")</f>
        <v/>
      </c>
      <c r="Y1360" s="191">
        <f>IF($X1360="Pass",$H1360, IF(H1360="L","I", IF(H1360="U","L", IF(H1360="O","U", "I"))))</f>
        <v/>
      </c>
      <c r="Z1360" s="182" t="n"/>
    </row>
    <row r="1361">
      <c r="A1361" s="185">
        <f>ROW()-2</f>
        <v/>
      </c>
      <c r="B1361" s="133" t="inlineStr">
        <is>
          <t>SK2236</t>
        </is>
      </c>
      <c r="C1361" s="148" t="inlineStr">
        <is>
          <t>ARUNACHALAM R</t>
        </is>
      </c>
      <c r="D1361" s="133" t="inlineStr">
        <is>
          <t>QUALITY CONTROL</t>
        </is>
      </c>
      <c r="E1361" s="186" t="inlineStr">
        <is>
          <t>Final Finish QA</t>
        </is>
      </c>
      <c r="F1361" s="187" t="n">
        <v>42700</v>
      </c>
      <c r="G1361" s="188">
        <f>NOW()-F1361</f>
        <v/>
      </c>
      <c r="H1361" s="189" t="inlineStr">
        <is>
          <t>O</t>
        </is>
      </c>
      <c r="I1361" s="189" t="inlineStr">
        <is>
          <t>O</t>
        </is>
      </c>
      <c r="J1361" s="189" t="n">
        <v>10</v>
      </c>
      <c r="K1361" s="189" t="n">
        <v>19</v>
      </c>
      <c r="L1361" s="189" t="n">
        <v>0</v>
      </c>
      <c r="M1361" s="189" t="n">
        <v>9</v>
      </c>
      <c r="N1361" s="189" t="n"/>
      <c r="O1361" s="189">
        <f>SUM(J1361:N1361)</f>
        <v/>
      </c>
      <c r="P1361" s="190">
        <f>O1361/IF(H1361="L",20,IF(H1361="U",30,IF(H1361="O",40,IF(H1361="I",20,""))))</f>
        <v/>
      </c>
      <c r="Q1361" s="190">
        <f>IF(AND(H1361="L", P1361&gt;=50%), "Pass", IF(AND(H1361="U", P1361&gt;=60%), "Pass", IF(AND(H1361="O", P1361&gt;=75%), "Pass", "Fail")))</f>
        <v/>
      </c>
      <c r="R1361" s="189" t="n"/>
      <c r="S1361" s="189" t="n">
        <v>15</v>
      </c>
      <c r="T1361" s="189" t="n">
        <v>15</v>
      </c>
      <c r="U1361" s="189">
        <f>SUM(S1361:T1361)</f>
        <v/>
      </c>
      <c r="V1361" s="190">
        <f>U1361/IF(H1361="L",35,IF(H1361="U",35,IF(H1361="O",35,IF(H1361="I",35,""))))</f>
        <v/>
      </c>
      <c r="W1361" s="190">
        <f>IF(AND(H1361="L", V1361&gt;=50%), "Pass", IF(AND(H1361="U", V1361&gt;=60%), "Pass", IF(AND(H1361="O", V1361&gt;=75%), "Pass", "Fail")))</f>
        <v/>
      </c>
      <c r="X1361" s="190">
        <f>IF(AND(Q1361="Pass", W1361="Pass"), "Pass", "Fail")</f>
        <v/>
      </c>
      <c r="Y1361" s="191">
        <f>IF($X1361="Pass",$H1361, IF(H1361="L","I", IF(H1361="U","L", IF(H1361="O","U", "I"))))</f>
        <v/>
      </c>
      <c r="Z1361" s="182" t="n"/>
    </row>
    <row r="1362">
      <c r="A1362" s="185">
        <f>ROW()-2</f>
        <v/>
      </c>
      <c r="B1362" s="133" t="inlineStr">
        <is>
          <t>SK2310</t>
        </is>
      </c>
      <c r="C1362" s="148" t="inlineStr">
        <is>
          <t>SURESH S</t>
        </is>
      </c>
      <c r="D1362" s="133" t="inlineStr">
        <is>
          <t>QUALITY CONTROL</t>
        </is>
      </c>
      <c r="E1362" s="186" t="inlineStr">
        <is>
          <t>Final Finish QA</t>
        </is>
      </c>
      <c r="F1362" s="187" t="n">
        <v>40977</v>
      </c>
      <c r="G1362" s="188">
        <f>NOW()-F1362</f>
        <v/>
      </c>
      <c r="H1362" s="189" t="inlineStr">
        <is>
          <t>O</t>
        </is>
      </c>
      <c r="I1362" s="189" t="inlineStr">
        <is>
          <t>O</t>
        </is>
      </c>
      <c r="J1362" s="189" t="n">
        <v>10</v>
      </c>
      <c r="K1362" s="189" t="n">
        <v>15</v>
      </c>
      <c r="L1362" s="189" t="n">
        <v>0</v>
      </c>
      <c r="M1362" s="189" t="n">
        <v>9</v>
      </c>
      <c r="N1362" s="189" t="n"/>
      <c r="O1362" s="189">
        <f>SUM(J1362:N1362)</f>
        <v/>
      </c>
      <c r="P1362" s="190">
        <f>O1362/IF(H1362="L",20,IF(H1362="U",30,IF(H1362="O",40,IF(H1362="I",20,""))))</f>
        <v/>
      </c>
      <c r="Q1362" s="190">
        <f>IF(AND(H1362="L", P1362&gt;=50%), "Pass", IF(AND(H1362="U", P1362&gt;=60%), "Pass", IF(AND(H1362="O", P1362&gt;=75%), "Pass", "Fail")))</f>
        <v/>
      </c>
      <c r="R1362" s="189" t="n"/>
      <c r="S1362" s="189" t="n">
        <v>15</v>
      </c>
      <c r="T1362" s="189" t="n">
        <v>15</v>
      </c>
      <c r="U1362" s="189">
        <f>SUM(S1362:T1362)</f>
        <v/>
      </c>
      <c r="V1362" s="190">
        <f>U1362/IF(H1362="L",35,IF(H1362="U",35,IF(H1362="O",35,IF(H1362="I",35,""))))</f>
        <v/>
      </c>
      <c r="W1362" s="190">
        <f>IF(AND(H1362="L", V1362&gt;=50%), "Pass", IF(AND(H1362="U", V1362&gt;=60%), "Pass", IF(AND(H1362="O", V1362&gt;=75%), "Pass", "Fail")))</f>
        <v/>
      </c>
      <c r="X1362" s="190">
        <f>IF(AND(Q1362="Pass", W1362="Pass"), "Pass", "Fail")</f>
        <v/>
      </c>
      <c r="Y1362" s="191">
        <f>IF($X1362="Pass",$H1362, IF(H1362="L","I", IF(H1362="U","L", IF(H1362="O","U", "I"))))</f>
        <v/>
      </c>
      <c r="Z1362" s="182" t="n"/>
    </row>
    <row r="1363">
      <c r="A1363" s="185">
        <f>ROW()-2</f>
        <v/>
      </c>
      <c r="B1363" s="133" t="inlineStr">
        <is>
          <t>SK2589</t>
        </is>
      </c>
      <c r="C1363" s="148" t="inlineStr">
        <is>
          <t>CHOTU MONDAL</t>
        </is>
      </c>
      <c r="D1363" s="133" t="inlineStr">
        <is>
          <t>QUALITY CONTROL</t>
        </is>
      </c>
      <c r="E1363" s="186" t="inlineStr">
        <is>
          <t>Final Finish QA</t>
        </is>
      </c>
      <c r="F1363" s="187" t="n">
        <v>42979</v>
      </c>
      <c r="G1363" s="188">
        <f>NOW()-F1363</f>
        <v/>
      </c>
      <c r="H1363" s="189" t="inlineStr">
        <is>
          <t>O</t>
        </is>
      </c>
      <c r="I1363" s="189" t="inlineStr">
        <is>
          <t>O</t>
        </is>
      </c>
      <c r="J1363" s="189" t="n">
        <v>10</v>
      </c>
      <c r="K1363" s="189" t="n">
        <v>15</v>
      </c>
      <c r="L1363" s="189" t="n">
        <v>0</v>
      </c>
      <c r="M1363" s="189" t="n">
        <v>9</v>
      </c>
      <c r="N1363" s="189" t="n"/>
      <c r="O1363" s="189">
        <f>SUM(J1363:N1363)</f>
        <v/>
      </c>
      <c r="P1363" s="190">
        <f>O1363/IF(H1363="L",20,IF(H1363="U",30,IF(H1363="O",40,IF(H1363="I",20,""))))</f>
        <v/>
      </c>
      <c r="Q1363" s="190">
        <f>IF(AND(H1363="L", P1363&gt;=50%), "Pass", IF(AND(H1363="U", P1363&gt;=60%), "Pass", IF(AND(H1363="O", P1363&gt;=75%), "Pass", "Fail")))</f>
        <v/>
      </c>
      <c r="R1363" s="189" t="n"/>
      <c r="S1363" s="189" t="n">
        <v>15</v>
      </c>
      <c r="T1363" s="189" t="n">
        <v>15</v>
      </c>
      <c r="U1363" s="189">
        <f>SUM(S1363:T1363)</f>
        <v/>
      </c>
      <c r="V1363" s="190">
        <f>U1363/IF(H1363="L",35,IF(H1363="U",35,IF(H1363="O",35,IF(H1363="I",35,""))))</f>
        <v/>
      </c>
      <c r="W1363" s="190">
        <f>IF(AND(H1363="L", V1363&gt;=50%), "Pass", IF(AND(H1363="U", V1363&gt;=60%), "Pass", IF(AND(H1363="O", V1363&gt;=75%), "Pass", "Fail")))</f>
        <v/>
      </c>
      <c r="X1363" s="190">
        <f>IF(AND(Q1363="Pass", W1363="Pass"), "Pass", "Fail")</f>
        <v/>
      </c>
      <c r="Y1363" s="191">
        <f>IF($X1363="Pass",$H1363, IF(H1363="L","I", IF(H1363="U","L", IF(H1363="O","U", "I"))))</f>
        <v/>
      </c>
      <c r="Z1363" s="182" t="n"/>
    </row>
    <row r="1364">
      <c r="A1364" s="185">
        <f>ROW()-2</f>
        <v/>
      </c>
      <c r="B1364" s="133" t="inlineStr">
        <is>
          <t>SK2644</t>
        </is>
      </c>
      <c r="C1364" s="148" t="inlineStr">
        <is>
          <t>MARISELVAM RAJENDHIRAM</t>
        </is>
      </c>
      <c r="D1364" s="133" t="inlineStr">
        <is>
          <t>QUALITY CONTROL</t>
        </is>
      </c>
      <c r="E1364" s="186" t="inlineStr">
        <is>
          <t>Final Finish QA</t>
        </is>
      </c>
      <c r="F1364" s="187" t="n">
        <v>43082</v>
      </c>
      <c r="G1364" s="188">
        <f>NOW()-F1364</f>
        <v/>
      </c>
      <c r="H1364" s="189" t="inlineStr">
        <is>
          <t>O</t>
        </is>
      </c>
      <c r="I1364" s="189" t="inlineStr">
        <is>
          <t>O</t>
        </is>
      </c>
      <c r="J1364" s="189" t="n">
        <v>10</v>
      </c>
      <c r="K1364" s="189" t="n">
        <v>16</v>
      </c>
      <c r="L1364" s="189" t="n">
        <v>0</v>
      </c>
      <c r="M1364" s="189" t="n">
        <v>9</v>
      </c>
      <c r="N1364" s="189" t="n"/>
      <c r="O1364" s="189">
        <f>SUM(J1364:N1364)</f>
        <v/>
      </c>
      <c r="P1364" s="190">
        <f>O1364/IF(H1364="L",20,IF(H1364="U",30,IF(H1364="O",40,IF(H1364="I",20,""))))</f>
        <v/>
      </c>
      <c r="Q1364" s="190">
        <f>IF(AND(H1364="L", P1364&gt;=50%), "Pass", IF(AND(H1364="U", P1364&gt;=60%), "Pass", IF(AND(H1364="O", P1364&gt;=75%), "Pass", "Fail")))</f>
        <v/>
      </c>
      <c r="R1364" s="189" t="n"/>
      <c r="S1364" s="189" t="n">
        <v>15</v>
      </c>
      <c r="T1364" s="189" t="n">
        <v>15</v>
      </c>
      <c r="U1364" s="189">
        <f>SUM(S1364:T1364)</f>
        <v/>
      </c>
      <c r="V1364" s="190">
        <f>U1364/IF(H1364="L",35,IF(H1364="U",35,IF(H1364="O",35,IF(H1364="I",35,""))))</f>
        <v/>
      </c>
      <c r="W1364" s="190">
        <f>IF(AND(H1364="L", V1364&gt;=50%), "Pass", IF(AND(H1364="U", V1364&gt;=60%), "Pass", IF(AND(H1364="O", V1364&gt;=75%), "Pass", "Fail")))</f>
        <v/>
      </c>
      <c r="X1364" s="190">
        <f>IF(AND(Q1364="Pass", W1364="Pass"), "Pass", "Fail")</f>
        <v/>
      </c>
      <c r="Y1364" s="191">
        <f>IF($X1364="Pass",$H1364, IF(H1364="L","I", IF(H1364="U","L", IF(H1364="O","U", "I"))))</f>
        <v/>
      </c>
      <c r="Z1364" s="182" t="n"/>
    </row>
    <row r="1365">
      <c r="A1365" s="185">
        <f>ROW()-2</f>
        <v/>
      </c>
      <c r="B1365" s="133" t="inlineStr">
        <is>
          <t>SK2905</t>
        </is>
      </c>
      <c r="C1365" s="148" t="inlineStr">
        <is>
          <t>PANKAJ KUMAR</t>
        </is>
      </c>
      <c r="D1365" s="133" t="inlineStr">
        <is>
          <t>QUALITY CONTROL</t>
        </is>
      </c>
      <c r="E1365" s="186" t="inlineStr">
        <is>
          <t>Final Finish QA</t>
        </is>
      </c>
      <c r="F1365" s="187" t="n">
        <v>43685</v>
      </c>
      <c r="G1365" s="188">
        <f>NOW()-F1365</f>
        <v/>
      </c>
      <c r="H1365" s="189" t="inlineStr">
        <is>
          <t>O</t>
        </is>
      </c>
      <c r="I1365" s="189" t="inlineStr">
        <is>
          <t>O</t>
        </is>
      </c>
      <c r="J1365" s="189" t="n">
        <v>10</v>
      </c>
      <c r="K1365" s="189" t="n">
        <v>16</v>
      </c>
      <c r="L1365" s="189" t="n">
        <v>0</v>
      </c>
      <c r="M1365" s="189" t="n">
        <v>9</v>
      </c>
      <c r="N1365" s="189" t="n"/>
      <c r="O1365" s="189">
        <f>SUM(J1365:N1365)</f>
        <v/>
      </c>
      <c r="P1365" s="190">
        <f>O1365/IF(H1365="L",20,IF(H1365="U",30,IF(H1365="O",40,IF(H1365="I",20,""))))</f>
        <v/>
      </c>
      <c r="Q1365" s="190">
        <f>IF(AND(H1365="L", P1365&gt;=50%), "Pass", IF(AND(H1365="U", P1365&gt;=60%), "Pass", IF(AND(H1365="O", P1365&gt;=75%), "Pass", "Fail")))</f>
        <v/>
      </c>
      <c r="R1365" s="189" t="n"/>
      <c r="S1365" s="189" t="n">
        <v>15</v>
      </c>
      <c r="T1365" s="189" t="n">
        <v>15</v>
      </c>
      <c r="U1365" s="189">
        <f>SUM(S1365:T1365)</f>
        <v/>
      </c>
      <c r="V1365" s="190">
        <f>U1365/IF(H1365="L",35,IF(H1365="U",35,IF(H1365="O",35,IF(H1365="I",35,""))))</f>
        <v/>
      </c>
      <c r="W1365" s="190">
        <f>IF(AND(H1365="L", V1365&gt;=50%), "Pass", IF(AND(H1365="U", V1365&gt;=60%), "Pass", IF(AND(H1365="O", V1365&gt;=75%), "Pass", "Fail")))</f>
        <v/>
      </c>
      <c r="X1365" s="190">
        <f>IF(AND(Q1365="Pass", W1365="Pass"), "Pass", "Fail")</f>
        <v/>
      </c>
      <c r="Y1365" s="191">
        <f>IF($X1365="Pass",$H1365, IF(H1365="L","I", IF(H1365="U","L", IF(H1365="O","U", "I"))))</f>
        <v/>
      </c>
      <c r="Z1365" s="182" t="n"/>
    </row>
    <row r="1366">
      <c r="A1366" s="185">
        <f>ROW()-2</f>
        <v/>
      </c>
      <c r="B1366" s="133" t="inlineStr">
        <is>
          <t>SK3319</t>
        </is>
      </c>
      <c r="C1366" s="148" t="inlineStr">
        <is>
          <t>MURUGAN V</t>
        </is>
      </c>
      <c r="D1366" s="133" t="inlineStr">
        <is>
          <t>QUALITY CONTROL</t>
        </is>
      </c>
      <c r="E1366" s="186" t="inlineStr">
        <is>
          <t>Final Finish QA</t>
        </is>
      </c>
      <c r="F1366" s="187" t="n">
        <v>44547</v>
      </c>
      <c r="G1366" s="188">
        <f>NOW()-F1366</f>
        <v/>
      </c>
      <c r="H1366" s="189" t="inlineStr">
        <is>
          <t>O</t>
        </is>
      </c>
      <c r="I1366" s="189" t="inlineStr">
        <is>
          <t>O</t>
        </is>
      </c>
      <c r="J1366" s="189" t="n">
        <v>10</v>
      </c>
      <c r="K1366" s="189" t="n">
        <v>18</v>
      </c>
      <c r="L1366" s="189" t="n">
        <v>0</v>
      </c>
      <c r="M1366" s="189" t="n">
        <v>9</v>
      </c>
      <c r="N1366" s="189" t="n"/>
      <c r="O1366" s="189">
        <f>SUM(J1366:N1366)</f>
        <v/>
      </c>
      <c r="P1366" s="190">
        <f>O1366/IF(H1366="L",20,IF(H1366="U",30,IF(H1366="O",40,IF(H1366="I",20,""))))</f>
        <v/>
      </c>
      <c r="Q1366" s="190">
        <f>IF(AND(H1366="L", P1366&gt;=50%), "Pass", IF(AND(H1366="U", P1366&gt;=60%), "Pass", IF(AND(H1366="O", P1366&gt;=75%), "Pass", "Fail")))</f>
        <v/>
      </c>
      <c r="R1366" s="189" t="n"/>
      <c r="S1366" s="189" t="n">
        <v>15</v>
      </c>
      <c r="T1366" s="189" t="n">
        <v>15</v>
      </c>
      <c r="U1366" s="189">
        <f>SUM(S1366:T1366)</f>
        <v/>
      </c>
      <c r="V1366" s="190">
        <f>U1366/IF(H1366="L",35,IF(H1366="U",35,IF(H1366="O",35,IF(H1366="I",35,""))))</f>
        <v/>
      </c>
      <c r="W1366" s="190">
        <f>IF(AND(H1366="L", V1366&gt;=50%), "Pass", IF(AND(H1366="U", V1366&gt;=60%), "Pass", IF(AND(H1366="O", V1366&gt;=75%), "Pass", "Fail")))</f>
        <v/>
      </c>
      <c r="X1366" s="190">
        <f>IF(AND(Q1366="Pass", W1366="Pass"), "Pass", "Fail")</f>
        <v/>
      </c>
      <c r="Y1366" s="191">
        <f>IF($X1366="Pass",$H1366, IF(H1366="L","I", IF(H1366="U","L", IF(H1366="O","U", "I"))))</f>
        <v/>
      </c>
      <c r="Z1366" s="182" t="n"/>
    </row>
    <row r="1367">
      <c r="A1367" s="185">
        <f>ROW()-2</f>
        <v/>
      </c>
      <c r="B1367" s="133" t="inlineStr">
        <is>
          <t>SK3366</t>
        </is>
      </c>
      <c r="C1367" s="148" t="inlineStr">
        <is>
          <t>JAYAKUMAR S</t>
        </is>
      </c>
      <c r="D1367" s="133" t="inlineStr">
        <is>
          <t>QUALITY CONTROL</t>
        </is>
      </c>
      <c r="E1367" s="186" t="inlineStr">
        <is>
          <t>Final Finish QA</t>
        </is>
      </c>
      <c r="F1367" s="187" t="n">
        <v>44660</v>
      </c>
      <c r="G1367" s="188">
        <f>NOW()-F1367</f>
        <v/>
      </c>
      <c r="H1367" s="189" t="inlineStr">
        <is>
          <t>O</t>
        </is>
      </c>
      <c r="I1367" s="189" t="inlineStr">
        <is>
          <t>O</t>
        </is>
      </c>
      <c r="J1367" s="189" t="n">
        <v>10</v>
      </c>
      <c r="K1367" s="189" t="n">
        <v>19</v>
      </c>
      <c r="L1367" s="189" t="n">
        <v>0</v>
      </c>
      <c r="M1367" s="189" t="n">
        <v>9</v>
      </c>
      <c r="N1367" s="189" t="n"/>
      <c r="O1367" s="189">
        <f>SUM(J1367:N1367)</f>
        <v/>
      </c>
      <c r="P1367" s="190">
        <f>O1367/IF(H1367="L",20,IF(H1367="U",30,IF(H1367="O",40,IF(H1367="I",20,""))))</f>
        <v/>
      </c>
      <c r="Q1367" s="190">
        <f>IF(AND(H1367="L", P1367&gt;=50%), "Pass", IF(AND(H1367="U", P1367&gt;=60%), "Pass", IF(AND(H1367="O", P1367&gt;=75%), "Pass", "Fail")))</f>
        <v/>
      </c>
      <c r="R1367" s="189" t="n"/>
      <c r="S1367" s="189" t="n">
        <v>15</v>
      </c>
      <c r="T1367" s="189" t="n">
        <v>15</v>
      </c>
      <c r="U1367" s="189">
        <f>SUM(S1367:T1367)</f>
        <v/>
      </c>
      <c r="V1367" s="190">
        <f>U1367/IF(H1367="L",35,IF(H1367="U",35,IF(H1367="O",35,IF(H1367="I",35,""))))</f>
        <v/>
      </c>
      <c r="W1367" s="190">
        <f>IF(AND(H1367="L", V1367&gt;=50%), "Pass", IF(AND(H1367="U", V1367&gt;=60%), "Pass", IF(AND(H1367="O", V1367&gt;=75%), "Pass", "Fail")))</f>
        <v/>
      </c>
      <c r="X1367" s="190">
        <f>IF(AND(Q1367="Pass", W1367="Pass"), "Pass", "Fail")</f>
        <v/>
      </c>
      <c r="Y1367" s="191">
        <f>IF($X1367="Pass",$H1367, IF(H1367="L","I", IF(H1367="U","L", IF(H1367="O","U", "I"))))</f>
        <v/>
      </c>
      <c r="Z1367" s="182" t="n"/>
    </row>
    <row r="1368">
      <c r="A1368" s="185">
        <f>ROW()-2</f>
        <v/>
      </c>
      <c r="B1368" s="133" t="inlineStr">
        <is>
          <t>SK3501</t>
        </is>
      </c>
      <c r="C1368" s="148" t="inlineStr">
        <is>
          <t>S BALASUBRAMANIAN</t>
        </is>
      </c>
      <c r="D1368" s="133" t="inlineStr">
        <is>
          <t>QUALITY CONTROL</t>
        </is>
      </c>
      <c r="E1368" s="186" t="inlineStr">
        <is>
          <t>Final Finish QA</t>
        </is>
      </c>
      <c r="F1368" s="187" t="n">
        <v>45055</v>
      </c>
      <c r="G1368" s="188">
        <f>NOW()-F1368</f>
        <v/>
      </c>
      <c r="H1368" s="189" t="inlineStr">
        <is>
          <t>O</t>
        </is>
      </c>
      <c r="I1368" s="189" t="inlineStr">
        <is>
          <t>U</t>
        </is>
      </c>
      <c r="J1368" s="189" t="n">
        <v>10</v>
      </c>
      <c r="K1368" s="189" t="n">
        <v>16</v>
      </c>
      <c r="L1368" s="189" t="n">
        <v>0</v>
      </c>
      <c r="M1368" s="189" t="n">
        <v>9</v>
      </c>
      <c r="N1368" s="189" t="n"/>
      <c r="O1368" s="189">
        <f>SUM(J1368:N1368)</f>
        <v/>
      </c>
      <c r="P1368" s="190">
        <f>O1368/IF(H1368="L",20,IF(H1368="U",30,IF(H1368="O",40,IF(H1368="I",20,""))))</f>
        <v/>
      </c>
      <c r="Q1368" s="190">
        <f>IF(AND(H1368="L", P1368&gt;=50%), "Pass", IF(AND(H1368="U", P1368&gt;=60%), "Pass", IF(AND(H1368="O", P1368&gt;=75%), "Pass", "Fail")))</f>
        <v/>
      </c>
      <c r="R1368" s="189" t="n"/>
      <c r="S1368" s="189" t="n">
        <v>15</v>
      </c>
      <c r="T1368" s="189" t="n">
        <v>15</v>
      </c>
      <c r="U1368" s="189">
        <f>SUM(S1368:T1368)</f>
        <v/>
      </c>
      <c r="V1368" s="190">
        <f>U1368/IF(H1368="L",35,IF(H1368="U",35,IF(H1368="O",35,IF(H1368="I",35,""))))</f>
        <v/>
      </c>
      <c r="W1368" s="190">
        <f>IF(AND(H1368="L", V1368&gt;=50%), "Pass", IF(AND(H1368="U", V1368&gt;=60%), "Pass", IF(AND(H1368="O", V1368&gt;=75%), "Pass", "Fail")))</f>
        <v/>
      </c>
      <c r="X1368" s="190">
        <f>IF(AND(Q1368="Pass", W1368="Pass"), "Pass", "Fail")</f>
        <v/>
      </c>
      <c r="Y1368" s="191">
        <f>IF($X1368="Pass",$H1368, IF(H1368="L","I", IF(H1368="U","L", IF(H1368="O","U", "I"))))</f>
        <v/>
      </c>
      <c r="Z1368" s="182" t="n"/>
    </row>
    <row r="1369">
      <c r="A1369" s="185">
        <f>ROW()-2</f>
        <v/>
      </c>
      <c r="B1369" s="133" t="inlineStr">
        <is>
          <t>SK3564</t>
        </is>
      </c>
      <c r="C1369" s="148" t="inlineStr">
        <is>
          <t>MITHUN ORAON</t>
        </is>
      </c>
      <c r="D1369" s="133" t="inlineStr">
        <is>
          <t>QUALITY CONTROL</t>
        </is>
      </c>
      <c r="E1369" s="186" t="inlineStr">
        <is>
          <t>Final Finish QA</t>
        </is>
      </c>
      <c r="F1369" s="187" t="n">
        <v>45467</v>
      </c>
      <c r="G1369" s="188">
        <f>NOW()-F1369</f>
        <v/>
      </c>
      <c r="H1369" s="189" t="inlineStr">
        <is>
          <t>U</t>
        </is>
      </c>
      <c r="I1369" s="189" t="inlineStr">
        <is>
          <t>L</t>
        </is>
      </c>
      <c r="J1369" s="189" t="n">
        <v>7</v>
      </c>
      <c r="K1369" s="189" t="n">
        <v>14</v>
      </c>
      <c r="L1369" s="189" t="n">
        <v>0</v>
      </c>
      <c r="M1369" s="189" t="n">
        <v>7</v>
      </c>
      <c r="N1369" s="189" t="n"/>
      <c r="O1369" s="189">
        <f>SUM(J1369:N1369)</f>
        <v/>
      </c>
      <c r="P1369" s="190">
        <f>O1369/IF(H1369="L",20,IF(H1369="U",30,IF(H1369="O",40,IF(H1369="I",20,""))))</f>
        <v/>
      </c>
      <c r="Q1369" s="190">
        <f>IF(AND(H1369="L", P1369&gt;=50%), "Pass", IF(AND(H1369="U", P1369&gt;=60%), "Pass", IF(AND(H1369="O", P1369&gt;=75%), "Pass", "Fail")))</f>
        <v/>
      </c>
      <c r="R1369" s="189" t="n"/>
      <c r="S1369" s="189" t="n">
        <v>15</v>
      </c>
      <c r="T1369" s="189" t="n">
        <v>15</v>
      </c>
      <c r="U1369" s="189">
        <f>SUM(S1369:T1369)</f>
        <v/>
      </c>
      <c r="V1369" s="190">
        <f>U1369/IF(H1369="L",35,IF(H1369="U",35,IF(H1369="O",35,IF(H1369="I",35,""))))</f>
        <v/>
      </c>
      <c r="W1369" s="190">
        <f>IF(AND(H1369="L", V1369&gt;=50%), "Pass", IF(AND(H1369="U", V1369&gt;=60%), "Pass", IF(AND(H1369="O", V1369&gt;=75%), "Pass", "Fail")))</f>
        <v/>
      </c>
      <c r="X1369" s="190">
        <f>IF(AND(Q1369="Pass", W1369="Pass"), "Pass", "Fail")</f>
        <v/>
      </c>
      <c r="Y1369" s="191">
        <f>IF($X1369="Pass",$H1369, IF(H1369="L","I", IF(H1369="U","L", IF(H1369="O","U", "I"))))</f>
        <v/>
      </c>
      <c r="Z1369" s="182" t="n"/>
    </row>
    <row r="1370">
      <c r="A1370" s="185">
        <f>ROW()-2</f>
        <v/>
      </c>
      <c r="B1370" s="133" t="inlineStr">
        <is>
          <t>SK3593</t>
        </is>
      </c>
      <c r="C1370" s="148" t="inlineStr">
        <is>
          <t>RAMU ORAON</t>
        </is>
      </c>
      <c r="D1370" s="133" t="inlineStr">
        <is>
          <t>QUALITY CONTROL</t>
        </is>
      </c>
      <c r="E1370" s="186" t="inlineStr">
        <is>
          <t>Final Finish QA</t>
        </is>
      </c>
      <c r="F1370" s="187" t="n">
        <v>45684</v>
      </c>
      <c r="G1370" s="188">
        <f>NOW()-F1370</f>
        <v/>
      </c>
      <c r="H1370" s="189" t="inlineStr">
        <is>
          <t>U</t>
        </is>
      </c>
      <c r="I1370" s="189" t="inlineStr">
        <is>
          <t>L</t>
        </is>
      </c>
      <c r="J1370" s="189" t="n">
        <v>7</v>
      </c>
      <c r="K1370" s="189" t="n">
        <v>14</v>
      </c>
      <c r="L1370" s="189" t="n">
        <v>0</v>
      </c>
      <c r="M1370" s="189" t="n">
        <v>7</v>
      </c>
      <c r="N1370" s="189" t="n"/>
      <c r="O1370" s="189">
        <f>SUM(J1370:N1370)</f>
        <v/>
      </c>
      <c r="P1370" s="190">
        <f>O1370/IF(H1370="L",20,IF(H1370="U",30,IF(H1370="O",40,IF(H1370="I",20,""))))</f>
        <v/>
      </c>
      <c r="Q1370" s="190">
        <f>IF(AND(H1370="L", P1370&gt;=50%), "Pass", IF(AND(H1370="U", P1370&gt;=60%), "Pass", IF(AND(H1370="O", P1370&gt;=75%), "Pass", "Fail")))</f>
        <v/>
      </c>
      <c r="R1370" s="189" t="n"/>
      <c r="S1370" s="189" t="n">
        <v>15</v>
      </c>
      <c r="T1370" s="189" t="n">
        <v>15</v>
      </c>
      <c r="U1370" s="189">
        <f>SUM(S1370:T1370)</f>
        <v/>
      </c>
      <c r="V1370" s="190">
        <f>U1370/IF(H1370="L",35,IF(H1370="U",35,IF(H1370="O",35,IF(H1370="I",35,""))))</f>
        <v/>
      </c>
      <c r="W1370" s="190">
        <f>IF(AND(H1370="L", V1370&gt;=50%), "Pass", IF(AND(H1370="U", V1370&gt;=60%), "Pass", IF(AND(H1370="O", V1370&gt;=75%), "Pass", "Fail")))</f>
        <v/>
      </c>
      <c r="X1370" s="190">
        <f>IF(AND(Q1370="Pass", W1370="Pass"), "Pass", "Fail")</f>
        <v/>
      </c>
      <c r="Y1370" s="191">
        <f>IF($X1370="Pass",$H1370, IF(H1370="L","I", IF(H1370="U","L", IF(H1370="O","U", "I"))))</f>
        <v/>
      </c>
      <c r="Z1370" s="182" t="n"/>
    </row>
    <row r="1371">
      <c r="A1371" s="185">
        <f>ROW()-2</f>
        <v/>
      </c>
      <c r="B1371" s="133" t="inlineStr">
        <is>
          <t>SK3779</t>
        </is>
      </c>
      <c r="C1371" s="148" t="inlineStr">
        <is>
          <t>VIKAS ORAON</t>
        </is>
      </c>
      <c r="D1371" s="133" t="inlineStr">
        <is>
          <t>QUALITY CONTROL</t>
        </is>
      </c>
      <c r="E1371" s="186" t="inlineStr">
        <is>
          <t>Final Finish QA</t>
        </is>
      </c>
      <c r="F1371" s="187" t="n">
        <v>46186</v>
      </c>
      <c r="G1371" s="188">
        <f>NOW()-F1371</f>
        <v/>
      </c>
      <c r="H1371" s="189" t="inlineStr">
        <is>
          <t>L</t>
        </is>
      </c>
      <c r="I1371" s="189" t="inlineStr">
        <is>
          <t>I</t>
        </is>
      </c>
      <c r="J1371" s="189" t="n"/>
      <c r="K1371" s="189" t="n"/>
      <c r="L1371" s="189" t="n"/>
      <c r="M1371" s="189" t="n"/>
      <c r="N1371" s="189" t="n"/>
      <c r="O1371" s="189">
        <f>SUM(J1371:N1371)</f>
        <v/>
      </c>
      <c r="P1371" s="190">
        <f>O1371/IF(H1371="L",20,IF(H1371="U",30,IF(H1371="O",40,IF(H1371="I",20,""))))</f>
        <v/>
      </c>
      <c r="Q1371" s="190">
        <f>IF(AND(H1371="L", P1371&gt;=50%), "Pass", IF(AND(H1371="U", P1371&gt;=60%), "Pass", IF(AND(H1371="O", P1371&gt;=75%), "Pass", "Fail")))</f>
        <v/>
      </c>
      <c r="R1371" s="189" t="n"/>
      <c r="S1371" s="189" t="n"/>
      <c r="T1371" s="189" t="n"/>
      <c r="U1371" s="189">
        <f>SUM(S1371:T1371)</f>
        <v/>
      </c>
      <c r="V1371" s="190">
        <f>U1371/IF(H1371="L",35,IF(H1371="U",35,IF(H1371="O",35,IF(H1371="I",35,""))))</f>
        <v/>
      </c>
      <c r="W1371" s="190">
        <f>IF(AND(H1371="L", V1371&gt;=50%), "Pass", IF(AND(H1371="U", V1371&gt;=60%), "Pass", IF(AND(H1371="O", V1371&gt;=75%), "Pass", "Fail")))</f>
        <v/>
      </c>
      <c r="X1371" s="190">
        <f>IF(AND(Q1371="Pass", W1371="Pass"), "Pass", "Fail")</f>
        <v/>
      </c>
      <c r="Y1371" s="191">
        <f>IF($X1371="Pass",$H1371, IF(H1371="L","I", IF(H1371="U","L", IF(H1371="O","U", "I"))))</f>
        <v/>
      </c>
      <c r="Z1371" s="182" t="n"/>
    </row>
    <row r="1372">
      <c r="A1372" s="185">
        <f>ROW()-2</f>
        <v/>
      </c>
      <c r="B1372" s="133" t="inlineStr">
        <is>
          <t>SK3781</t>
        </is>
      </c>
      <c r="C1372" s="148" t="inlineStr">
        <is>
          <t>SHANKAR ORAON</t>
        </is>
      </c>
      <c r="D1372" s="133" t="inlineStr">
        <is>
          <t>QUALITY CONTROL</t>
        </is>
      </c>
      <c r="E1372" s="186" t="inlineStr">
        <is>
          <t>Final Finish QA</t>
        </is>
      </c>
      <c r="F1372" s="187" t="n">
        <v>46188</v>
      </c>
      <c r="G1372" s="188">
        <f>NOW()-F1372</f>
        <v/>
      </c>
      <c r="H1372" s="189" t="inlineStr">
        <is>
          <t>L</t>
        </is>
      </c>
      <c r="I1372" s="189" t="inlineStr">
        <is>
          <t>I</t>
        </is>
      </c>
      <c r="J1372" s="189" t="n"/>
      <c r="K1372" s="189" t="n"/>
      <c r="L1372" s="189" t="n"/>
      <c r="M1372" s="189" t="n"/>
      <c r="N1372" s="189" t="n"/>
      <c r="O1372" s="189">
        <f>SUM(J1372:N1372)</f>
        <v/>
      </c>
      <c r="P1372" s="190">
        <f>O1372/IF(H1372="L",20,IF(H1372="U",30,IF(H1372="O",40,IF(H1372="I",20,""))))</f>
        <v/>
      </c>
      <c r="Q1372" s="190">
        <f>IF(AND(H1372="L", P1372&gt;=50%), "Pass", IF(AND(H1372="U", P1372&gt;=60%), "Pass", IF(AND(H1372="O", P1372&gt;=75%), "Pass", "Fail")))</f>
        <v/>
      </c>
      <c r="R1372" s="189" t="n"/>
      <c r="S1372" s="189" t="n"/>
      <c r="T1372" s="189" t="n"/>
      <c r="U1372" s="189">
        <f>SUM(S1372:T1372)</f>
        <v/>
      </c>
      <c r="V1372" s="190">
        <f>U1372/IF(H1372="L",35,IF(H1372="U",35,IF(H1372="O",35,IF(H1372="I",35,""))))</f>
        <v/>
      </c>
      <c r="W1372" s="190">
        <f>IF(AND(H1372="L", V1372&gt;=50%), "Pass", IF(AND(H1372="U", V1372&gt;=60%), "Pass", IF(AND(H1372="O", V1372&gt;=75%), "Pass", "Fail")))</f>
        <v/>
      </c>
      <c r="X1372" s="190">
        <f>IF(AND(Q1372="Pass", W1372="Pass"), "Pass", "Fail")</f>
        <v/>
      </c>
      <c r="Y1372" s="191">
        <f>IF($X1372="Pass",$H1372, IF(H1372="L","I", IF(H1372="U","L", IF(H1372="O","U", "I"))))</f>
        <v/>
      </c>
      <c r="Z1372" s="182" t="n"/>
    </row>
    <row r="1373">
      <c r="A1373" s="185">
        <f>ROW()-2</f>
        <v/>
      </c>
      <c r="B1373" s="133" t="inlineStr">
        <is>
          <t>SK3782</t>
        </is>
      </c>
      <c r="C1373" s="148" t="inlineStr">
        <is>
          <t>MANOJ ORAON</t>
        </is>
      </c>
      <c r="D1373" s="133" t="inlineStr">
        <is>
          <t>QUALITY CONTROL</t>
        </is>
      </c>
      <c r="E1373" s="186" t="inlineStr">
        <is>
          <t>Final Finish QA</t>
        </is>
      </c>
      <c r="F1373" s="187" t="n">
        <v>46188</v>
      </c>
      <c r="G1373" s="188">
        <f>NOW()-F1373</f>
        <v/>
      </c>
      <c r="H1373" s="189" t="inlineStr">
        <is>
          <t>L</t>
        </is>
      </c>
      <c r="I1373" s="189" t="inlineStr">
        <is>
          <t>I</t>
        </is>
      </c>
      <c r="J1373" s="189" t="n"/>
      <c r="K1373" s="189" t="n"/>
      <c r="L1373" s="189" t="n"/>
      <c r="M1373" s="189" t="n"/>
      <c r="N1373" s="189" t="n"/>
      <c r="O1373" s="189">
        <f>SUM(J1373:N1373)</f>
        <v/>
      </c>
      <c r="P1373" s="190">
        <f>O1373/IF(H1373="L",20,IF(H1373="U",30,IF(H1373="O",40,IF(H1373="I",20,""))))</f>
        <v/>
      </c>
      <c r="Q1373" s="190">
        <f>IF(AND(H1373="L", P1373&gt;=50%), "Pass", IF(AND(H1373="U", P1373&gt;=60%), "Pass", IF(AND(H1373="O", P1373&gt;=75%), "Pass", "Fail")))</f>
        <v/>
      </c>
      <c r="R1373" s="189" t="n"/>
      <c r="S1373" s="189" t="n"/>
      <c r="T1373" s="189" t="n"/>
      <c r="U1373" s="189">
        <f>SUM(S1373:T1373)</f>
        <v/>
      </c>
      <c r="V1373" s="190">
        <f>U1373/IF(H1373="L",35,IF(H1373="U",35,IF(H1373="O",35,IF(H1373="I",35,""))))</f>
        <v/>
      </c>
      <c r="W1373" s="190">
        <f>IF(AND(H1373="L", V1373&gt;=50%), "Pass", IF(AND(H1373="U", V1373&gt;=60%), "Pass", IF(AND(H1373="O", V1373&gt;=75%), "Pass", "Fail")))</f>
        <v/>
      </c>
      <c r="X1373" s="190">
        <f>IF(AND(Q1373="Pass", W1373="Pass"), "Pass", "Fail")</f>
        <v/>
      </c>
      <c r="Y1373" s="191">
        <f>IF($X1373="Pass",$H1373, IF(H1373="L","I", IF(H1373="U","L", IF(H1373="O","U", "I"))))</f>
        <v/>
      </c>
      <c r="Z1373" s="182" t="n"/>
    </row>
    <row r="1374">
      <c r="A1374" s="185">
        <f>ROW()-2</f>
        <v/>
      </c>
      <c r="B1374" s="133" t="inlineStr">
        <is>
          <t>SK3803</t>
        </is>
      </c>
      <c r="C1374" s="148" t="inlineStr">
        <is>
          <t>SANJAY</t>
        </is>
      </c>
      <c r="D1374" s="133" t="inlineStr">
        <is>
          <t>QUALITY CONTROL</t>
        </is>
      </c>
      <c r="E1374" s="186" t="inlineStr">
        <is>
          <t>Final Finish QA</t>
        </is>
      </c>
      <c r="F1374" s="187" t="n">
        <v>46209</v>
      </c>
      <c r="G1374" s="188">
        <f>NOW()-F1374</f>
        <v/>
      </c>
      <c r="H1374" s="189" t="inlineStr">
        <is>
          <t>L</t>
        </is>
      </c>
      <c r="I1374" s="189" t="inlineStr">
        <is>
          <t>I</t>
        </is>
      </c>
      <c r="J1374" s="189" t="n"/>
      <c r="K1374" s="189" t="n"/>
      <c r="L1374" s="189" t="n"/>
      <c r="M1374" s="189" t="n"/>
      <c r="N1374" s="189" t="n"/>
      <c r="O1374" s="189">
        <f>SUM(J1374:N1374)</f>
        <v/>
      </c>
      <c r="P1374" s="190">
        <f>O1374/IF(H1374="L",20,IF(H1374="U",30,IF(H1374="O",40,IF(H1374="I",20,""))))</f>
        <v/>
      </c>
      <c r="Q1374" s="190">
        <f>IF(AND(H1374="L", P1374&gt;=50%), "Pass", IF(AND(H1374="U", P1374&gt;=60%), "Pass", IF(AND(H1374="O", P1374&gt;=75%), "Pass", "Fail")))</f>
        <v/>
      </c>
      <c r="R1374" s="189" t="n"/>
      <c r="S1374" s="189" t="n"/>
      <c r="T1374" s="189" t="n"/>
      <c r="U1374" s="189">
        <f>SUM(S1374:T1374)</f>
        <v/>
      </c>
      <c r="V1374" s="190">
        <f>U1374/IF(H1374="L",35,IF(H1374="U",35,IF(H1374="O",35,IF(H1374="I",35,""))))</f>
        <v/>
      </c>
      <c r="W1374" s="190">
        <f>IF(AND(H1374="L", V1374&gt;=50%), "Pass", IF(AND(H1374="U", V1374&gt;=60%), "Pass", IF(AND(H1374="O", V1374&gt;=75%), "Pass", "Fail")))</f>
        <v/>
      </c>
      <c r="X1374" s="190">
        <f>IF(AND(Q1374="Pass", W1374="Pass"), "Pass", "Fail")</f>
        <v/>
      </c>
      <c r="Y1374" s="191">
        <f>IF($X1374="Pass",$H1374, IF(H1374="L","I", IF(H1374="U","L", IF(H1374="O","U", "I"))))</f>
        <v/>
      </c>
      <c r="Z1374" s="182" t="n"/>
    </row>
    <row r="1375">
      <c r="A1375" s="185">
        <f>ROW()-2</f>
        <v/>
      </c>
      <c r="B1375" s="133" t="inlineStr">
        <is>
          <t>SK3804</t>
        </is>
      </c>
      <c r="C1375" s="148" t="inlineStr">
        <is>
          <t>GORKH RAM</t>
        </is>
      </c>
      <c r="D1375" s="133" t="inlineStr">
        <is>
          <t>QUALITY CONTROL</t>
        </is>
      </c>
      <c r="E1375" s="186" t="inlineStr">
        <is>
          <t>Final Finish QA</t>
        </is>
      </c>
      <c r="F1375" s="187" t="n">
        <v>46209</v>
      </c>
      <c r="G1375" s="188">
        <f>NOW()-F1375</f>
        <v/>
      </c>
      <c r="H1375" s="189" t="inlineStr">
        <is>
          <t>L</t>
        </is>
      </c>
      <c r="I1375" s="189" t="inlineStr">
        <is>
          <t>I</t>
        </is>
      </c>
      <c r="J1375" s="189" t="n"/>
      <c r="K1375" s="189" t="n"/>
      <c r="L1375" s="189" t="n"/>
      <c r="M1375" s="189" t="n"/>
      <c r="N1375" s="189" t="n"/>
      <c r="O1375" s="189">
        <f>SUM(J1375:N1375)</f>
        <v/>
      </c>
      <c r="P1375" s="190">
        <f>O1375/IF(H1375="L",20,IF(H1375="U",30,IF(H1375="O",40,IF(H1375="I",20,""))))</f>
        <v/>
      </c>
      <c r="Q1375" s="190">
        <f>IF(AND(H1375="L", P1375&gt;=50%), "Pass", IF(AND(H1375="U", P1375&gt;=60%), "Pass", IF(AND(H1375="O", P1375&gt;=75%), "Pass", "Fail")))</f>
        <v/>
      </c>
      <c r="R1375" s="189" t="n"/>
      <c r="S1375" s="189" t="n"/>
      <c r="T1375" s="189" t="n"/>
      <c r="U1375" s="189">
        <f>SUM(S1375:T1375)</f>
        <v/>
      </c>
      <c r="V1375" s="190">
        <f>U1375/IF(H1375="L",35,IF(H1375="U",35,IF(H1375="O",35,IF(H1375="I",35,""))))</f>
        <v/>
      </c>
      <c r="W1375" s="190">
        <f>IF(AND(H1375="L", V1375&gt;=50%), "Pass", IF(AND(H1375="U", V1375&gt;=60%), "Pass", IF(AND(H1375="O", V1375&gt;=75%), "Pass", "Fail")))</f>
        <v/>
      </c>
      <c r="X1375" s="190">
        <f>IF(AND(Q1375="Pass", W1375="Pass"), "Pass", "Fail")</f>
        <v/>
      </c>
      <c r="Y1375" s="191">
        <f>IF($X1375="Pass",$H1375, IF(H1375="L","I", IF(H1375="U","L", IF(H1375="O","U", "I"))))</f>
        <v/>
      </c>
      <c r="Z1375" s="182" t="n"/>
    </row>
    <row r="1376">
      <c r="A1376" s="185">
        <f>ROW()-2</f>
        <v/>
      </c>
      <c r="B1376" s="133" t="inlineStr">
        <is>
          <t>SK3840</t>
        </is>
      </c>
      <c r="C1376" s="148" t="inlineStr">
        <is>
          <t>AMIT OROAN</t>
        </is>
      </c>
      <c r="D1376" s="133" t="inlineStr">
        <is>
          <t>QUALITY CONTROL</t>
        </is>
      </c>
      <c r="E1376" s="186" t="inlineStr">
        <is>
          <t>Final Finish QA</t>
        </is>
      </c>
      <c r="F1376" s="187" t="n">
        <v>46258</v>
      </c>
      <c r="G1376" s="188">
        <f>NOW()-F1376</f>
        <v/>
      </c>
      <c r="H1376" s="189" t="inlineStr">
        <is>
          <t>L</t>
        </is>
      </c>
      <c r="I1376" s="189" t="inlineStr">
        <is>
          <t>I</t>
        </is>
      </c>
      <c r="J1376" s="189" t="n"/>
      <c r="K1376" s="189" t="n"/>
      <c r="L1376" s="189" t="n"/>
      <c r="M1376" s="189" t="n"/>
      <c r="N1376" s="189" t="n"/>
      <c r="O1376" s="189">
        <f>SUM(J1376:N1376)</f>
        <v/>
      </c>
      <c r="P1376" s="190">
        <f>O1376/IF(H1376="L",20,IF(H1376="U",30,IF(H1376="O",40,IF(H1376="I",20,""))))</f>
        <v/>
      </c>
      <c r="Q1376" s="190">
        <f>IF(AND(H1376="L", P1376&gt;=50%), "Pass", IF(AND(H1376="U", P1376&gt;=60%), "Pass", IF(AND(H1376="O", P1376&gt;=75%), "Pass", "Fail")))</f>
        <v/>
      </c>
      <c r="R1376" s="189" t="n"/>
      <c r="S1376" s="189" t="n"/>
      <c r="T1376" s="189" t="n"/>
      <c r="U1376" s="189">
        <f>SUM(S1376:T1376)</f>
        <v/>
      </c>
      <c r="V1376" s="190">
        <f>U1376/IF(H1376="L",35,IF(H1376="U",35,IF(H1376="O",35,IF(H1376="I",35,""))))</f>
        <v/>
      </c>
      <c r="W1376" s="190">
        <f>IF(AND(H1376="L", V1376&gt;=50%), "Pass", IF(AND(H1376="U", V1376&gt;=60%), "Pass", IF(AND(H1376="O", V1376&gt;=75%), "Pass", "Fail")))</f>
        <v/>
      </c>
      <c r="X1376" s="190">
        <f>IF(AND(Q1376="Pass", W1376="Pass"), "Pass", "Fail")</f>
        <v/>
      </c>
      <c r="Y1376" s="191">
        <f>IF($X1376="Pass",$H1376, IF(H1376="L","I", IF(H1376="U","L", IF(H1376="O","U", "I"))))</f>
        <v/>
      </c>
      <c r="Z1376" s="182" t="n"/>
    </row>
    <row r="1377">
      <c r="A1377" s="185">
        <f>ROW()-2</f>
        <v/>
      </c>
      <c r="B1377" s="133" t="inlineStr">
        <is>
          <t>SK3842</t>
        </is>
      </c>
      <c r="C1377" s="148" t="inlineStr">
        <is>
          <t>SANDEEP ORAON</t>
        </is>
      </c>
      <c r="D1377" s="133" t="inlineStr">
        <is>
          <t>QUALITY CONTROL</t>
        </is>
      </c>
      <c r="E1377" s="186" t="inlineStr">
        <is>
          <t>Final Finish QA</t>
        </is>
      </c>
      <c r="F1377" s="187" t="n">
        <v>46258</v>
      </c>
      <c r="G1377" s="188">
        <f>NOW()-F1377</f>
        <v/>
      </c>
      <c r="H1377" s="189" t="inlineStr">
        <is>
          <t>L</t>
        </is>
      </c>
      <c r="I1377" s="189" t="inlineStr">
        <is>
          <t>I</t>
        </is>
      </c>
      <c r="J1377" s="189" t="n"/>
      <c r="K1377" s="189" t="n"/>
      <c r="L1377" s="189" t="n"/>
      <c r="M1377" s="189" t="n"/>
      <c r="N1377" s="189" t="n"/>
      <c r="O1377" s="189">
        <f>SUM(J1377:N1377)</f>
        <v/>
      </c>
      <c r="P1377" s="190">
        <f>O1377/IF(H1377="L",20,IF(H1377="U",30,IF(H1377="O",40,IF(H1377="I",20,""))))</f>
        <v/>
      </c>
      <c r="Q1377" s="190">
        <f>IF(AND(H1377="L", P1377&gt;=50%), "Pass", IF(AND(H1377="U", P1377&gt;=60%), "Pass", IF(AND(H1377="O", P1377&gt;=75%), "Pass", "Fail")))</f>
        <v/>
      </c>
      <c r="R1377" s="189" t="n"/>
      <c r="S1377" s="189" t="n"/>
      <c r="T1377" s="189" t="n"/>
      <c r="U1377" s="189">
        <f>SUM(S1377:T1377)</f>
        <v/>
      </c>
      <c r="V1377" s="190">
        <f>U1377/IF(H1377="L",35,IF(H1377="U",35,IF(H1377="O",35,IF(H1377="I",35,""))))</f>
        <v/>
      </c>
      <c r="W1377" s="190">
        <f>IF(AND(H1377="L", V1377&gt;=50%), "Pass", IF(AND(H1377="U", V1377&gt;=60%), "Pass", IF(AND(H1377="O", V1377&gt;=75%), "Pass", "Fail")))</f>
        <v/>
      </c>
      <c r="X1377" s="190">
        <f>IF(AND(Q1377="Pass", W1377="Pass"), "Pass", "Fail")</f>
        <v/>
      </c>
      <c r="Y1377" s="191">
        <f>IF($X1377="Pass",$H1377, IF(H1377="L","I", IF(H1377="U","L", IF(H1377="O","U", "I"))))</f>
        <v/>
      </c>
      <c r="Z1377" s="182" t="n"/>
    </row>
    <row r="1378">
      <c r="A1378" s="185">
        <f>ROW()-2</f>
        <v/>
      </c>
      <c r="B1378" s="133" t="inlineStr">
        <is>
          <t>SK3843</t>
        </is>
      </c>
      <c r="C1378" s="148" t="inlineStr">
        <is>
          <t>SURESH ORAON</t>
        </is>
      </c>
      <c r="D1378" s="133" t="inlineStr">
        <is>
          <t>QUALITY CONTROL</t>
        </is>
      </c>
      <c r="E1378" s="186" t="inlineStr">
        <is>
          <t>Final Finish QA</t>
        </is>
      </c>
      <c r="F1378" s="187" t="n">
        <v>46258</v>
      </c>
      <c r="G1378" s="188">
        <f>NOW()-F1378</f>
        <v/>
      </c>
      <c r="H1378" s="189" t="inlineStr">
        <is>
          <t>L</t>
        </is>
      </c>
      <c r="I1378" s="189" t="inlineStr">
        <is>
          <t>I</t>
        </is>
      </c>
      <c r="J1378" s="189" t="n"/>
      <c r="K1378" s="189" t="n"/>
      <c r="L1378" s="189" t="n"/>
      <c r="M1378" s="189" t="n"/>
      <c r="N1378" s="189" t="n"/>
      <c r="O1378" s="189">
        <f>SUM(J1378:N1378)</f>
        <v/>
      </c>
      <c r="P1378" s="190">
        <f>O1378/IF(H1378="L",20,IF(H1378="U",30,IF(H1378="O",40,IF(H1378="I",20,""))))</f>
        <v/>
      </c>
      <c r="Q1378" s="190">
        <f>IF(AND(H1378="L", P1378&gt;=50%), "Pass", IF(AND(H1378="U", P1378&gt;=60%), "Pass", IF(AND(H1378="O", P1378&gt;=75%), "Pass", "Fail")))</f>
        <v/>
      </c>
      <c r="R1378" s="189" t="n"/>
      <c r="S1378" s="189" t="n"/>
      <c r="T1378" s="189" t="n"/>
      <c r="U1378" s="189">
        <f>SUM(S1378:T1378)</f>
        <v/>
      </c>
      <c r="V1378" s="190">
        <f>U1378/IF(H1378="L",35,IF(H1378="U",35,IF(H1378="O",35,IF(H1378="I",35,""))))</f>
        <v/>
      </c>
      <c r="W1378" s="190">
        <f>IF(AND(H1378="L", V1378&gt;=50%), "Pass", IF(AND(H1378="U", V1378&gt;=60%), "Pass", IF(AND(H1378="O", V1378&gt;=75%), "Pass", "Fail")))</f>
        <v/>
      </c>
      <c r="X1378" s="190">
        <f>IF(AND(Q1378="Pass", W1378="Pass"), "Pass", "Fail")</f>
        <v/>
      </c>
      <c r="Y1378" s="191">
        <f>IF($X1378="Pass",$H1378, IF(H1378="L","I", IF(H1378="U","L", IF(H1378="O","U", "I"))))</f>
        <v/>
      </c>
      <c r="Z1378" s="182" t="n"/>
    </row>
    <row r="1379">
      <c r="A1379" s="185">
        <f>ROW()-2</f>
        <v/>
      </c>
      <c r="B1379" s="133" t="inlineStr">
        <is>
          <t>SK3846</t>
        </is>
      </c>
      <c r="C1379" s="148" t="inlineStr">
        <is>
          <t>GOPI ORAON</t>
        </is>
      </c>
      <c r="D1379" s="133" t="inlineStr">
        <is>
          <t>QUALITY CONTROL</t>
        </is>
      </c>
      <c r="E1379" s="186" t="inlineStr">
        <is>
          <t>Final Finish QA</t>
        </is>
      </c>
      <c r="F1379" s="187" t="n">
        <v>46258</v>
      </c>
      <c r="G1379" s="188">
        <f>NOW()-F1379</f>
        <v/>
      </c>
      <c r="H1379" s="189" t="inlineStr">
        <is>
          <t>L</t>
        </is>
      </c>
      <c r="I1379" s="189" t="inlineStr">
        <is>
          <t>I</t>
        </is>
      </c>
      <c r="J1379" s="189" t="n"/>
      <c r="K1379" s="189" t="n"/>
      <c r="L1379" s="189" t="n"/>
      <c r="M1379" s="189" t="n"/>
      <c r="N1379" s="189" t="n"/>
      <c r="O1379" s="189">
        <f>SUM(J1379:N1379)</f>
        <v/>
      </c>
      <c r="P1379" s="190">
        <f>O1379/IF(H1379="L",20,IF(H1379="U",30,IF(H1379="O",40,IF(H1379="I",20,""))))</f>
        <v/>
      </c>
      <c r="Q1379" s="190">
        <f>IF(AND(H1379="L", P1379&gt;=50%), "Pass", IF(AND(H1379="U", P1379&gt;=60%), "Pass", IF(AND(H1379="O", P1379&gt;=75%), "Pass", "Fail")))</f>
        <v/>
      </c>
      <c r="R1379" s="189" t="n"/>
      <c r="S1379" s="189" t="n"/>
      <c r="T1379" s="189" t="n"/>
      <c r="U1379" s="189">
        <f>SUM(S1379:T1379)</f>
        <v/>
      </c>
      <c r="V1379" s="190">
        <f>U1379/IF(H1379="L",35,IF(H1379="U",35,IF(H1379="O",35,IF(H1379="I",35,""))))</f>
        <v/>
      </c>
      <c r="W1379" s="190">
        <f>IF(AND(H1379="L", V1379&gt;=50%), "Pass", IF(AND(H1379="U", V1379&gt;=60%), "Pass", IF(AND(H1379="O", V1379&gt;=75%), "Pass", "Fail")))</f>
        <v/>
      </c>
      <c r="X1379" s="190">
        <f>IF(AND(Q1379="Pass", W1379="Pass"), "Pass", "Fail")</f>
        <v/>
      </c>
      <c r="Y1379" s="191">
        <f>IF($X1379="Pass",$H1379, IF(H1379="L","I", IF(H1379="U","L", IF(H1379="O","U", "I"))))</f>
        <v/>
      </c>
      <c r="Z1379" s="182" t="n"/>
    </row>
    <row r="1380">
      <c r="A1380" s="185">
        <f>ROW()-2</f>
        <v/>
      </c>
      <c r="B1380" s="133" t="inlineStr">
        <is>
          <t>SK3847</t>
        </is>
      </c>
      <c r="C1380" s="148" t="inlineStr">
        <is>
          <t>BIKASH BHAGAT</t>
        </is>
      </c>
      <c r="D1380" s="133" t="inlineStr">
        <is>
          <t>QUALITY CONTROL</t>
        </is>
      </c>
      <c r="E1380" s="186" t="inlineStr">
        <is>
          <t>Final Finish QA</t>
        </is>
      </c>
      <c r="F1380" s="187" t="n">
        <v>46258</v>
      </c>
      <c r="G1380" s="188">
        <f>NOW()-F1380</f>
        <v/>
      </c>
      <c r="H1380" s="189" t="inlineStr">
        <is>
          <t>L</t>
        </is>
      </c>
      <c r="I1380" s="189" t="inlineStr">
        <is>
          <t>I</t>
        </is>
      </c>
      <c r="J1380" s="189" t="n"/>
      <c r="K1380" s="189" t="n"/>
      <c r="L1380" s="189" t="n"/>
      <c r="M1380" s="189" t="n"/>
      <c r="N1380" s="189" t="n"/>
      <c r="O1380" s="189">
        <f>SUM(J1380:N1380)</f>
        <v/>
      </c>
      <c r="P1380" s="190">
        <f>O1380/IF(H1380="L",20,IF(H1380="U",30,IF(H1380="O",40,IF(H1380="I",20,""))))</f>
        <v/>
      </c>
      <c r="Q1380" s="190">
        <f>IF(AND(H1380="L", P1380&gt;=50%), "Pass", IF(AND(H1380="U", P1380&gt;=60%), "Pass", IF(AND(H1380="O", P1380&gt;=75%), "Pass", "Fail")))</f>
        <v/>
      </c>
      <c r="R1380" s="189" t="n"/>
      <c r="S1380" s="189" t="n"/>
      <c r="T1380" s="189" t="n"/>
      <c r="U1380" s="189">
        <f>SUM(S1380:T1380)</f>
        <v/>
      </c>
      <c r="V1380" s="190">
        <f>U1380/IF(H1380="L",35,IF(H1380="U",35,IF(H1380="O",35,IF(H1380="I",35,""))))</f>
        <v/>
      </c>
      <c r="W1380" s="190">
        <f>IF(AND(H1380="L", V1380&gt;=50%), "Pass", IF(AND(H1380="U", V1380&gt;=60%), "Pass", IF(AND(H1380="O", V1380&gt;=75%), "Pass", "Fail")))</f>
        <v/>
      </c>
      <c r="X1380" s="190">
        <f>IF(AND(Q1380="Pass", W1380="Pass"), "Pass", "Fail")</f>
        <v/>
      </c>
      <c r="Y1380" s="191">
        <f>IF($X1380="Pass",$H1380, IF(H1380="L","I", IF(H1380="U","L", IF(H1380="O","U", "I"))))</f>
        <v/>
      </c>
      <c r="Z1380" s="182" t="n"/>
    </row>
    <row r="1381">
      <c r="A1381" s="185">
        <f>ROW()-2</f>
        <v/>
      </c>
      <c r="B1381" s="133" t="inlineStr">
        <is>
          <t>SK3848</t>
        </is>
      </c>
      <c r="C1381" s="148" t="inlineStr">
        <is>
          <t>SANTOSH ORAON</t>
        </is>
      </c>
      <c r="D1381" s="133" t="inlineStr">
        <is>
          <t>QUALITY CONTROL</t>
        </is>
      </c>
      <c r="E1381" s="186" t="inlineStr">
        <is>
          <t>Final Finish QA</t>
        </is>
      </c>
      <c r="F1381" s="187" t="n">
        <v>46258</v>
      </c>
      <c r="G1381" s="188">
        <f>NOW()-F1381</f>
        <v/>
      </c>
      <c r="H1381" s="189" t="inlineStr">
        <is>
          <t>L</t>
        </is>
      </c>
      <c r="I1381" s="189" t="inlineStr">
        <is>
          <t>I</t>
        </is>
      </c>
      <c r="J1381" s="189" t="n"/>
      <c r="K1381" s="189" t="n"/>
      <c r="L1381" s="189" t="n"/>
      <c r="M1381" s="189" t="n"/>
      <c r="N1381" s="189" t="n"/>
      <c r="O1381" s="189">
        <f>SUM(J1381:N1381)</f>
        <v/>
      </c>
      <c r="P1381" s="190">
        <f>O1381/IF(H1381="L",20,IF(H1381="U",30,IF(H1381="O",40,IF(H1381="I",20,""))))</f>
        <v/>
      </c>
      <c r="Q1381" s="190">
        <f>IF(AND(H1381="L", P1381&gt;=50%), "Pass", IF(AND(H1381="U", P1381&gt;=60%), "Pass", IF(AND(H1381="O", P1381&gt;=75%), "Pass", "Fail")))</f>
        <v/>
      </c>
      <c r="R1381" s="189" t="n"/>
      <c r="S1381" s="189" t="n"/>
      <c r="T1381" s="189" t="n"/>
      <c r="U1381" s="189">
        <f>SUM(S1381:T1381)</f>
        <v/>
      </c>
      <c r="V1381" s="190">
        <f>U1381/IF(H1381="L",35,IF(H1381="U",35,IF(H1381="O",35,IF(H1381="I",35,""))))</f>
        <v/>
      </c>
      <c r="W1381" s="190">
        <f>IF(AND(H1381="L", V1381&gt;=50%), "Pass", IF(AND(H1381="U", V1381&gt;=60%), "Pass", IF(AND(H1381="O", V1381&gt;=75%), "Pass", "Fail")))</f>
        <v/>
      </c>
      <c r="X1381" s="190">
        <f>IF(AND(Q1381="Pass", W1381="Pass"), "Pass", "Fail")</f>
        <v/>
      </c>
      <c r="Y1381" s="191">
        <f>IF($X1381="Pass",$H1381, IF(H1381="L","I", IF(H1381="U","L", IF(H1381="O","U", "I"))))</f>
        <v/>
      </c>
      <c r="Z1381" s="182" t="n"/>
    </row>
    <row r="1382">
      <c r="A1382" s="185">
        <f>ROW()-2</f>
        <v/>
      </c>
      <c r="B1382" s="133" t="inlineStr">
        <is>
          <t>SK3849</t>
        </is>
      </c>
      <c r="C1382" s="148" t="inlineStr">
        <is>
          <t>SURAJ MAHLI</t>
        </is>
      </c>
      <c r="D1382" s="133" t="inlineStr">
        <is>
          <t>QUALITY CONTROL</t>
        </is>
      </c>
      <c r="E1382" s="186" t="inlineStr">
        <is>
          <t>Final Finish QA</t>
        </is>
      </c>
      <c r="F1382" s="187" t="n">
        <v>46258</v>
      </c>
      <c r="G1382" s="188">
        <f>NOW()-F1382</f>
        <v/>
      </c>
      <c r="H1382" s="189" t="inlineStr">
        <is>
          <t>L</t>
        </is>
      </c>
      <c r="I1382" s="189" t="inlineStr">
        <is>
          <t>I</t>
        </is>
      </c>
      <c r="J1382" s="189" t="n"/>
      <c r="K1382" s="189" t="n"/>
      <c r="L1382" s="189" t="n"/>
      <c r="M1382" s="189" t="n"/>
      <c r="N1382" s="189" t="n"/>
      <c r="O1382" s="189">
        <f>SUM(J1382:N1382)</f>
        <v/>
      </c>
      <c r="P1382" s="190">
        <f>O1382/IF(H1382="L",20,IF(H1382="U",30,IF(H1382="O",40,IF(H1382="I",20,""))))</f>
        <v/>
      </c>
      <c r="Q1382" s="190">
        <f>IF(AND(H1382="L", P1382&gt;=50%), "Pass", IF(AND(H1382="U", P1382&gt;=60%), "Pass", IF(AND(H1382="O", P1382&gt;=75%), "Pass", "Fail")))</f>
        <v/>
      </c>
      <c r="R1382" s="189" t="n"/>
      <c r="S1382" s="189" t="n"/>
      <c r="T1382" s="189" t="n"/>
      <c r="U1382" s="189">
        <f>SUM(S1382:T1382)</f>
        <v/>
      </c>
      <c r="V1382" s="190">
        <f>U1382/IF(H1382="L",35,IF(H1382="U",35,IF(H1382="O",35,IF(H1382="I",35,""))))</f>
        <v/>
      </c>
      <c r="W1382" s="190">
        <f>IF(AND(H1382="L", V1382&gt;=50%), "Pass", IF(AND(H1382="U", V1382&gt;=60%), "Pass", IF(AND(H1382="O", V1382&gt;=75%), "Pass", "Fail")))</f>
        <v/>
      </c>
      <c r="X1382" s="190">
        <f>IF(AND(Q1382="Pass", W1382="Pass"), "Pass", "Fail")</f>
        <v/>
      </c>
      <c r="Y1382" s="191">
        <f>IF($X1382="Pass",$H1382, IF(H1382="L","I", IF(H1382="U","L", IF(H1382="O","U", "I"))))</f>
        <v/>
      </c>
      <c r="Z1382" s="182" t="n"/>
    </row>
    <row r="1383">
      <c r="A1383" s="185">
        <f>ROW()-2</f>
        <v/>
      </c>
      <c r="B1383" s="133" t="inlineStr">
        <is>
          <t>SK3851</t>
        </is>
      </c>
      <c r="C1383" s="148" t="inlineStr">
        <is>
          <t>BUDHRAM ORAON</t>
        </is>
      </c>
      <c r="D1383" s="133" t="inlineStr">
        <is>
          <t>QUALITY CONTROL</t>
        </is>
      </c>
      <c r="E1383" s="186" t="inlineStr">
        <is>
          <t>Final Finish QA</t>
        </is>
      </c>
      <c r="F1383" s="187" t="n">
        <v>46258</v>
      </c>
      <c r="G1383" s="188">
        <f>NOW()-F1383</f>
        <v/>
      </c>
      <c r="H1383" s="189" t="inlineStr">
        <is>
          <t>L</t>
        </is>
      </c>
      <c r="I1383" s="189" t="inlineStr">
        <is>
          <t>I</t>
        </is>
      </c>
      <c r="J1383" s="189" t="n"/>
      <c r="K1383" s="189" t="n"/>
      <c r="L1383" s="189" t="n"/>
      <c r="M1383" s="189" t="n"/>
      <c r="N1383" s="189" t="n"/>
      <c r="O1383" s="189">
        <f>SUM(J1383:N1383)</f>
        <v/>
      </c>
      <c r="P1383" s="190">
        <f>O1383/IF(H1383="L",20,IF(H1383="U",30,IF(H1383="O",40,IF(H1383="I",20,""))))</f>
        <v/>
      </c>
      <c r="Q1383" s="190">
        <f>IF(AND(H1383="L", P1383&gt;=50%), "Pass", IF(AND(H1383="U", P1383&gt;=60%), "Pass", IF(AND(H1383="O", P1383&gt;=75%), "Pass", "Fail")))</f>
        <v/>
      </c>
      <c r="R1383" s="189" t="n"/>
      <c r="S1383" s="189" t="n"/>
      <c r="T1383" s="189" t="n"/>
      <c r="U1383" s="189">
        <f>SUM(S1383:T1383)</f>
        <v/>
      </c>
      <c r="V1383" s="190">
        <f>U1383/IF(H1383="L",35,IF(H1383="U",35,IF(H1383="O",35,IF(H1383="I",35,""))))</f>
        <v/>
      </c>
      <c r="W1383" s="190">
        <f>IF(AND(H1383="L", V1383&gt;=50%), "Pass", IF(AND(H1383="U", V1383&gt;=60%), "Pass", IF(AND(H1383="O", V1383&gt;=75%), "Pass", "Fail")))</f>
        <v/>
      </c>
      <c r="X1383" s="190">
        <f>IF(AND(Q1383="Pass", W1383="Pass"), "Pass", "Fail")</f>
        <v/>
      </c>
      <c r="Y1383" s="191">
        <f>IF($X1383="Pass",$H1383, IF(H1383="L","I", IF(H1383="U","L", IF(H1383="O","U", "I"))))</f>
        <v/>
      </c>
      <c r="Z1383" s="182" t="n"/>
    </row>
    <row r="1384">
      <c r="A1384" s="185">
        <f>ROW()-2</f>
        <v/>
      </c>
      <c r="B1384" s="133" t="inlineStr">
        <is>
          <t>SK3854</t>
        </is>
      </c>
      <c r="C1384" s="148" t="inlineStr">
        <is>
          <t>BALKESHWAR</t>
        </is>
      </c>
      <c r="D1384" s="133" t="inlineStr">
        <is>
          <t>QUALITY CONTROL</t>
        </is>
      </c>
      <c r="E1384" s="186" t="inlineStr">
        <is>
          <t>Final Finish QA</t>
        </is>
      </c>
      <c r="F1384" s="187" t="n">
        <v>46258</v>
      </c>
      <c r="G1384" s="188">
        <f>NOW()-F1384</f>
        <v/>
      </c>
      <c r="H1384" s="189" t="inlineStr">
        <is>
          <t>L</t>
        </is>
      </c>
      <c r="I1384" s="189" t="inlineStr">
        <is>
          <t>I</t>
        </is>
      </c>
      <c r="J1384" s="189" t="n"/>
      <c r="K1384" s="189" t="n"/>
      <c r="L1384" s="189" t="n"/>
      <c r="M1384" s="189" t="n"/>
      <c r="N1384" s="189" t="n"/>
      <c r="O1384" s="189">
        <f>SUM(J1384:N1384)</f>
        <v/>
      </c>
      <c r="P1384" s="190">
        <f>O1384/IF(H1384="L",20,IF(H1384="U",30,IF(H1384="O",40,IF(H1384="I",20,""))))</f>
        <v/>
      </c>
      <c r="Q1384" s="190">
        <f>IF(AND(H1384="L", P1384&gt;=50%), "Pass", IF(AND(H1384="U", P1384&gt;=60%), "Pass", IF(AND(H1384="O", P1384&gt;=75%), "Pass", "Fail")))</f>
        <v/>
      </c>
      <c r="R1384" s="189" t="n"/>
      <c r="S1384" s="189" t="n"/>
      <c r="T1384" s="189" t="n"/>
      <c r="U1384" s="189">
        <f>SUM(S1384:T1384)</f>
        <v/>
      </c>
      <c r="V1384" s="190">
        <f>U1384/IF(H1384="L",35,IF(H1384="U",35,IF(H1384="O",35,IF(H1384="I",35,""))))</f>
        <v/>
      </c>
      <c r="W1384" s="190">
        <f>IF(AND(H1384="L", V1384&gt;=50%), "Pass", IF(AND(H1384="U", V1384&gt;=60%), "Pass", IF(AND(H1384="O", V1384&gt;=75%), "Pass", "Fail")))</f>
        <v/>
      </c>
      <c r="X1384" s="190">
        <f>IF(AND(Q1384="Pass", W1384="Pass"), "Pass", "Fail")</f>
        <v/>
      </c>
      <c r="Y1384" s="191">
        <f>IF($X1384="Pass",$H1384, IF(H1384="L","I", IF(H1384="U","L", IF(H1384="O","U", "I"))))</f>
        <v/>
      </c>
      <c r="Z1384" s="182" t="n"/>
    </row>
    <row r="1385">
      <c r="A1385" s="185">
        <f>ROW()-2</f>
        <v/>
      </c>
      <c r="B1385" s="133" t="inlineStr">
        <is>
          <t>SR0320</t>
        </is>
      </c>
      <c r="C1385" s="148" t="inlineStr">
        <is>
          <t>PREMKUMAR P</t>
        </is>
      </c>
      <c r="D1385" s="133" t="inlineStr">
        <is>
          <t>QUALITY CONTROL</t>
        </is>
      </c>
      <c r="E1385" s="186" t="inlineStr">
        <is>
          <t>Final Finish QA</t>
        </is>
      </c>
      <c r="F1385" s="187" t="n">
        <v>42102</v>
      </c>
      <c r="G1385" s="188">
        <f>NOW()-F1385</f>
        <v/>
      </c>
      <c r="H1385" s="189" t="inlineStr">
        <is>
          <t>O</t>
        </is>
      </c>
      <c r="I1385" s="189" t="inlineStr">
        <is>
          <t>O</t>
        </is>
      </c>
      <c r="J1385" s="189" t="n">
        <v>10</v>
      </c>
      <c r="K1385" s="189" t="n">
        <v>15</v>
      </c>
      <c r="L1385" s="189" t="n">
        <v>0</v>
      </c>
      <c r="M1385" s="189" t="n">
        <v>9</v>
      </c>
      <c r="N1385" s="189" t="n"/>
      <c r="O1385" s="189">
        <f>SUM(J1385:N1385)</f>
        <v/>
      </c>
      <c r="P1385" s="190">
        <f>O1385/IF(H1385="L",20,IF(H1385="U",30,IF(H1385="O",40,IF(H1385="I",20,""))))</f>
        <v/>
      </c>
      <c r="Q1385" s="190">
        <f>IF(AND(H1385="L", P1385&gt;=50%), "Pass", IF(AND(H1385="U", P1385&gt;=60%), "Pass", IF(AND(H1385="O", P1385&gt;=75%), "Pass", "Fail")))</f>
        <v/>
      </c>
      <c r="R1385" s="189" t="n"/>
      <c r="S1385" s="189" t="n">
        <v>15</v>
      </c>
      <c r="T1385" s="189" t="n">
        <v>15</v>
      </c>
      <c r="U1385" s="189">
        <f>SUM(S1385:T1385)</f>
        <v/>
      </c>
      <c r="V1385" s="190">
        <f>U1385/IF(H1385="L",35,IF(H1385="U",35,IF(H1385="O",35,IF(H1385="I",35,""))))</f>
        <v/>
      </c>
      <c r="W1385" s="190">
        <f>IF(AND(H1385="L", V1385&gt;=50%), "Pass", IF(AND(H1385="U", V1385&gt;=60%), "Pass", IF(AND(H1385="O", V1385&gt;=75%), "Pass", "Fail")))</f>
        <v/>
      </c>
      <c r="X1385" s="190">
        <f>IF(AND(Q1385="Pass", W1385="Pass"), "Pass", "Fail")</f>
        <v/>
      </c>
      <c r="Y1385" s="191">
        <f>IF($X1385="Pass",$H1385, IF(H1385="L","I", IF(H1385="U","L", IF(H1385="O","U", "I"))))</f>
        <v/>
      </c>
      <c r="Z1385" s="182" t="n"/>
    </row>
    <row r="1386">
      <c r="A1386" s="185">
        <f>ROW()-2</f>
        <v/>
      </c>
      <c r="B1386" s="133" t="inlineStr">
        <is>
          <t>SR0766</t>
        </is>
      </c>
      <c r="C1386" s="148" t="inlineStr">
        <is>
          <t>MAHARAJAN G</t>
        </is>
      </c>
      <c r="D1386" s="133" t="inlineStr">
        <is>
          <t>QUALITY CONTROL</t>
        </is>
      </c>
      <c r="E1386" s="186" t="inlineStr">
        <is>
          <t>Final Finish QA</t>
        </is>
      </c>
      <c r="F1386" s="187" t="n">
        <v>42994</v>
      </c>
      <c r="G1386" s="188">
        <f>NOW()-F1386</f>
        <v/>
      </c>
      <c r="H1386" s="189" t="inlineStr">
        <is>
          <t>O</t>
        </is>
      </c>
      <c r="I1386" s="189" t="inlineStr">
        <is>
          <t>O</t>
        </is>
      </c>
      <c r="J1386" s="189" t="n">
        <v>10</v>
      </c>
      <c r="K1386" s="189" t="n">
        <v>16</v>
      </c>
      <c r="L1386" s="189" t="n">
        <v>0</v>
      </c>
      <c r="M1386" s="189" t="n">
        <v>9</v>
      </c>
      <c r="N1386" s="189" t="n"/>
      <c r="O1386" s="189">
        <f>SUM(J1386:N1386)</f>
        <v/>
      </c>
      <c r="P1386" s="190">
        <f>O1386/IF(H1386="L",20,IF(H1386="U",30,IF(H1386="O",40,IF(H1386="I",20,""))))</f>
        <v/>
      </c>
      <c r="Q1386" s="190">
        <f>IF(AND(H1386="L", P1386&gt;=50%), "Pass", IF(AND(H1386="U", P1386&gt;=60%), "Pass", IF(AND(H1386="O", P1386&gt;=75%), "Pass", "Fail")))</f>
        <v/>
      </c>
      <c r="R1386" s="189" t="n"/>
      <c r="S1386" s="189" t="n">
        <v>15</v>
      </c>
      <c r="T1386" s="189" t="n">
        <v>15</v>
      </c>
      <c r="U1386" s="189">
        <f>SUM(S1386:T1386)</f>
        <v/>
      </c>
      <c r="V1386" s="190">
        <f>U1386/IF(H1386="L",35,IF(H1386="U",35,IF(H1386="O",35,IF(H1386="I",35,""))))</f>
        <v/>
      </c>
      <c r="W1386" s="190">
        <f>IF(AND(H1386="L", V1386&gt;=50%), "Pass", IF(AND(H1386="U", V1386&gt;=60%), "Pass", IF(AND(H1386="O", V1386&gt;=75%), "Pass", "Fail")))</f>
        <v/>
      </c>
      <c r="X1386" s="190">
        <f>IF(AND(Q1386="Pass", W1386="Pass"), "Pass", "Fail")</f>
        <v/>
      </c>
      <c r="Y1386" s="191">
        <f>IF($X1386="Pass",$H1386, IF(H1386="L","I", IF(H1386="U","L", IF(H1386="O","U", "I"))))</f>
        <v/>
      </c>
      <c r="Z1386" s="182" t="n"/>
    </row>
    <row r="1387">
      <c r="A1387" s="185">
        <f>ROW()-2</f>
        <v/>
      </c>
      <c r="B1387" s="133" t="inlineStr">
        <is>
          <t>SR0878</t>
        </is>
      </c>
      <c r="C1387" s="148" t="inlineStr">
        <is>
          <t>MUTHUKUTTY M</t>
        </is>
      </c>
      <c r="D1387" s="133" t="inlineStr">
        <is>
          <t>QUALITY CONTROL</t>
        </is>
      </c>
      <c r="E1387" s="186" t="inlineStr">
        <is>
          <t>Final Finish QA</t>
        </is>
      </c>
      <c r="F1387" s="187" t="n">
        <v>43360</v>
      </c>
      <c r="G1387" s="188">
        <f>NOW()-F1387</f>
        <v/>
      </c>
      <c r="H1387" s="189" t="inlineStr">
        <is>
          <t>O</t>
        </is>
      </c>
      <c r="I1387" s="189" t="inlineStr">
        <is>
          <t>O</t>
        </is>
      </c>
      <c r="J1387" s="189" t="n">
        <v>10</v>
      </c>
      <c r="K1387" s="189" t="n">
        <v>17</v>
      </c>
      <c r="L1387" s="189" t="n">
        <v>0</v>
      </c>
      <c r="M1387" s="189" t="n">
        <v>9</v>
      </c>
      <c r="N1387" s="189" t="n"/>
      <c r="O1387" s="189">
        <f>SUM(J1387:N1387)</f>
        <v/>
      </c>
      <c r="P1387" s="190">
        <f>O1387/IF(H1387="L",20,IF(H1387="U",30,IF(H1387="O",40,IF(H1387="I",20,""))))</f>
        <v/>
      </c>
      <c r="Q1387" s="190">
        <f>IF(AND(H1387="L", P1387&gt;=50%), "Pass", IF(AND(H1387="U", P1387&gt;=60%), "Pass", IF(AND(H1387="O", P1387&gt;=75%), "Pass", "Fail")))</f>
        <v/>
      </c>
      <c r="R1387" s="189" t="n"/>
      <c r="S1387" s="189" t="n">
        <v>15</v>
      </c>
      <c r="T1387" s="189" t="n">
        <v>15</v>
      </c>
      <c r="U1387" s="189">
        <f>SUM(S1387:T1387)</f>
        <v/>
      </c>
      <c r="V1387" s="190">
        <f>U1387/IF(H1387="L",35,IF(H1387="U",35,IF(H1387="O",35,IF(H1387="I",35,""))))</f>
        <v/>
      </c>
      <c r="W1387" s="190">
        <f>IF(AND(H1387="L", V1387&gt;=50%), "Pass", IF(AND(H1387="U", V1387&gt;=60%), "Pass", IF(AND(H1387="O", V1387&gt;=75%), "Pass", "Fail")))</f>
        <v/>
      </c>
      <c r="X1387" s="190">
        <f>IF(AND(Q1387="Pass", W1387="Pass"), "Pass", "Fail")</f>
        <v/>
      </c>
      <c r="Y1387" s="191">
        <f>IF($X1387="Pass",$H1387, IF(H1387="L","I", IF(H1387="U","L", IF(H1387="O","U", "I"))))</f>
        <v/>
      </c>
      <c r="Z1387" s="182" t="n"/>
    </row>
    <row r="1388">
      <c r="A1388" s="185">
        <f>ROW()-2</f>
        <v/>
      </c>
      <c r="B1388" s="133" t="inlineStr">
        <is>
          <t>SR0983</t>
        </is>
      </c>
      <c r="C1388" s="148" t="inlineStr">
        <is>
          <t>MAHESHKUMAR</t>
        </is>
      </c>
      <c r="D1388" s="133" t="inlineStr">
        <is>
          <t>QUALITY CONTROL</t>
        </is>
      </c>
      <c r="E1388" s="186" t="inlineStr">
        <is>
          <t>Final Finish QA</t>
        </is>
      </c>
      <c r="F1388" s="187" t="n">
        <v>43636</v>
      </c>
      <c r="G1388" s="188">
        <f>NOW()-F1388</f>
        <v/>
      </c>
      <c r="H1388" s="189" t="inlineStr">
        <is>
          <t>O</t>
        </is>
      </c>
      <c r="I1388" s="189" t="inlineStr">
        <is>
          <t>O</t>
        </is>
      </c>
      <c r="J1388" s="189" t="n">
        <v>10</v>
      </c>
      <c r="K1388" s="189" t="n">
        <v>17</v>
      </c>
      <c r="L1388" s="189" t="n">
        <v>0</v>
      </c>
      <c r="M1388" s="189" t="n">
        <v>9</v>
      </c>
      <c r="N1388" s="189" t="n"/>
      <c r="O1388" s="189">
        <f>SUM(J1388:N1388)</f>
        <v/>
      </c>
      <c r="P1388" s="190">
        <f>O1388/IF(H1388="L",20,IF(H1388="U",30,IF(H1388="O",40,IF(H1388="I",20,""))))</f>
        <v/>
      </c>
      <c r="Q1388" s="190">
        <f>IF(AND(H1388="L", P1388&gt;=50%), "Pass", IF(AND(H1388="U", P1388&gt;=60%), "Pass", IF(AND(H1388="O", P1388&gt;=75%), "Pass", "Fail")))</f>
        <v/>
      </c>
      <c r="R1388" s="189" t="n"/>
      <c r="S1388" s="189" t="n">
        <v>15</v>
      </c>
      <c r="T1388" s="189" t="n">
        <v>15</v>
      </c>
      <c r="U1388" s="189">
        <f>SUM(S1388:T1388)</f>
        <v/>
      </c>
      <c r="V1388" s="190">
        <f>U1388/IF(H1388="L",35,IF(H1388="U",35,IF(H1388="O",35,IF(H1388="I",35,""))))</f>
        <v/>
      </c>
      <c r="W1388" s="190">
        <f>IF(AND(H1388="L", V1388&gt;=50%), "Pass", IF(AND(H1388="U", V1388&gt;=60%), "Pass", IF(AND(H1388="O", V1388&gt;=75%), "Pass", "Fail")))</f>
        <v/>
      </c>
      <c r="X1388" s="190">
        <f>IF(AND(Q1388="Pass", W1388="Pass"), "Pass", "Fail")</f>
        <v/>
      </c>
      <c r="Y1388" s="191">
        <f>IF($X1388="Pass",$H1388, IF(H1388="L","I", IF(H1388="U","L", IF(H1388="O","U", "I"))))</f>
        <v/>
      </c>
      <c r="Z1388" s="182" t="n"/>
    </row>
    <row r="1389">
      <c r="A1389" s="185">
        <f>ROW()-2</f>
        <v/>
      </c>
      <c r="B1389" s="133" t="inlineStr">
        <is>
          <t>SR1358</t>
        </is>
      </c>
      <c r="C1389" s="148" t="inlineStr">
        <is>
          <t>VANAMAMALAI</t>
        </is>
      </c>
      <c r="D1389" s="133" t="inlineStr">
        <is>
          <t>QUALITY CONTROL</t>
        </is>
      </c>
      <c r="E1389" s="186" t="inlineStr">
        <is>
          <t>Final Finish QA</t>
        </is>
      </c>
      <c r="F1389" s="187" t="n">
        <v>45028</v>
      </c>
      <c r="G1389" s="188">
        <f>NOW()-F1389</f>
        <v/>
      </c>
      <c r="H1389" s="189" t="inlineStr">
        <is>
          <t>O</t>
        </is>
      </c>
      <c r="I1389" s="189" t="inlineStr">
        <is>
          <t>U</t>
        </is>
      </c>
      <c r="J1389" s="189" t="n">
        <v>10</v>
      </c>
      <c r="K1389" s="189" t="n">
        <v>17</v>
      </c>
      <c r="L1389" s="189" t="n">
        <v>0</v>
      </c>
      <c r="M1389" s="189" t="n">
        <v>9</v>
      </c>
      <c r="N1389" s="189" t="n"/>
      <c r="O1389" s="189">
        <f>SUM(J1389:N1389)</f>
        <v/>
      </c>
      <c r="P1389" s="190">
        <f>O1389/IF(H1389="L",20,IF(H1389="U",30,IF(H1389="O",40,IF(H1389="I",20,""))))</f>
        <v/>
      </c>
      <c r="Q1389" s="190">
        <f>IF(AND(H1389="L", P1389&gt;=50%), "Pass", IF(AND(H1389="U", P1389&gt;=60%), "Pass", IF(AND(H1389="O", P1389&gt;=75%), "Pass", "Fail")))</f>
        <v/>
      </c>
      <c r="R1389" s="189" t="n"/>
      <c r="S1389" s="189" t="n">
        <v>15</v>
      </c>
      <c r="T1389" s="189" t="n">
        <v>15</v>
      </c>
      <c r="U1389" s="189">
        <f>SUM(S1389:T1389)</f>
        <v/>
      </c>
      <c r="V1389" s="190">
        <f>U1389/IF(H1389="L",35,IF(H1389="U",35,IF(H1389="O",35,IF(H1389="I",35,""))))</f>
        <v/>
      </c>
      <c r="W1389" s="190">
        <f>IF(AND(H1389="L", V1389&gt;=50%), "Pass", IF(AND(H1389="U", V1389&gt;=60%), "Pass", IF(AND(H1389="O", V1389&gt;=75%), "Pass", "Fail")))</f>
        <v/>
      </c>
      <c r="X1389" s="190">
        <f>IF(AND(Q1389="Pass", W1389="Pass"), "Pass", "Fail")</f>
        <v/>
      </c>
      <c r="Y1389" s="191">
        <f>IF($X1389="Pass",$H1389, IF(H1389="L","I", IF(H1389="U","L", IF(H1389="O","U", "I"))))</f>
        <v/>
      </c>
      <c r="Z1389" s="182" t="n"/>
    </row>
    <row r="1390">
      <c r="A1390" s="185">
        <f>ROW()-2</f>
        <v/>
      </c>
      <c r="B1390" s="133" t="inlineStr">
        <is>
          <t>SR1448</t>
        </is>
      </c>
      <c r="C1390" s="148" t="inlineStr">
        <is>
          <t>GOKUL</t>
        </is>
      </c>
      <c r="D1390" s="133" t="inlineStr">
        <is>
          <t>QUALITY CONTROL</t>
        </is>
      </c>
      <c r="E1390" s="186" t="inlineStr">
        <is>
          <t>Final Finish QA</t>
        </is>
      </c>
      <c r="F1390" s="187" t="n">
        <v>45696</v>
      </c>
      <c r="G1390" s="188">
        <f>NOW()-F1390</f>
        <v/>
      </c>
      <c r="H1390" s="189" t="inlineStr">
        <is>
          <t>U</t>
        </is>
      </c>
      <c r="I1390" s="189" t="inlineStr">
        <is>
          <t>L</t>
        </is>
      </c>
      <c r="J1390" s="189" t="n">
        <v>7</v>
      </c>
      <c r="K1390" s="189" t="n">
        <v>12</v>
      </c>
      <c r="L1390" s="189" t="n">
        <v>0</v>
      </c>
      <c r="M1390" s="189" t="n">
        <v>7</v>
      </c>
      <c r="N1390" s="189" t="n"/>
      <c r="O1390" s="189">
        <f>SUM(J1390:N1390)</f>
        <v/>
      </c>
      <c r="P1390" s="190">
        <f>O1390/IF(H1390="L",20,IF(H1390="U",30,IF(H1390="O",40,IF(H1390="I",20,""))))</f>
        <v/>
      </c>
      <c r="Q1390" s="190">
        <f>IF(AND(H1390="L", P1390&gt;=50%), "Pass", IF(AND(H1390="U", P1390&gt;=60%), "Pass", IF(AND(H1390="O", P1390&gt;=75%), "Pass", "Fail")))</f>
        <v/>
      </c>
      <c r="R1390" s="189" t="n"/>
      <c r="S1390" s="189" t="n">
        <v>15</v>
      </c>
      <c r="T1390" s="189" t="n">
        <v>15</v>
      </c>
      <c r="U1390" s="189">
        <f>SUM(S1390:T1390)</f>
        <v/>
      </c>
      <c r="V1390" s="190">
        <f>U1390/IF(H1390="L",35,IF(H1390="U",35,IF(H1390="O",35,IF(H1390="I",35,""))))</f>
        <v/>
      </c>
      <c r="W1390" s="190">
        <f>IF(AND(H1390="L", V1390&gt;=50%), "Pass", IF(AND(H1390="U", V1390&gt;=60%), "Pass", IF(AND(H1390="O", V1390&gt;=75%), "Pass", "Fail")))</f>
        <v/>
      </c>
      <c r="X1390" s="190">
        <f>IF(AND(Q1390="Pass", W1390="Pass"), "Pass", "Fail")</f>
        <v/>
      </c>
      <c r="Y1390" s="191">
        <f>IF($X1390="Pass",$H1390, IF(H1390="L","I", IF(H1390="U","L", IF(H1390="O","U", "I"))))</f>
        <v/>
      </c>
      <c r="Z1390" s="182" t="n"/>
    </row>
    <row r="1391">
      <c r="A1391" s="185">
        <f>ROW()-2</f>
        <v/>
      </c>
      <c r="B1391" s="133" t="inlineStr">
        <is>
          <t>SR1568</t>
        </is>
      </c>
      <c r="C1391" s="148" t="inlineStr">
        <is>
          <t>SIVAM S</t>
        </is>
      </c>
      <c r="D1391" s="133" t="inlineStr">
        <is>
          <t>QUALITY CONTROL</t>
        </is>
      </c>
      <c r="E1391" s="186" t="inlineStr">
        <is>
          <t>Final Finish QA</t>
        </is>
      </c>
      <c r="F1391" s="187" t="n">
        <v>46181</v>
      </c>
      <c r="G1391" s="188">
        <f>NOW()-F1391</f>
        <v/>
      </c>
      <c r="H1391" s="189" t="inlineStr">
        <is>
          <t>L</t>
        </is>
      </c>
      <c r="I1391" s="189" t="inlineStr">
        <is>
          <t>I</t>
        </is>
      </c>
      <c r="J1391" s="189" t="n"/>
      <c r="K1391" s="189" t="n"/>
      <c r="L1391" s="189" t="n"/>
      <c r="M1391" s="189" t="n"/>
      <c r="N1391" s="189" t="n"/>
      <c r="O1391" s="189">
        <f>SUM(J1391:N1391)</f>
        <v/>
      </c>
      <c r="P1391" s="190">
        <f>O1391/IF(H1391="L",20,IF(H1391="U",30,IF(H1391="O",40,IF(H1391="I",20,""))))</f>
        <v/>
      </c>
      <c r="Q1391" s="190">
        <f>IF(AND(H1391="L", P1391&gt;=50%), "Pass", IF(AND(H1391="U", P1391&gt;=60%), "Pass", IF(AND(H1391="O", P1391&gt;=75%), "Pass", "Fail")))</f>
        <v/>
      </c>
      <c r="R1391" s="189" t="n"/>
      <c r="S1391" s="189" t="n"/>
      <c r="T1391" s="189" t="n"/>
      <c r="U1391" s="189">
        <f>SUM(S1391:T1391)</f>
        <v/>
      </c>
      <c r="V1391" s="190">
        <f>U1391/IF(H1391="L",35,IF(H1391="U",35,IF(H1391="O",35,IF(H1391="I",35,""))))</f>
        <v/>
      </c>
      <c r="W1391" s="190">
        <f>IF(AND(H1391="L", V1391&gt;=50%), "Pass", IF(AND(H1391="U", V1391&gt;=60%), "Pass", IF(AND(H1391="O", V1391&gt;=75%), "Pass", "Fail")))</f>
        <v/>
      </c>
      <c r="X1391" s="190">
        <f>IF(AND(Q1391="Pass", W1391="Pass"), "Pass", "Fail")</f>
        <v/>
      </c>
      <c r="Y1391" s="191">
        <f>IF($X1391="Pass",$H1391, IF(H1391="L","I", IF(H1391="U","L", IF(H1391="O","U", "I"))))</f>
        <v/>
      </c>
      <c r="Z1391" s="182" t="n"/>
    </row>
    <row r="1392">
      <c r="A1392" s="185">
        <f>ROW()-2</f>
        <v/>
      </c>
      <c r="B1392" s="133" t="inlineStr">
        <is>
          <t>SR1613</t>
        </is>
      </c>
      <c r="C1392" s="148" t="inlineStr">
        <is>
          <t>ESAKKI CHELLADURAI K</t>
        </is>
      </c>
      <c r="D1392" s="133" t="inlineStr">
        <is>
          <t>QUALITY CONTROL</t>
        </is>
      </c>
      <c r="E1392" s="186" t="inlineStr">
        <is>
          <t>Final Finish QA</t>
        </is>
      </c>
      <c r="F1392" s="187" t="n">
        <v>46245</v>
      </c>
      <c r="G1392" s="188">
        <f>NOW()-F1392</f>
        <v/>
      </c>
      <c r="H1392" s="189" t="inlineStr">
        <is>
          <t>L</t>
        </is>
      </c>
      <c r="I1392" s="189" t="inlineStr">
        <is>
          <t>I</t>
        </is>
      </c>
      <c r="J1392" s="189" t="n"/>
      <c r="K1392" s="189" t="n"/>
      <c r="L1392" s="189" t="n"/>
      <c r="M1392" s="189" t="n"/>
      <c r="N1392" s="189" t="n"/>
      <c r="O1392" s="189">
        <f>SUM(J1392:N1392)</f>
        <v/>
      </c>
      <c r="P1392" s="190">
        <f>O1392/IF(H1392="L",20,IF(H1392="U",30,IF(H1392="O",40,IF(H1392="I",20,""))))</f>
        <v/>
      </c>
      <c r="Q1392" s="190">
        <f>IF(AND(H1392="L", P1392&gt;=50%), "Pass", IF(AND(H1392="U", P1392&gt;=60%), "Pass", IF(AND(H1392="O", P1392&gt;=75%), "Pass", "Fail")))</f>
        <v/>
      </c>
      <c r="R1392" s="189" t="n"/>
      <c r="S1392" s="189" t="n"/>
      <c r="T1392" s="189" t="n"/>
      <c r="U1392" s="189">
        <f>SUM(S1392:T1392)</f>
        <v/>
      </c>
      <c r="V1392" s="190">
        <f>U1392/IF(H1392="L",35,IF(H1392="U",35,IF(H1392="O",35,IF(H1392="I",35,""))))</f>
        <v/>
      </c>
      <c r="W1392" s="190">
        <f>IF(AND(H1392="L", V1392&gt;=50%), "Pass", IF(AND(H1392="U", V1392&gt;=60%), "Pass", IF(AND(H1392="O", V1392&gt;=75%), "Pass", "Fail")))</f>
        <v/>
      </c>
      <c r="X1392" s="190">
        <f>IF(AND(Q1392="Pass", W1392="Pass"), "Pass", "Fail")</f>
        <v/>
      </c>
      <c r="Y1392" s="191">
        <f>IF($X1392="Pass",$H1392, IF(H1392="L","I", IF(H1392="U","L", IF(H1392="O","U", "I"))))</f>
        <v/>
      </c>
      <c r="Z1392" s="182" t="n"/>
    </row>
    <row r="1393">
      <c r="A1393" s="185">
        <f>ROW()-2</f>
        <v/>
      </c>
      <c r="B1393" s="133" t="inlineStr">
        <is>
          <t>IPF0074</t>
        </is>
      </c>
      <c r="C1393" s="148" t="inlineStr">
        <is>
          <t>S MUGESH</t>
        </is>
      </c>
      <c r="D1393" s="133" t="inlineStr">
        <is>
          <t>QUALITY CONTROL</t>
        </is>
      </c>
      <c r="E1393" s="186" t="inlineStr">
        <is>
          <t>Preparatory QA</t>
        </is>
      </c>
      <c r="F1393" s="187" t="n">
        <v>46258</v>
      </c>
      <c r="G1393" s="188">
        <f>NOW()-F1393</f>
        <v/>
      </c>
      <c r="H1393" s="189" t="inlineStr">
        <is>
          <t>L</t>
        </is>
      </c>
      <c r="I1393" s="189" t="inlineStr">
        <is>
          <t>I</t>
        </is>
      </c>
      <c r="J1393" s="189" t="n"/>
      <c r="K1393" s="189" t="n"/>
      <c r="L1393" s="189" t="n"/>
      <c r="M1393" s="189" t="n"/>
      <c r="N1393" s="189" t="n"/>
      <c r="O1393" s="189">
        <f>SUM(J1393:N1393)</f>
        <v/>
      </c>
      <c r="P1393" s="190">
        <f>O1393/IF(H1393="L",20,IF(H1393="U",30,IF(H1393="O",40,IF(H1393="I",20,""))))</f>
        <v/>
      </c>
      <c r="Q1393" s="190">
        <f>IF(AND(H1393="L", P1393&gt;=50%), "Pass", IF(AND(H1393="U", P1393&gt;=60%), "Pass", IF(AND(H1393="O", P1393&gt;=75%), "Pass", "Fail")))</f>
        <v/>
      </c>
      <c r="R1393" s="189" t="n"/>
      <c r="S1393" s="189" t="n"/>
      <c r="T1393" s="189" t="n"/>
      <c r="U1393" s="189">
        <f>SUM(S1393:T1393)</f>
        <v/>
      </c>
      <c r="V1393" s="190">
        <f>U1393/IF(H1393="L",35,IF(H1393="U",35,IF(H1393="O",35,IF(H1393="I",35,""))))</f>
        <v/>
      </c>
      <c r="W1393" s="190">
        <f>IF(AND(H1393="L", V1393&gt;=50%), "Pass", IF(AND(H1393="U", V1393&gt;=60%), "Pass", IF(AND(H1393="O", V1393&gt;=75%), "Pass", "Fail")))</f>
        <v/>
      </c>
      <c r="X1393" s="190">
        <f>IF(AND(Q1393="Pass", W1393="Pass"), "Pass", "Fail")</f>
        <v/>
      </c>
      <c r="Y1393" s="191">
        <f>IF($X1393="Pass",$H1393, IF(H1393="L","I", IF(H1393="U","L", IF(H1393="O","U", "I"))))</f>
        <v/>
      </c>
      <c r="Z1393" s="182" t="n"/>
    </row>
    <row r="1394">
      <c r="A1394" s="185">
        <f>ROW()-2</f>
        <v/>
      </c>
      <c r="B1394" s="133" t="inlineStr">
        <is>
          <t>LN1015</t>
        </is>
      </c>
      <c r="C1394" s="148" t="inlineStr">
        <is>
          <t>SIVASANKARI K</t>
        </is>
      </c>
      <c r="D1394" s="133" t="inlineStr">
        <is>
          <t>QUALITY CONTROL</t>
        </is>
      </c>
      <c r="E1394" s="186" t="inlineStr">
        <is>
          <t>Preparatory QA</t>
        </is>
      </c>
      <c r="F1394" s="187" t="n">
        <v>45959</v>
      </c>
      <c r="G1394" s="188">
        <f>NOW()-F1394</f>
        <v/>
      </c>
      <c r="H1394" s="189" t="inlineStr">
        <is>
          <t>U</t>
        </is>
      </c>
      <c r="I1394" s="189" t="inlineStr">
        <is>
          <t>L</t>
        </is>
      </c>
      <c r="J1394" s="189" t="n"/>
      <c r="K1394" s="189" t="n"/>
      <c r="L1394" s="189" t="n"/>
      <c r="M1394" s="189" t="n"/>
      <c r="N1394" s="189" t="n"/>
      <c r="O1394" s="189">
        <f>SUM(J1394:N1394)</f>
        <v/>
      </c>
      <c r="P1394" s="190">
        <f>O1394/IF(H1394="L",20,IF(H1394="U",30,IF(H1394="O",40,IF(H1394="I",20,""))))</f>
        <v/>
      </c>
      <c r="Q1394" s="190">
        <f>IF(AND(H1394="L", P1394&gt;=50%), "Pass", IF(AND(H1394="U", P1394&gt;=60%), "Pass", IF(AND(H1394="O", P1394&gt;=75%), "Pass", "Fail")))</f>
        <v/>
      </c>
      <c r="R1394" s="189" t="n"/>
      <c r="S1394" s="189" t="n"/>
      <c r="T1394" s="189" t="n"/>
      <c r="U1394" s="189">
        <f>SUM(S1394:T1394)</f>
        <v/>
      </c>
      <c r="V1394" s="190">
        <f>U1394/IF(H1394="L",35,IF(H1394="U",35,IF(H1394="O",35,IF(H1394="I",35,""))))</f>
        <v/>
      </c>
      <c r="W1394" s="190">
        <f>IF(AND(H1394="L", V1394&gt;=50%), "Pass", IF(AND(H1394="U", V1394&gt;=60%), "Pass", IF(AND(H1394="O", V1394&gt;=75%), "Pass", "Fail")))</f>
        <v/>
      </c>
      <c r="X1394" s="190">
        <f>IF(AND(Q1394="Pass", W1394="Pass"), "Pass", "Fail")</f>
        <v/>
      </c>
      <c r="Y1394" s="191">
        <f>IF($X1394="Pass",$H1394, IF(H1394="L","I", IF(H1394="U","L", IF(H1394="O","U", "I"))))</f>
        <v/>
      </c>
      <c r="Z1394" s="182" t="n"/>
    </row>
    <row r="1395">
      <c r="A1395" s="185">
        <f>ROW()-2</f>
        <v/>
      </c>
      <c r="B1395" s="133" t="inlineStr">
        <is>
          <t>MG1323</t>
        </is>
      </c>
      <c r="C1395" s="148" t="inlineStr">
        <is>
          <t>ESAKKI RAJA T</t>
        </is>
      </c>
      <c r="D1395" s="133" t="inlineStr">
        <is>
          <t>QUALITY CONTROL</t>
        </is>
      </c>
      <c r="E1395" s="186" t="inlineStr">
        <is>
          <t>Preparatory QA</t>
        </is>
      </c>
      <c r="F1395" s="187" t="n">
        <v>42376</v>
      </c>
      <c r="G1395" s="188">
        <f>NOW()-F1395</f>
        <v/>
      </c>
      <c r="H1395" s="189" t="inlineStr">
        <is>
          <t>O</t>
        </is>
      </c>
      <c r="I1395" s="189" t="inlineStr">
        <is>
          <t>O</t>
        </is>
      </c>
      <c r="J1395" s="189" t="n">
        <v>10</v>
      </c>
      <c r="K1395" s="189" t="n">
        <v>16</v>
      </c>
      <c r="L1395" s="189" t="n">
        <v>0</v>
      </c>
      <c r="M1395" s="189" t="n">
        <v>9</v>
      </c>
      <c r="N1395" s="189" t="n"/>
      <c r="O1395" s="189">
        <f>SUM(J1395:N1395)</f>
        <v/>
      </c>
      <c r="P1395" s="190">
        <f>O1395/IF(H1395="L",20,IF(H1395="U",30,IF(H1395="O",40,IF(H1395="I",20,""))))</f>
        <v/>
      </c>
      <c r="Q1395" s="190">
        <f>IF(AND(H1395="L", P1395&gt;=50%), "Pass", IF(AND(H1395="U", P1395&gt;=60%), "Pass", IF(AND(H1395="O", P1395&gt;=75%), "Pass", "Fail")))</f>
        <v/>
      </c>
      <c r="R1395" s="189" t="n"/>
      <c r="S1395" s="189" t="n">
        <v>15</v>
      </c>
      <c r="T1395" s="189" t="n">
        <v>15</v>
      </c>
      <c r="U1395" s="189">
        <f>SUM(S1395:T1395)</f>
        <v/>
      </c>
      <c r="V1395" s="190">
        <f>U1395/IF(H1395="L",35,IF(H1395="U",35,IF(H1395="O",35,IF(H1395="I",35,""))))</f>
        <v/>
      </c>
      <c r="W1395" s="190">
        <f>IF(AND(H1395="L", V1395&gt;=50%), "Pass", IF(AND(H1395="U", V1395&gt;=60%), "Pass", IF(AND(H1395="O", V1395&gt;=75%), "Pass", "Fail")))</f>
        <v/>
      </c>
      <c r="X1395" s="190">
        <f>IF(AND(Q1395="Pass", W1395="Pass"), "Pass", "Fail")</f>
        <v/>
      </c>
      <c r="Y1395" s="191">
        <f>IF($X1395="Pass",$H1395, IF(H1395="L","I", IF(H1395="U","L", IF(H1395="O","U", "I"))))</f>
        <v/>
      </c>
      <c r="Z1395" s="182" t="n"/>
    </row>
    <row r="1396">
      <c r="A1396" s="185">
        <f>ROW()-2</f>
        <v/>
      </c>
      <c r="B1396" s="133" t="inlineStr">
        <is>
          <t>900429</t>
        </is>
      </c>
      <c r="C1396" s="148" t="inlineStr">
        <is>
          <t>P. ARICHANDRAN</t>
        </is>
      </c>
      <c r="D1396" s="133" t="inlineStr">
        <is>
          <t>QUALITY CONTROL</t>
        </is>
      </c>
      <c r="E1396" s="186" t="inlineStr">
        <is>
          <t>Solid tire QA</t>
        </is>
      </c>
      <c r="F1396" s="187" t="n">
        <v>41000</v>
      </c>
      <c r="G1396" s="188">
        <f>NOW()-F1396</f>
        <v/>
      </c>
      <c r="H1396" s="189" t="inlineStr">
        <is>
          <t>O</t>
        </is>
      </c>
      <c r="I1396" s="189" t="inlineStr">
        <is>
          <t>O</t>
        </is>
      </c>
      <c r="J1396" s="189" t="n">
        <v>10</v>
      </c>
      <c r="K1396" s="189" t="n">
        <v>17</v>
      </c>
      <c r="L1396" s="189" t="n">
        <v>0</v>
      </c>
      <c r="M1396" s="189" t="n">
        <v>9</v>
      </c>
      <c r="N1396" s="189" t="n"/>
      <c r="O1396" s="189">
        <f>SUM(J1396:N1396)</f>
        <v/>
      </c>
      <c r="P1396" s="190">
        <f>O1396/IF(H1396="L",20,IF(H1396="U",30,IF(H1396="O",40,IF(H1396="I",20,""))))</f>
        <v/>
      </c>
      <c r="Q1396" s="190">
        <f>IF(AND(H1396="L", P1396&gt;=50%), "Pass", IF(AND(H1396="U", P1396&gt;=60%), "Pass", IF(AND(H1396="O", P1396&gt;=75%), "Pass", "Fail")))</f>
        <v/>
      </c>
      <c r="R1396" s="189" t="n"/>
      <c r="S1396" s="189" t="n">
        <v>15</v>
      </c>
      <c r="T1396" s="189" t="n">
        <v>15</v>
      </c>
      <c r="U1396" s="189">
        <f>SUM(S1396:T1396)</f>
        <v/>
      </c>
      <c r="V1396" s="190">
        <f>U1396/IF(H1396="L",35,IF(H1396="U",35,IF(H1396="O",35,IF(H1396="I",35,""))))</f>
        <v/>
      </c>
      <c r="W1396" s="190">
        <f>IF(AND(H1396="L", V1396&gt;=50%), "Pass", IF(AND(H1396="U", V1396&gt;=60%), "Pass", IF(AND(H1396="O", V1396&gt;=75%), "Pass", "Fail")))</f>
        <v/>
      </c>
      <c r="X1396" s="190">
        <f>IF(AND(Q1396="Pass", W1396="Pass"), "Pass", "Fail")</f>
        <v/>
      </c>
      <c r="Y1396" s="191">
        <f>IF($X1396="Pass",$H1396, IF(H1396="L","I", IF(H1396="U","L", IF(H1396="O","U", "I"))))</f>
        <v/>
      </c>
      <c r="Z1396" s="182" t="n"/>
    </row>
    <row r="1397">
      <c r="A1397" s="185">
        <f>ROW()-2</f>
        <v/>
      </c>
      <c r="B1397" s="133" t="inlineStr">
        <is>
          <t>900447</t>
        </is>
      </c>
      <c r="C1397" s="148" t="inlineStr">
        <is>
          <t>PATTANI C</t>
        </is>
      </c>
      <c r="D1397" s="133" t="inlineStr">
        <is>
          <t>QUALITY CONTROL</t>
        </is>
      </c>
      <c r="E1397" s="186" t="inlineStr">
        <is>
          <t>Solid tire QA</t>
        </is>
      </c>
      <c r="F1397" s="187" t="n">
        <v>41000</v>
      </c>
      <c r="G1397" s="188">
        <f>NOW()-F1397</f>
        <v/>
      </c>
      <c r="H1397" s="189" t="inlineStr">
        <is>
          <t>O</t>
        </is>
      </c>
      <c r="I1397" s="189" t="inlineStr">
        <is>
          <t>O</t>
        </is>
      </c>
      <c r="J1397" s="189" t="n">
        <v>10</v>
      </c>
      <c r="K1397" s="189" t="n">
        <v>19</v>
      </c>
      <c r="L1397" s="189" t="n">
        <v>0</v>
      </c>
      <c r="M1397" s="189" t="n">
        <v>9</v>
      </c>
      <c r="N1397" s="189" t="n"/>
      <c r="O1397" s="189">
        <f>SUM(J1397:N1397)</f>
        <v/>
      </c>
      <c r="P1397" s="190">
        <f>O1397/IF(H1397="L",20,IF(H1397="U",30,IF(H1397="O",40,IF(H1397="I",20,""))))</f>
        <v/>
      </c>
      <c r="Q1397" s="190">
        <f>IF(AND(H1397="L", P1397&gt;=50%), "Pass", IF(AND(H1397="U", P1397&gt;=60%), "Pass", IF(AND(H1397="O", P1397&gt;=75%), "Pass", "Fail")))</f>
        <v/>
      </c>
      <c r="R1397" s="189" t="n"/>
      <c r="S1397" s="189" t="n">
        <v>15</v>
      </c>
      <c r="T1397" s="189" t="n">
        <v>15</v>
      </c>
      <c r="U1397" s="189">
        <f>SUM(S1397:T1397)</f>
        <v/>
      </c>
      <c r="V1397" s="190">
        <f>U1397/IF(H1397="L",35,IF(H1397="U",35,IF(H1397="O",35,IF(H1397="I",35,""))))</f>
        <v/>
      </c>
      <c r="W1397" s="190">
        <f>IF(AND(H1397="L", V1397&gt;=50%), "Pass", IF(AND(H1397="U", V1397&gt;=60%), "Pass", IF(AND(H1397="O", V1397&gt;=75%), "Pass", "Fail")))</f>
        <v/>
      </c>
      <c r="X1397" s="190">
        <f>IF(AND(Q1397="Pass", W1397="Pass"), "Pass", "Fail")</f>
        <v/>
      </c>
      <c r="Y1397" s="191">
        <f>IF($X1397="Pass",$H1397, IF(H1397="L","I", IF(H1397="U","L", IF(H1397="O","U", "I"))))</f>
        <v/>
      </c>
      <c r="Z1397" s="182" t="n"/>
    </row>
    <row r="1398">
      <c r="A1398" s="185">
        <f>ROW()-2</f>
        <v/>
      </c>
      <c r="B1398" s="133" t="inlineStr">
        <is>
          <t>900543</t>
        </is>
      </c>
      <c r="C1398" s="148" t="inlineStr">
        <is>
          <t>M. MURUGESAN</t>
        </is>
      </c>
      <c r="D1398" s="133" t="inlineStr">
        <is>
          <t>QUALITY CONTROL</t>
        </is>
      </c>
      <c r="E1398" s="186" t="inlineStr">
        <is>
          <t>Solid tire QA</t>
        </is>
      </c>
      <c r="F1398" s="187" t="n">
        <v>41365</v>
      </c>
      <c r="G1398" s="188">
        <f>NOW()-F1398</f>
        <v/>
      </c>
      <c r="H1398" s="189" t="inlineStr">
        <is>
          <t>O</t>
        </is>
      </c>
      <c r="I1398" s="189" t="inlineStr">
        <is>
          <t>O</t>
        </is>
      </c>
      <c r="J1398" s="189" t="n">
        <v>10</v>
      </c>
      <c r="K1398" s="189" t="n">
        <v>16</v>
      </c>
      <c r="L1398" s="189" t="n">
        <v>0</v>
      </c>
      <c r="M1398" s="189" t="n">
        <v>9</v>
      </c>
      <c r="N1398" s="189" t="n"/>
      <c r="O1398" s="189">
        <f>SUM(J1398:N1398)</f>
        <v/>
      </c>
      <c r="P1398" s="190">
        <f>O1398/IF(H1398="L",20,IF(H1398="U",30,IF(H1398="O",40,IF(H1398="I",20,""))))</f>
        <v/>
      </c>
      <c r="Q1398" s="190">
        <f>IF(AND(H1398="L", P1398&gt;=50%), "Pass", IF(AND(H1398="U", P1398&gt;=60%), "Pass", IF(AND(H1398="O", P1398&gt;=75%), "Pass", "Fail")))</f>
        <v/>
      </c>
      <c r="R1398" s="189" t="n"/>
      <c r="S1398" s="189" t="n">
        <v>15</v>
      </c>
      <c r="T1398" s="189" t="n">
        <v>15</v>
      </c>
      <c r="U1398" s="189">
        <f>SUM(S1398:T1398)</f>
        <v/>
      </c>
      <c r="V1398" s="190">
        <f>U1398/IF(H1398="L",35,IF(H1398="U",35,IF(H1398="O",35,IF(H1398="I",35,""))))</f>
        <v/>
      </c>
      <c r="W1398" s="190">
        <f>IF(AND(H1398="L", V1398&gt;=50%), "Pass", IF(AND(H1398="U", V1398&gt;=60%), "Pass", IF(AND(H1398="O", V1398&gt;=75%), "Pass", "Fail")))</f>
        <v/>
      </c>
      <c r="X1398" s="190">
        <f>IF(AND(Q1398="Pass", W1398="Pass"), "Pass", "Fail")</f>
        <v/>
      </c>
      <c r="Y1398" s="191">
        <f>IF($X1398="Pass",$H1398, IF(H1398="L","I", IF(H1398="U","L", IF(H1398="O","U", "I"))))</f>
        <v/>
      </c>
      <c r="Z1398" s="182" t="n"/>
    </row>
    <row r="1399">
      <c r="A1399" s="185">
        <f>ROW()-2</f>
        <v/>
      </c>
      <c r="B1399" s="133" t="inlineStr">
        <is>
          <t>AK1208</t>
        </is>
      </c>
      <c r="C1399" s="148" t="inlineStr">
        <is>
          <t>ALEX PANDIAN G</t>
        </is>
      </c>
      <c r="D1399" s="133" t="inlineStr">
        <is>
          <t>QUALITY CONTROL</t>
        </is>
      </c>
      <c r="E1399" s="186" t="inlineStr">
        <is>
          <t>Solid tire QA</t>
        </is>
      </c>
      <c r="F1399" s="187" t="n">
        <v>46111</v>
      </c>
      <c r="G1399" s="188">
        <f>NOW()-F1399</f>
        <v/>
      </c>
      <c r="H1399" s="189" t="inlineStr">
        <is>
          <t>L</t>
        </is>
      </c>
      <c r="I1399" s="189" t="inlineStr">
        <is>
          <t>I</t>
        </is>
      </c>
      <c r="J1399" s="189" t="n"/>
      <c r="K1399" s="189" t="n"/>
      <c r="L1399" s="189" t="n"/>
      <c r="M1399" s="189" t="n"/>
      <c r="N1399" s="189" t="n"/>
      <c r="O1399" s="189">
        <f>SUM(J1399:N1399)</f>
        <v/>
      </c>
      <c r="P1399" s="190">
        <f>O1399/IF(H1399="L",20,IF(H1399="U",30,IF(H1399="O",40,IF(H1399="I",20,""))))</f>
        <v/>
      </c>
      <c r="Q1399" s="190">
        <f>IF(AND(H1399="L", P1399&gt;=50%), "Pass", IF(AND(H1399="U", P1399&gt;=60%), "Pass", IF(AND(H1399="O", P1399&gt;=75%), "Pass", "Fail")))</f>
        <v/>
      </c>
      <c r="R1399" s="189" t="n"/>
      <c r="S1399" s="189" t="n"/>
      <c r="T1399" s="189" t="n"/>
      <c r="U1399" s="189">
        <f>SUM(S1399:T1399)</f>
        <v/>
      </c>
      <c r="V1399" s="190">
        <f>U1399/IF(H1399="L",35,IF(H1399="U",35,IF(H1399="O",35,IF(H1399="I",35,""))))</f>
        <v/>
      </c>
      <c r="W1399" s="190">
        <f>IF(AND(H1399="L", V1399&gt;=50%), "Pass", IF(AND(H1399="U", V1399&gt;=60%), "Pass", IF(AND(H1399="O", V1399&gt;=75%), "Pass", "Fail")))</f>
        <v/>
      </c>
      <c r="X1399" s="190">
        <f>IF(AND(Q1399="Pass", W1399="Pass"), "Pass", "Fail")</f>
        <v/>
      </c>
      <c r="Y1399" s="191">
        <f>IF($X1399="Pass",$H1399, IF(H1399="L","I", IF(H1399="U","L", IF(H1399="O","U", "I"))))</f>
        <v/>
      </c>
      <c r="Z1399" s="182" t="n"/>
    </row>
    <row r="1400">
      <c r="A1400" s="185">
        <f>ROW()-2</f>
        <v/>
      </c>
      <c r="B1400" s="133" t="inlineStr">
        <is>
          <t>LN1262</t>
        </is>
      </c>
      <c r="C1400" s="148" t="inlineStr">
        <is>
          <t>SORNAM K</t>
        </is>
      </c>
      <c r="D1400" s="133" t="inlineStr">
        <is>
          <t>QUALITY CONTROL</t>
        </is>
      </c>
      <c r="E1400" s="186" t="inlineStr">
        <is>
          <t>Solid tire QA</t>
        </is>
      </c>
      <c r="F1400" s="187" t="n">
        <v>46119</v>
      </c>
      <c r="G1400" s="188">
        <f>NOW()-F1400</f>
        <v/>
      </c>
      <c r="H1400" s="189" t="inlineStr">
        <is>
          <t>L</t>
        </is>
      </c>
      <c r="I1400" s="189" t="inlineStr">
        <is>
          <t>I</t>
        </is>
      </c>
      <c r="J1400" s="189" t="n"/>
      <c r="K1400" s="189" t="n"/>
      <c r="L1400" s="189" t="n"/>
      <c r="M1400" s="189" t="n"/>
      <c r="N1400" s="189" t="n"/>
      <c r="O1400" s="189">
        <f>SUM(J1400:N1400)</f>
        <v/>
      </c>
      <c r="P1400" s="190">
        <f>O1400/IF(H1400="L",20,IF(H1400="U",30,IF(H1400="O",40,IF(H1400="I",20,""))))</f>
        <v/>
      </c>
      <c r="Q1400" s="190">
        <f>IF(AND(H1400="L", P1400&gt;=50%), "Pass", IF(AND(H1400="U", P1400&gt;=60%), "Pass", IF(AND(H1400="O", P1400&gt;=75%), "Pass", "Fail")))</f>
        <v/>
      </c>
      <c r="R1400" s="189" t="n"/>
      <c r="S1400" s="189" t="n"/>
      <c r="T1400" s="189" t="n"/>
      <c r="U1400" s="189">
        <f>SUM(S1400:T1400)</f>
        <v/>
      </c>
      <c r="V1400" s="190">
        <f>U1400/IF(H1400="L",35,IF(H1400="U",35,IF(H1400="O",35,IF(H1400="I",35,""))))</f>
        <v/>
      </c>
      <c r="W1400" s="190">
        <f>IF(AND(H1400="L", V1400&gt;=50%), "Pass", IF(AND(H1400="U", V1400&gt;=60%), "Pass", IF(AND(H1400="O", V1400&gt;=75%), "Pass", "Fail")))</f>
        <v/>
      </c>
      <c r="X1400" s="190">
        <f>IF(AND(Q1400="Pass", W1400="Pass"), "Pass", "Fail")</f>
        <v/>
      </c>
      <c r="Y1400" s="191">
        <f>IF($X1400="Pass",$H1400, IF(H1400="L","I", IF(H1400="U","L", IF(H1400="O","U", "I"))))</f>
        <v/>
      </c>
      <c r="Z1400" s="182" t="n"/>
    </row>
    <row r="1401">
      <c r="A1401" s="185">
        <f>ROW()-2</f>
        <v/>
      </c>
      <c r="B1401" s="133" t="inlineStr">
        <is>
          <t>LN1266</t>
        </is>
      </c>
      <c r="C1401" s="148" t="inlineStr">
        <is>
          <t>SANGEETHA M</t>
        </is>
      </c>
      <c r="D1401" s="133" t="inlineStr">
        <is>
          <t>QUALITY CONTROL</t>
        </is>
      </c>
      <c r="E1401" s="186" t="inlineStr">
        <is>
          <t>Solid tire QA</t>
        </is>
      </c>
      <c r="F1401" s="187" t="n">
        <v>46122</v>
      </c>
      <c r="G1401" s="188">
        <f>NOW()-F1401</f>
        <v/>
      </c>
      <c r="H1401" s="189" t="inlineStr">
        <is>
          <t>L</t>
        </is>
      </c>
      <c r="I1401" s="189" t="inlineStr">
        <is>
          <t>I</t>
        </is>
      </c>
      <c r="J1401" s="189" t="n"/>
      <c r="K1401" s="189" t="n"/>
      <c r="L1401" s="189" t="n"/>
      <c r="M1401" s="189" t="n"/>
      <c r="N1401" s="189" t="n"/>
      <c r="O1401" s="189">
        <f>SUM(J1401:N1401)</f>
        <v/>
      </c>
      <c r="P1401" s="190">
        <f>O1401/IF(H1401="L",20,IF(H1401="U",30,IF(H1401="O",40,IF(H1401="I",20,""))))</f>
        <v/>
      </c>
      <c r="Q1401" s="190">
        <f>IF(AND(H1401="L", P1401&gt;=50%), "Pass", IF(AND(H1401="U", P1401&gt;=60%), "Pass", IF(AND(H1401="O", P1401&gt;=75%), "Pass", "Fail")))</f>
        <v/>
      </c>
      <c r="R1401" s="189" t="n"/>
      <c r="S1401" s="189" t="n"/>
      <c r="T1401" s="189" t="n"/>
      <c r="U1401" s="189">
        <f>SUM(S1401:T1401)</f>
        <v/>
      </c>
      <c r="V1401" s="190">
        <f>U1401/IF(H1401="L",35,IF(H1401="U",35,IF(H1401="O",35,IF(H1401="I",35,""))))</f>
        <v/>
      </c>
      <c r="W1401" s="190">
        <f>IF(AND(H1401="L", V1401&gt;=50%), "Pass", IF(AND(H1401="U", V1401&gt;=60%), "Pass", IF(AND(H1401="O", V1401&gt;=75%), "Pass", "Fail")))</f>
        <v/>
      </c>
      <c r="X1401" s="190">
        <f>IF(AND(Q1401="Pass", W1401="Pass"), "Pass", "Fail")</f>
        <v/>
      </c>
      <c r="Y1401" s="191">
        <f>IF($X1401="Pass",$H1401, IF(H1401="L","I", IF(H1401="U","L", IF(H1401="O","U", "I"))))</f>
        <v/>
      </c>
      <c r="Z1401" s="182" t="n"/>
    </row>
    <row r="1402">
      <c r="A1402" s="185">
        <f>ROW()-2</f>
        <v/>
      </c>
      <c r="B1402" s="133" t="inlineStr">
        <is>
          <t>LN1276</t>
        </is>
      </c>
      <c r="C1402" s="148" t="inlineStr">
        <is>
          <t>VELAMMAL C</t>
        </is>
      </c>
      <c r="D1402" s="133" t="inlineStr">
        <is>
          <t>QUALITY CONTROL</t>
        </is>
      </c>
      <c r="E1402" s="186" t="inlineStr">
        <is>
          <t>Solid tire QA</t>
        </is>
      </c>
      <c r="F1402" s="187" t="n">
        <v>46139</v>
      </c>
      <c r="G1402" s="188">
        <f>NOW()-F1402</f>
        <v/>
      </c>
      <c r="H1402" s="189" t="inlineStr">
        <is>
          <t>L</t>
        </is>
      </c>
      <c r="I1402" s="189" t="inlineStr">
        <is>
          <t>I</t>
        </is>
      </c>
      <c r="J1402" s="189" t="n"/>
      <c r="K1402" s="189" t="n"/>
      <c r="L1402" s="189" t="n"/>
      <c r="M1402" s="189" t="n"/>
      <c r="N1402" s="189" t="n"/>
      <c r="O1402" s="189">
        <f>SUM(J1402:N1402)</f>
        <v/>
      </c>
      <c r="P1402" s="190">
        <f>O1402/IF(H1402="L",20,IF(H1402="U",30,IF(H1402="O",40,IF(H1402="I",20,""))))</f>
        <v/>
      </c>
      <c r="Q1402" s="190">
        <f>IF(AND(H1402="L", P1402&gt;=50%), "Pass", IF(AND(H1402="U", P1402&gt;=60%), "Pass", IF(AND(H1402="O", P1402&gt;=75%), "Pass", "Fail")))</f>
        <v/>
      </c>
      <c r="R1402" s="189" t="n"/>
      <c r="S1402" s="189" t="n"/>
      <c r="T1402" s="189" t="n"/>
      <c r="U1402" s="189">
        <f>SUM(S1402:T1402)</f>
        <v/>
      </c>
      <c r="V1402" s="190">
        <f>U1402/IF(H1402="L",35,IF(H1402="U",35,IF(H1402="O",35,IF(H1402="I",35,""))))</f>
        <v/>
      </c>
      <c r="W1402" s="190">
        <f>IF(AND(H1402="L", V1402&gt;=50%), "Pass", IF(AND(H1402="U", V1402&gt;=60%), "Pass", IF(AND(H1402="O", V1402&gt;=75%), "Pass", "Fail")))</f>
        <v/>
      </c>
      <c r="X1402" s="190">
        <f>IF(AND(Q1402="Pass", W1402="Pass"), "Pass", "Fail")</f>
        <v/>
      </c>
      <c r="Y1402" s="191">
        <f>IF($X1402="Pass",$H1402, IF(H1402="L","I", IF(H1402="U","L", IF(H1402="O","U", "I"))))</f>
        <v/>
      </c>
      <c r="Z1402" s="182" t="n"/>
    </row>
    <row r="1403">
      <c r="A1403" s="185">
        <f>ROW()-2</f>
        <v/>
      </c>
      <c r="B1403" s="133" t="inlineStr">
        <is>
          <t>LN1279</t>
        </is>
      </c>
      <c r="C1403" s="148" t="inlineStr">
        <is>
          <t>VIJAYA BHRATHI M</t>
        </is>
      </c>
      <c r="D1403" s="133" t="inlineStr">
        <is>
          <t>QUALITY CONTROL</t>
        </is>
      </c>
      <c r="E1403" s="186" t="inlineStr">
        <is>
          <t>Solid tire QA</t>
        </is>
      </c>
      <c r="F1403" s="187" t="n">
        <v>46141</v>
      </c>
      <c r="G1403" s="188">
        <f>NOW()-F1403</f>
        <v/>
      </c>
      <c r="H1403" s="189" t="inlineStr">
        <is>
          <t>L</t>
        </is>
      </c>
      <c r="I1403" s="189" t="inlineStr">
        <is>
          <t>I</t>
        </is>
      </c>
      <c r="J1403" s="189" t="n"/>
      <c r="K1403" s="189" t="n"/>
      <c r="L1403" s="189" t="n"/>
      <c r="M1403" s="189" t="n"/>
      <c r="N1403" s="189" t="n"/>
      <c r="O1403" s="189">
        <f>SUM(J1403:N1403)</f>
        <v/>
      </c>
      <c r="P1403" s="190">
        <f>O1403/IF(H1403="L",20,IF(H1403="U",30,IF(H1403="O",40,IF(H1403="I",20,""))))</f>
        <v/>
      </c>
      <c r="Q1403" s="190">
        <f>IF(AND(H1403="L", P1403&gt;=50%), "Pass", IF(AND(H1403="U", P1403&gt;=60%), "Pass", IF(AND(H1403="O", P1403&gt;=75%), "Pass", "Fail")))</f>
        <v/>
      </c>
      <c r="R1403" s="189" t="n"/>
      <c r="S1403" s="189" t="n"/>
      <c r="T1403" s="189" t="n"/>
      <c r="U1403" s="189">
        <f>SUM(S1403:T1403)</f>
        <v/>
      </c>
      <c r="V1403" s="190">
        <f>U1403/IF(H1403="L",35,IF(H1403="U",35,IF(H1403="O",35,IF(H1403="I",35,""))))</f>
        <v/>
      </c>
      <c r="W1403" s="190">
        <f>IF(AND(H1403="L", V1403&gt;=50%), "Pass", IF(AND(H1403="U", V1403&gt;=60%), "Pass", IF(AND(H1403="O", V1403&gt;=75%), "Pass", "Fail")))</f>
        <v/>
      </c>
      <c r="X1403" s="190">
        <f>IF(AND(Q1403="Pass", W1403="Pass"), "Pass", "Fail")</f>
        <v/>
      </c>
      <c r="Y1403" s="191">
        <f>IF($X1403="Pass",$H1403, IF(H1403="L","I", IF(H1403="U","L", IF(H1403="O","U", "I"))))</f>
        <v/>
      </c>
      <c r="Z1403" s="182" t="n"/>
    </row>
    <row r="1404">
      <c r="A1404" s="185">
        <f>ROW()-2</f>
        <v/>
      </c>
      <c r="B1404" s="133" t="inlineStr">
        <is>
          <t>LN1344</t>
        </is>
      </c>
      <c r="C1404" s="148" t="inlineStr">
        <is>
          <t>NITHYA C</t>
        </is>
      </c>
      <c r="D1404" s="133" t="inlineStr">
        <is>
          <t>QUALITY CONTROL</t>
        </is>
      </c>
      <c r="E1404" s="186" t="inlineStr">
        <is>
          <t>Solid tire QA</t>
        </is>
      </c>
      <c r="F1404" s="187" t="n">
        <v>46209</v>
      </c>
      <c r="G1404" s="188">
        <f>NOW()-F1404</f>
        <v/>
      </c>
      <c r="H1404" s="189" t="inlineStr">
        <is>
          <t>L</t>
        </is>
      </c>
      <c r="I1404" s="189" t="inlineStr">
        <is>
          <t>I</t>
        </is>
      </c>
      <c r="J1404" s="189" t="n"/>
      <c r="K1404" s="189" t="n"/>
      <c r="L1404" s="189" t="n"/>
      <c r="M1404" s="189" t="n"/>
      <c r="N1404" s="189" t="n"/>
      <c r="O1404" s="189">
        <f>SUM(J1404:N1404)</f>
        <v/>
      </c>
      <c r="P1404" s="190">
        <f>O1404/IF(H1404="L",20,IF(H1404="U",30,IF(H1404="O",40,IF(H1404="I",20,""))))</f>
        <v/>
      </c>
      <c r="Q1404" s="190">
        <f>IF(AND(H1404="L", P1404&gt;=50%), "Pass", IF(AND(H1404="U", P1404&gt;=60%), "Pass", IF(AND(H1404="O", P1404&gt;=75%), "Pass", "Fail")))</f>
        <v/>
      </c>
      <c r="R1404" s="189" t="n"/>
      <c r="S1404" s="189" t="n"/>
      <c r="T1404" s="189" t="n"/>
      <c r="U1404" s="189">
        <f>SUM(S1404:T1404)</f>
        <v/>
      </c>
      <c r="V1404" s="190">
        <f>U1404/IF(H1404="L",35,IF(H1404="U",35,IF(H1404="O",35,IF(H1404="I",35,""))))</f>
        <v/>
      </c>
      <c r="W1404" s="190">
        <f>IF(AND(H1404="L", V1404&gt;=50%), "Pass", IF(AND(H1404="U", V1404&gt;=60%), "Pass", IF(AND(H1404="O", V1404&gt;=75%), "Pass", "Fail")))</f>
        <v/>
      </c>
      <c r="X1404" s="190">
        <f>IF(AND(Q1404="Pass", W1404="Pass"), "Pass", "Fail")</f>
        <v/>
      </c>
      <c r="Y1404" s="191">
        <f>IF($X1404="Pass",$H1404, IF(H1404="L","I", IF(H1404="U","L", IF(H1404="O","U", "I"))))</f>
        <v/>
      </c>
      <c r="Z1404" s="182" t="n"/>
    </row>
    <row r="1405">
      <c r="A1405" s="185">
        <f>ROW()-2</f>
        <v/>
      </c>
      <c r="B1405" s="133" t="inlineStr">
        <is>
          <t>LN1346</t>
        </is>
      </c>
      <c r="C1405" s="148" t="inlineStr">
        <is>
          <t>CHITHRA S</t>
        </is>
      </c>
      <c r="D1405" s="133" t="inlineStr">
        <is>
          <t>QUALITY CONTROL</t>
        </is>
      </c>
      <c r="E1405" s="186" t="inlineStr">
        <is>
          <t>Solid tire QA</t>
        </is>
      </c>
      <c r="F1405" s="187" t="n">
        <v>46209</v>
      </c>
      <c r="G1405" s="188">
        <f>NOW()-F1405</f>
        <v/>
      </c>
      <c r="H1405" s="189" t="inlineStr">
        <is>
          <t>L</t>
        </is>
      </c>
      <c r="I1405" s="189" t="inlineStr">
        <is>
          <t>I</t>
        </is>
      </c>
      <c r="J1405" s="189" t="n"/>
      <c r="K1405" s="189" t="n"/>
      <c r="L1405" s="189" t="n"/>
      <c r="M1405" s="189" t="n"/>
      <c r="N1405" s="189" t="n"/>
      <c r="O1405" s="189">
        <f>SUM(J1405:N1405)</f>
        <v/>
      </c>
      <c r="P1405" s="190">
        <f>O1405/IF(H1405="L",20,IF(H1405="U",30,IF(H1405="O",40,IF(H1405="I",20,""))))</f>
        <v/>
      </c>
      <c r="Q1405" s="190">
        <f>IF(AND(H1405="L", P1405&gt;=50%), "Pass", IF(AND(H1405="U", P1405&gt;=60%), "Pass", IF(AND(H1405="O", P1405&gt;=75%), "Pass", "Fail")))</f>
        <v/>
      </c>
      <c r="R1405" s="189" t="n"/>
      <c r="S1405" s="189" t="n"/>
      <c r="T1405" s="189" t="n"/>
      <c r="U1405" s="189">
        <f>SUM(S1405:T1405)</f>
        <v/>
      </c>
      <c r="V1405" s="190">
        <f>U1405/IF(H1405="L",35,IF(H1405="U",35,IF(H1405="O",35,IF(H1405="I",35,""))))</f>
        <v/>
      </c>
      <c r="W1405" s="190">
        <f>IF(AND(H1405="L", V1405&gt;=50%), "Pass", IF(AND(H1405="U", V1405&gt;=60%), "Pass", IF(AND(H1405="O", V1405&gt;=75%), "Pass", "Fail")))</f>
        <v/>
      </c>
      <c r="X1405" s="190">
        <f>IF(AND(Q1405="Pass", W1405="Pass"), "Pass", "Fail")</f>
        <v/>
      </c>
      <c r="Y1405" s="191">
        <f>IF($X1405="Pass",$H1405, IF(H1405="L","I", IF(H1405="U","L", IF(H1405="O","U", "I"))))</f>
        <v/>
      </c>
      <c r="Z1405" s="182" t="n"/>
    </row>
    <row r="1406">
      <c r="A1406" s="185">
        <f>ROW()-2</f>
        <v/>
      </c>
      <c r="B1406" s="133" t="inlineStr">
        <is>
          <t>PK0842</t>
        </is>
      </c>
      <c r="C1406" s="148" t="inlineStr">
        <is>
          <t>PRAKASH K</t>
        </is>
      </c>
      <c r="D1406" s="133" t="inlineStr">
        <is>
          <t>QUALITY CONTROL</t>
        </is>
      </c>
      <c r="E1406" s="186" t="inlineStr">
        <is>
          <t>Solid tire QA</t>
        </is>
      </c>
      <c r="F1406" s="187" t="n">
        <v>42937</v>
      </c>
      <c r="G1406" s="188">
        <f>NOW()-F1406</f>
        <v/>
      </c>
      <c r="H1406" s="189" t="inlineStr">
        <is>
          <t>O</t>
        </is>
      </c>
      <c r="I1406" s="189" t="inlineStr">
        <is>
          <t>O</t>
        </is>
      </c>
      <c r="J1406" s="189" t="n">
        <v>10</v>
      </c>
      <c r="K1406" s="189" t="n">
        <v>15</v>
      </c>
      <c r="L1406" s="189" t="n">
        <v>0</v>
      </c>
      <c r="M1406" s="189" t="n">
        <v>9</v>
      </c>
      <c r="N1406" s="189" t="n"/>
      <c r="O1406" s="189">
        <f>SUM(J1406:N1406)</f>
        <v/>
      </c>
      <c r="P1406" s="190">
        <f>O1406/IF(H1406="L",20,IF(H1406="U",30,IF(H1406="O",40,IF(H1406="I",20,""))))</f>
        <v/>
      </c>
      <c r="Q1406" s="190">
        <f>IF(AND(H1406="L", P1406&gt;=50%), "Pass", IF(AND(H1406="U", P1406&gt;=60%), "Pass", IF(AND(H1406="O", P1406&gt;=75%), "Pass", "Fail")))</f>
        <v/>
      </c>
      <c r="R1406" s="189" t="n"/>
      <c r="S1406" s="189" t="n">
        <v>15</v>
      </c>
      <c r="T1406" s="189" t="n">
        <v>15</v>
      </c>
      <c r="U1406" s="189">
        <f>SUM(S1406:T1406)</f>
        <v/>
      </c>
      <c r="V1406" s="190">
        <f>U1406/IF(H1406="L",35,IF(H1406="U",35,IF(H1406="O",35,IF(H1406="I",35,""))))</f>
        <v/>
      </c>
      <c r="W1406" s="190">
        <f>IF(AND(H1406="L", V1406&gt;=50%), "Pass", IF(AND(H1406="U", V1406&gt;=60%), "Pass", IF(AND(H1406="O", V1406&gt;=75%), "Pass", "Fail")))</f>
        <v/>
      </c>
      <c r="X1406" s="190">
        <f>IF(AND(Q1406="Pass", W1406="Pass"), "Pass", "Fail")</f>
        <v/>
      </c>
      <c r="Y1406" s="191">
        <f>IF($X1406="Pass",$H1406, IF(H1406="L","I", IF(H1406="U","L", IF(H1406="O","U", "I"))))</f>
        <v/>
      </c>
      <c r="Z1406" s="182" t="n"/>
    </row>
    <row r="1407">
      <c r="A1407" s="185">
        <f>ROW()-2</f>
        <v/>
      </c>
      <c r="B1407" s="133" t="inlineStr">
        <is>
          <t>PK1351</t>
        </is>
      </c>
      <c r="C1407" s="148" t="inlineStr">
        <is>
          <t>POOTHAPANDIAN</t>
        </is>
      </c>
      <c r="D1407" s="133" t="inlineStr">
        <is>
          <t>QUALITY CONTROL</t>
        </is>
      </c>
      <c r="E1407" s="186" t="inlineStr">
        <is>
          <t>Solid tire QA</t>
        </is>
      </c>
      <c r="F1407" s="187" t="n">
        <v>44602</v>
      </c>
      <c r="G1407" s="188">
        <f>NOW()-F1407</f>
        <v/>
      </c>
      <c r="H1407" s="189" t="inlineStr">
        <is>
          <t>O</t>
        </is>
      </c>
      <c r="I1407" s="189" t="inlineStr">
        <is>
          <t>O</t>
        </is>
      </c>
      <c r="J1407" s="189" t="n">
        <v>10</v>
      </c>
      <c r="K1407" s="189" t="n">
        <v>15</v>
      </c>
      <c r="L1407" s="189" t="n">
        <v>0</v>
      </c>
      <c r="M1407" s="189" t="n">
        <v>9</v>
      </c>
      <c r="N1407" s="189" t="n"/>
      <c r="O1407" s="189">
        <f>SUM(J1407:N1407)</f>
        <v/>
      </c>
      <c r="P1407" s="190">
        <f>O1407/IF(H1407="L",20,IF(H1407="U",30,IF(H1407="O",40,IF(H1407="I",20,""))))</f>
        <v/>
      </c>
      <c r="Q1407" s="190">
        <f>IF(AND(H1407="L", P1407&gt;=50%), "Pass", IF(AND(H1407="U", P1407&gt;=60%), "Pass", IF(AND(H1407="O", P1407&gt;=75%), "Pass", "Fail")))</f>
        <v/>
      </c>
      <c r="R1407" s="189" t="n"/>
      <c r="S1407" s="189" t="n">
        <v>15</v>
      </c>
      <c r="T1407" s="189" t="n">
        <v>15</v>
      </c>
      <c r="U1407" s="189">
        <f>SUM(S1407:T1407)</f>
        <v/>
      </c>
      <c r="V1407" s="190">
        <f>U1407/IF(H1407="L",35,IF(H1407="U",35,IF(H1407="O",35,IF(H1407="I",35,""))))</f>
        <v/>
      </c>
      <c r="W1407" s="190">
        <f>IF(AND(H1407="L", V1407&gt;=50%), "Pass", IF(AND(H1407="U", V1407&gt;=60%), "Pass", IF(AND(H1407="O", V1407&gt;=75%), "Pass", "Fail")))</f>
        <v/>
      </c>
      <c r="X1407" s="190">
        <f>IF(AND(Q1407="Pass", W1407="Pass"), "Pass", "Fail")</f>
        <v/>
      </c>
      <c r="Y1407" s="191">
        <f>IF($X1407="Pass",$H1407, IF(H1407="L","I", IF(H1407="U","L", IF(H1407="O","U", "I"))))</f>
        <v/>
      </c>
      <c r="Z1407" s="182" t="n"/>
    </row>
    <row r="1408">
      <c r="A1408" s="185">
        <f>ROW()-2</f>
        <v/>
      </c>
      <c r="B1408" s="133" t="inlineStr">
        <is>
          <t>PK1398</t>
        </is>
      </c>
      <c r="C1408" s="148" t="inlineStr">
        <is>
          <t>MAHARAJAN C</t>
        </is>
      </c>
      <c r="D1408" s="133" t="inlineStr">
        <is>
          <t>QUALITY CONTROL</t>
        </is>
      </c>
      <c r="E1408" s="186" t="inlineStr">
        <is>
          <t>Solid tire QA</t>
        </is>
      </c>
      <c r="F1408" s="187" t="n">
        <v>44705</v>
      </c>
      <c r="G1408" s="188">
        <f>NOW()-F1408</f>
        <v/>
      </c>
      <c r="H1408" s="189" t="inlineStr">
        <is>
          <t>O</t>
        </is>
      </c>
      <c r="I1408" s="189" t="inlineStr">
        <is>
          <t>O</t>
        </is>
      </c>
      <c r="J1408" s="189" t="n">
        <v>10</v>
      </c>
      <c r="K1408" s="189" t="n">
        <v>17</v>
      </c>
      <c r="L1408" s="189" t="n">
        <v>0</v>
      </c>
      <c r="M1408" s="189" t="n">
        <v>9</v>
      </c>
      <c r="N1408" s="189" t="n"/>
      <c r="O1408" s="189">
        <f>SUM(J1408:N1408)</f>
        <v/>
      </c>
      <c r="P1408" s="190">
        <f>O1408/IF(H1408="L",20,IF(H1408="U",30,IF(H1408="O",40,IF(H1408="I",20,""))))</f>
        <v/>
      </c>
      <c r="Q1408" s="190">
        <f>IF(AND(H1408="L", P1408&gt;=50%), "Pass", IF(AND(H1408="U", P1408&gt;=60%), "Pass", IF(AND(H1408="O", P1408&gt;=75%), "Pass", "Fail")))</f>
        <v/>
      </c>
      <c r="R1408" s="189" t="n"/>
      <c r="S1408" s="189" t="n">
        <v>15</v>
      </c>
      <c r="T1408" s="189" t="n">
        <v>15</v>
      </c>
      <c r="U1408" s="189">
        <f>SUM(S1408:T1408)</f>
        <v/>
      </c>
      <c r="V1408" s="190">
        <f>U1408/IF(H1408="L",35,IF(H1408="U",35,IF(H1408="O",35,IF(H1408="I",35,""))))</f>
        <v/>
      </c>
      <c r="W1408" s="190">
        <f>IF(AND(H1408="L", V1408&gt;=50%), "Pass", IF(AND(H1408="U", V1408&gt;=60%), "Pass", IF(AND(H1408="O", V1408&gt;=75%), "Pass", "Fail")))</f>
        <v/>
      </c>
      <c r="X1408" s="190">
        <f>IF(AND(Q1408="Pass", W1408="Pass"), "Pass", "Fail")</f>
        <v/>
      </c>
      <c r="Y1408" s="191">
        <f>IF($X1408="Pass",$H1408, IF(H1408="L","I", IF(H1408="U","L", IF(H1408="O","U", "I"))))</f>
        <v/>
      </c>
      <c r="Z1408" s="182" t="n"/>
    </row>
    <row r="1409">
      <c r="A1409" s="185">
        <f>ROW()-2</f>
        <v/>
      </c>
      <c r="B1409" s="133" t="inlineStr">
        <is>
          <t>PK1614</t>
        </is>
      </c>
      <c r="C1409" s="148" t="inlineStr">
        <is>
          <t>AMIT ORAON</t>
        </is>
      </c>
      <c r="D1409" s="133" t="inlineStr">
        <is>
          <t>QUALITY CONTROL</t>
        </is>
      </c>
      <c r="E1409" s="186" t="inlineStr">
        <is>
          <t>Solid tire QA</t>
        </is>
      </c>
      <c r="F1409" s="187" t="n">
        <v>45824</v>
      </c>
      <c r="G1409" s="188">
        <f>NOW()-F1409</f>
        <v/>
      </c>
      <c r="H1409" s="189" t="inlineStr">
        <is>
          <t>U</t>
        </is>
      </c>
      <c r="I1409" s="189" t="inlineStr">
        <is>
          <t>L</t>
        </is>
      </c>
      <c r="J1409" s="189" t="n">
        <v>5</v>
      </c>
      <c r="K1409" s="189" t="n">
        <v>7</v>
      </c>
      <c r="L1409" s="189" t="n">
        <v>0</v>
      </c>
      <c r="M1409" s="189" t="n">
        <v>5</v>
      </c>
      <c r="N1409" s="189" t="n"/>
      <c r="O1409" s="189">
        <f>SUM(J1409:N1409)</f>
        <v/>
      </c>
      <c r="P1409" s="190">
        <f>O1409/IF(H1409="L",20,IF(H1409="U",30,IF(H1409="O",40,IF(H1409="I",20,""))))</f>
        <v/>
      </c>
      <c r="Q1409" s="190">
        <f>IF(AND(H1409="L", P1409&gt;=50%), "Pass", IF(AND(H1409="U", P1409&gt;=60%), "Pass", IF(AND(H1409="O", P1409&gt;=75%), "Pass", "Fail")))</f>
        <v/>
      </c>
      <c r="R1409" s="189" t="n"/>
      <c r="S1409" s="189" t="n">
        <v>15</v>
      </c>
      <c r="T1409" s="189" t="n">
        <v>15</v>
      </c>
      <c r="U1409" s="189">
        <f>SUM(S1409:T1409)</f>
        <v/>
      </c>
      <c r="V1409" s="190">
        <f>U1409/IF(H1409="L",35,IF(H1409="U",35,IF(H1409="O",35,IF(H1409="I",35,""))))</f>
        <v/>
      </c>
      <c r="W1409" s="190">
        <f>IF(AND(H1409="L", V1409&gt;=50%), "Pass", IF(AND(H1409="U", V1409&gt;=60%), "Pass", IF(AND(H1409="O", V1409&gt;=75%), "Pass", "Fail")))</f>
        <v/>
      </c>
      <c r="X1409" s="190">
        <f>IF(AND(Q1409="Pass", W1409="Pass"), "Pass", "Fail")</f>
        <v/>
      </c>
      <c r="Y1409" s="191">
        <f>IF($X1409="Pass",$H1409, IF(H1409="L","I", IF(H1409="U","L", IF(H1409="O","U", "I"))))</f>
        <v/>
      </c>
      <c r="Z1409" s="182" t="n"/>
    </row>
    <row r="1410">
      <c r="A1410" s="185">
        <f>ROW()-2</f>
        <v/>
      </c>
      <c r="B1410" s="133" t="inlineStr">
        <is>
          <t>SR1596</t>
        </is>
      </c>
      <c r="C1410" s="148" t="inlineStr">
        <is>
          <t>KRISHNA MOORTHI V</t>
        </is>
      </c>
      <c r="D1410" s="133" t="inlineStr">
        <is>
          <t>QUALITY CONTROL</t>
        </is>
      </c>
      <c r="E1410" s="186" t="inlineStr">
        <is>
          <t>Solid tire QA</t>
        </is>
      </c>
      <c r="F1410" s="187" t="n">
        <v>46209</v>
      </c>
      <c r="G1410" s="188">
        <f>NOW()-F1410</f>
        <v/>
      </c>
      <c r="H1410" s="189" t="inlineStr">
        <is>
          <t>L</t>
        </is>
      </c>
      <c r="I1410" s="189" t="inlineStr">
        <is>
          <t>I</t>
        </is>
      </c>
      <c r="J1410" s="189" t="n"/>
      <c r="K1410" s="189" t="n"/>
      <c r="L1410" s="189" t="n"/>
      <c r="M1410" s="189" t="n"/>
      <c r="N1410" s="189" t="n"/>
      <c r="O1410" s="189">
        <f>SUM(J1410:N1410)</f>
        <v/>
      </c>
      <c r="P1410" s="190">
        <f>O1410/IF(H1410="L",20,IF(H1410="U",30,IF(H1410="O",40,IF(H1410="I",20,""))))</f>
        <v/>
      </c>
      <c r="Q1410" s="190">
        <f>IF(AND(H1410="L", P1410&gt;=50%), "Pass", IF(AND(H1410="U", P1410&gt;=60%), "Pass", IF(AND(H1410="O", P1410&gt;=75%), "Pass", "Fail")))</f>
        <v/>
      </c>
      <c r="R1410" s="189" t="n"/>
      <c r="S1410" s="189" t="n"/>
      <c r="T1410" s="189" t="n"/>
      <c r="U1410" s="189">
        <f>SUM(S1410:T1410)</f>
        <v/>
      </c>
      <c r="V1410" s="190">
        <f>U1410/IF(H1410="L",35,IF(H1410="U",35,IF(H1410="O",35,IF(H1410="I",35,""))))</f>
        <v/>
      </c>
      <c r="W1410" s="190">
        <f>IF(AND(H1410="L", V1410&gt;=50%), "Pass", IF(AND(H1410="U", V1410&gt;=60%), "Pass", IF(AND(H1410="O", V1410&gt;=75%), "Pass", "Fail")))</f>
        <v/>
      </c>
      <c r="X1410" s="190">
        <f>IF(AND(Q1410="Pass", W1410="Pass"), "Pass", "Fail")</f>
        <v/>
      </c>
      <c r="Y1410" s="191">
        <f>IF($X1410="Pass",$H1410, IF(H1410="L","I", IF(H1410="U","L", IF(H1410="O","U", "I"))))</f>
        <v/>
      </c>
      <c r="Z1410" s="182" t="n"/>
    </row>
    <row r="1411">
      <c r="A1411" s="185">
        <f>ROW()-2</f>
        <v/>
      </c>
      <c r="B1411" s="133" t="inlineStr">
        <is>
          <t>900141</t>
        </is>
      </c>
      <c r="C1411" s="148" t="inlineStr">
        <is>
          <t>V. JOSEPH RAJ</t>
        </is>
      </c>
      <c r="D1411" s="133" t="inlineStr">
        <is>
          <t>QUALITY CONTROL</t>
        </is>
      </c>
      <c r="E1411" s="186" t="inlineStr">
        <is>
          <t>Warehouse QA</t>
        </is>
      </c>
      <c r="F1411" s="187" t="n">
        <v>40634</v>
      </c>
      <c r="G1411" s="188">
        <f>NOW()-F1411</f>
        <v/>
      </c>
      <c r="H1411" s="189" t="inlineStr">
        <is>
          <t>O</t>
        </is>
      </c>
      <c r="I1411" s="189" t="inlineStr">
        <is>
          <t>O</t>
        </is>
      </c>
      <c r="J1411" s="189" t="n">
        <v>3</v>
      </c>
      <c r="K1411" s="189" t="n">
        <v>5</v>
      </c>
      <c r="L1411" s="189" t="n">
        <v>0</v>
      </c>
      <c r="M1411" s="189" t="n">
        <v>2</v>
      </c>
      <c r="N1411" s="189" t="n"/>
      <c r="O1411" s="189">
        <f>SUM(J1411:N1411)</f>
        <v/>
      </c>
      <c r="P1411" s="190">
        <f>O1411/IF(H1411="L",20,IF(H1411="U",30,IF(H1411="O",40,IF(H1411="I",20,""))))</f>
        <v/>
      </c>
      <c r="Q1411" s="190">
        <f>IF(AND(H1411="L", P1411&gt;=50%), "Pass", IF(AND(H1411="U", P1411&gt;=60%), "Pass", IF(AND(H1411="O", P1411&gt;=75%), "Pass", "Fail")))</f>
        <v/>
      </c>
      <c r="R1411" s="189" t="n"/>
      <c r="S1411" s="189" t="n">
        <v>15</v>
      </c>
      <c r="T1411" s="189" t="n">
        <v>15</v>
      </c>
      <c r="U1411" s="189">
        <f>SUM(S1411:T1411)</f>
        <v/>
      </c>
      <c r="V1411" s="190">
        <f>U1411/IF(H1411="L",35,IF(H1411="U",35,IF(H1411="O",35,IF(H1411="I",35,""))))</f>
        <v/>
      </c>
      <c r="W1411" s="190">
        <f>IF(AND(H1411="L", V1411&gt;=50%), "Pass", IF(AND(H1411="U", V1411&gt;=60%), "Pass", IF(AND(H1411="O", V1411&gt;=75%), "Pass", "Fail")))</f>
        <v/>
      </c>
      <c r="X1411" s="190">
        <f>IF(AND(Q1411="Pass", W1411="Pass"), "Pass", "Fail")</f>
        <v/>
      </c>
      <c r="Y1411" s="191">
        <f>IF($X1411="Pass",$H1411, IF(H1411="L","I", IF(H1411="U","L", IF(H1411="O","U", "I"))))</f>
        <v/>
      </c>
      <c r="Z1411" s="182" t="n"/>
    </row>
    <row r="1412">
      <c r="A1412" s="185">
        <f>ROW()-2</f>
        <v/>
      </c>
      <c r="B1412" s="133" t="inlineStr">
        <is>
          <t>900259</t>
        </is>
      </c>
      <c r="C1412" s="148" t="inlineStr">
        <is>
          <t>G. MURUGAIAH PANDIAN</t>
        </is>
      </c>
      <c r="D1412" s="133" t="inlineStr">
        <is>
          <t>QUALITY CONTROL</t>
        </is>
      </c>
      <c r="E1412" s="186" t="inlineStr">
        <is>
          <t>Warehouse QA</t>
        </is>
      </c>
      <c r="F1412" s="187" t="n">
        <v>40634</v>
      </c>
      <c r="G1412" s="188">
        <f>NOW()-F1412</f>
        <v/>
      </c>
      <c r="H1412" s="189" t="inlineStr">
        <is>
          <t>O</t>
        </is>
      </c>
      <c r="I1412" s="189" t="inlineStr">
        <is>
          <t>O</t>
        </is>
      </c>
      <c r="J1412" s="189" t="n">
        <v>10</v>
      </c>
      <c r="K1412" s="189" t="n">
        <v>16</v>
      </c>
      <c r="L1412" s="189" t="n">
        <v>0</v>
      </c>
      <c r="M1412" s="189" t="n">
        <v>10</v>
      </c>
      <c r="N1412" s="189" t="n"/>
      <c r="O1412" s="189">
        <f>SUM(J1412:N1412)</f>
        <v/>
      </c>
      <c r="P1412" s="190">
        <f>O1412/IF(H1412="L",20,IF(H1412="U",30,IF(H1412="O",40,IF(H1412="I",20,""))))</f>
        <v/>
      </c>
      <c r="Q1412" s="190">
        <f>IF(AND(H1412="L", P1412&gt;=50%), "Pass", IF(AND(H1412="U", P1412&gt;=60%), "Pass", IF(AND(H1412="O", P1412&gt;=75%), "Pass", "Fail")))</f>
        <v/>
      </c>
      <c r="R1412" s="189" t="n"/>
      <c r="S1412" s="189" t="n">
        <v>15</v>
      </c>
      <c r="T1412" s="189" t="n">
        <v>15</v>
      </c>
      <c r="U1412" s="189">
        <f>SUM(S1412:T1412)</f>
        <v/>
      </c>
      <c r="V1412" s="190">
        <f>U1412/IF(H1412="L",35,IF(H1412="U",35,IF(H1412="O",35,IF(H1412="I",35,""))))</f>
        <v/>
      </c>
      <c r="W1412" s="190">
        <f>IF(AND(H1412="L", V1412&gt;=50%), "Pass", IF(AND(H1412="U", V1412&gt;=60%), "Pass", IF(AND(H1412="O", V1412&gt;=75%), "Pass", "Fail")))</f>
        <v/>
      </c>
      <c r="X1412" s="190">
        <f>IF(AND(Q1412="Pass", W1412="Pass"), "Pass", "Fail")</f>
        <v/>
      </c>
      <c r="Y1412" s="191">
        <f>IF($X1412="Pass",$H1412, IF(H1412="L","I", IF(H1412="U","L", IF(H1412="O","U", "I"))))</f>
        <v/>
      </c>
      <c r="Z1412" s="182" t="n"/>
    </row>
    <row r="1413">
      <c r="A1413" s="185">
        <f>ROW()-2</f>
        <v/>
      </c>
      <c r="B1413" s="133" t="inlineStr">
        <is>
          <t>900261</t>
        </is>
      </c>
      <c r="C1413" s="148" t="inlineStr">
        <is>
          <t>P. PARAMASIVAN</t>
        </is>
      </c>
      <c r="D1413" s="133" t="inlineStr">
        <is>
          <t>QUALITY CONTROL</t>
        </is>
      </c>
      <c r="E1413" s="186" t="inlineStr">
        <is>
          <t>Warehouse QA</t>
        </is>
      </c>
      <c r="F1413" s="187" t="n">
        <v>40634</v>
      </c>
      <c r="G1413" s="188">
        <f>NOW()-F1413</f>
        <v/>
      </c>
      <c r="H1413" s="189" t="inlineStr">
        <is>
          <t>O</t>
        </is>
      </c>
      <c r="I1413" s="189" t="inlineStr">
        <is>
          <t>O</t>
        </is>
      </c>
      <c r="J1413" s="189" t="n">
        <v>10</v>
      </c>
      <c r="K1413" s="189" t="n">
        <v>17</v>
      </c>
      <c r="L1413" s="189" t="n">
        <v>0</v>
      </c>
      <c r="M1413" s="189" t="n">
        <v>10</v>
      </c>
      <c r="N1413" s="189" t="n"/>
      <c r="O1413" s="189">
        <f>SUM(J1413:N1413)</f>
        <v/>
      </c>
      <c r="P1413" s="190">
        <f>O1413/IF(H1413="L",20,IF(H1413="U",30,IF(H1413="O",40,IF(H1413="I",20,""))))</f>
        <v/>
      </c>
      <c r="Q1413" s="190">
        <f>IF(AND(H1413="L", P1413&gt;=50%), "Pass", IF(AND(H1413="U", P1413&gt;=60%), "Pass", IF(AND(H1413="O", P1413&gt;=75%), "Pass", "Fail")))</f>
        <v/>
      </c>
      <c r="R1413" s="189" t="n"/>
      <c r="S1413" s="189" t="n">
        <v>15</v>
      </c>
      <c r="T1413" s="189" t="n">
        <v>15</v>
      </c>
      <c r="U1413" s="189">
        <f>SUM(S1413:T1413)</f>
        <v/>
      </c>
      <c r="V1413" s="190">
        <f>U1413/IF(H1413="L",35,IF(H1413="U",35,IF(H1413="O",35,IF(H1413="I",35,""))))</f>
        <v/>
      </c>
      <c r="W1413" s="190">
        <f>IF(AND(H1413="L", V1413&gt;=50%), "Pass", IF(AND(H1413="U", V1413&gt;=60%), "Pass", IF(AND(H1413="O", V1413&gt;=75%), "Pass", "Fail")))</f>
        <v/>
      </c>
      <c r="X1413" s="190">
        <f>IF(AND(Q1413="Pass", W1413="Pass"), "Pass", "Fail")</f>
        <v/>
      </c>
      <c r="Y1413" s="191">
        <f>IF($X1413="Pass",$H1413, IF(H1413="L","I", IF(H1413="U","L", IF(H1413="O","U", "I"))))</f>
        <v/>
      </c>
      <c r="Z1413" s="182" t="n"/>
    </row>
    <row r="1414">
      <c r="A1414" s="185">
        <f>ROW()-2</f>
        <v/>
      </c>
      <c r="B1414" s="133" t="inlineStr">
        <is>
          <t>900444</t>
        </is>
      </c>
      <c r="C1414" s="148" t="inlineStr">
        <is>
          <t>S. BALU</t>
        </is>
      </c>
      <c r="D1414" s="133" t="inlineStr">
        <is>
          <t>QUALITY CONTROL</t>
        </is>
      </c>
      <c r="E1414" s="186" t="inlineStr">
        <is>
          <t>Warehouse QA</t>
        </is>
      </c>
      <c r="F1414" s="187" t="n">
        <v>41000</v>
      </c>
      <c r="G1414" s="188">
        <f>NOW()-F1414</f>
        <v/>
      </c>
      <c r="H1414" s="189" t="inlineStr">
        <is>
          <t>O</t>
        </is>
      </c>
      <c r="I1414" s="189" t="inlineStr">
        <is>
          <t>O</t>
        </is>
      </c>
      <c r="J1414" s="189" t="n">
        <v>10</v>
      </c>
      <c r="K1414" s="189" t="n">
        <v>16</v>
      </c>
      <c r="L1414" s="189" t="n">
        <v>0</v>
      </c>
      <c r="M1414" s="189" t="n">
        <v>10</v>
      </c>
      <c r="N1414" s="189" t="n"/>
      <c r="O1414" s="189">
        <f>SUM(J1414:N1414)</f>
        <v/>
      </c>
      <c r="P1414" s="190">
        <f>O1414/IF(H1414="L",20,IF(H1414="U",30,IF(H1414="O",40,IF(H1414="I",20,""))))</f>
        <v/>
      </c>
      <c r="Q1414" s="190">
        <f>IF(AND(H1414="L", P1414&gt;=50%), "Pass", IF(AND(H1414="U", P1414&gt;=60%), "Pass", IF(AND(H1414="O", P1414&gt;=75%), "Pass", "Fail")))</f>
        <v/>
      </c>
      <c r="R1414" s="189" t="n"/>
      <c r="S1414" s="189" t="n">
        <v>15</v>
      </c>
      <c r="T1414" s="189" t="n">
        <v>15</v>
      </c>
      <c r="U1414" s="189">
        <f>SUM(S1414:T1414)</f>
        <v/>
      </c>
      <c r="V1414" s="190">
        <f>U1414/IF(H1414="L",35,IF(H1414="U",35,IF(H1414="O",35,IF(H1414="I",35,""))))</f>
        <v/>
      </c>
      <c r="W1414" s="190">
        <f>IF(AND(H1414="L", V1414&gt;=50%), "Pass", IF(AND(H1414="U", V1414&gt;=60%), "Pass", IF(AND(H1414="O", V1414&gt;=75%), "Pass", "Fail")))</f>
        <v/>
      </c>
      <c r="X1414" s="190">
        <f>IF(AND(Q1414="Pass", W1414="Pass"), "Pass", "Fail")</f>
        <v/>
      </c>
      <c r="Y1414" s="191">
        <f>IF($X1414="Pass",$H1414, IF(H1414="L","I", IF(H1414="U","L", IF(H1414="O","U", "I"))))</f>
        <v/>
      </c>
      <c r="Z1414" s="182" t="n"/>
    </row>
    <row r="1415">
      <c r="A1415" s="185">
        <f>ROW()-2</f>
        <v/>
      </c>
      <c r="B1415" s="133" t="inlineStr">
        <is>
          <t>900596</t>
        </is>
      </c>
      <c r="C1415" s="148" t="inlineStr">
        <is>
          <t>K. ESAKKI MUTHU</t>
        </is>
      </c>
      <c r="D1415" s="133" t="inlineStr">
        <is>
          <t>QUALITY CONTROL</t>
        </is>
      </c>
      <c r="E1415" s="186" t="inlineStr">
        <is>
          <t>Warehouse QA</t>
        </is>
      </c>
      <c r="F1415" s="187" t="n">
        <v>41365</v>
      </c>
      <c r="G1415" s="188">
        <f>NOW()-F1415</f>
        <v/>
      </c>
      <c r="H1415" s="189" t="inlineStr">
        <is>
          <t>O</t>
        </is>
      </c>
      <c r="I1415" s="189" t="inlineStr">
        <is>
          <t>O</t>
        </is>
      </c>
      <c r="J1415" s="189" t="n">
        <v>10</v>
      </c>
      <c r="K1415" s="189" t="n">
        <v>17</v>
      </c>
      <c r="L1415" s="189" t="n">
        <v>0</v>
      </c>
      <c r="M1415" s="189" t="n">
        <v>10</v>
      </c>
      <c r="N1415" s="189" t="n"/>
      <c r="O1415" s="189">
        <f>SUM(J1415:N1415)</f>
        <v/>
      </c>
      <c r="P1415" s="190">
        <f>O1415/IF(H1415="L",20,IF(H1415="U",30,IF(H1415="O",40,IF(H1415="I",20,""))))</f>
        <v/>
      </c>
      <c r="Q1415" s="190">
        <f>IF(AND(H1415="L", P1415&gt;=50%), "Pass", IF(AND(H1415="U", P1415&gt;=60%), "Pass", IF(AND(H1415="O", P1415&gt;=75%), "Pass", "Fail")))</f>
        <v/>
      </c>
      <c r="R1415" s="189" t="n"/>
      <c r="S1415" s="189" t="n">
        <v>15</v>
      </c>
      <c r="T1415" s="189" t="n">
        <v>15</v>
      </c>
      <c r="U1415" s="189">
        <f>SUM(S1415:T1415)</f>
        <v/>
      </c>
      <c r="V1415" s="190">
        <f>U1415/IF(H1415="L",35,IF(H1415="U",35,IF(H1415="O",35,IF(H1415="I",35,""))))</f>
        <v/>
      </c>
      <c r="W1415" s="190">
        <f>IF(AND(H1415="L", V1415&gt;=50%), "Pass", IF(AND(H1415="U", V1415&gt;=60%), "Pass", IF(AND(H1415="O", V1415&gt;=75%), "Pass", "Fail")))</f>
        <v/>
      </c>
      <c r="X1415" s="190">
        <f>IF(AND(Q1415="Pass", W1415="Pass"), "Pass", "Fail")</f>
        <v/>
      </c>
      <c r="Y1415" s="191">
        <f>IF($X1415="Pass",$H1415, IF(H1415="L","I", IF(H1415="U","L", IF(H1415="O","U", "I"))))</f>
        <v/>
      </c>
      <c r="Z1415" s="182" t="n"/>
    </row>
    <row r="1416">
      <c r="A1416" s="185">
        <f>ROW()-2</f>
        <v/>
      </c>
      <c r="B1416" s="133" t="inlineStr">
        <is>
          <t>900599</t>
        </is>
      </c>
      <c r="C1416" s="148" t="inlineStr">
        <is>
          <t>B. ARUNACHALAM</t>
        </is>
      </c>
      <c r="D1416" s="133" t="inlineStr">
        <is>
          <t>QUALITY CONTROL</t>
        </is>
      </c>
      <c r="E1416" s="186" t="inlineStr">
        <is>
          <t>Warehouse QA</t>
        </is>
      </c>
      <c r="F1416" s="187" t="n">
        <v>41365</v>
      </c>
      <c r="G1416" s="188">
        <f>NOW()-F1416</f>
        <v/>
      </c>
      <c r="H1416" s="189" t="inlineStr">
        <is>
          <t>O</t>
        </is>
      </c>
      <c r="I1416" s="189" t="inlineStr">
        <is>
          <t>O</t>
        </is>
      </c>
      <c r="J1416" s="189" t="n">
        <v>10</v>
      </c>
      <c r="K1416" s="189" t="n">
        <v>14</v>
      </c>
      <c r="L1416" s="189" t="n">
        <v>0</v>
      </c>
      <c r="M1416" s="189" t="n">
        <v>10</v>
      </c>
      <c r="N1416" s="189" t="n"/>
      <c r="O1416" s="189">
        <f>SUM(J1416:N1416)</f>
        <v/>
      </c>
      <c r="P1416" s="190">
        <f>O1416/IF(H1416="L",20,IF(H1416="U",30,IF(H1416="O",40,IF(H1416="I",20,""))))</f>
        <v/>
      </c>
      <c r="Q1416" s="190">
        <f>IF(AND(H1416="L", P1416&gt;=50%), "Pass", IF(AND(H1416="U", P1416&gt;=60%), "Pass", IF(AND(H1416="O", P1416&gt;=75%), "Pass", "Fail")))</f>
        <v/>
      </c>
      <c r="R1416" s="189" t="n"/>
      <c r="S1416" s="189" t="n">
        <v>15</v>
      </c>
      <c r="T1416" s="189" t="n">
        <v>15</v>
      </c>
      <c r="U1416" s="189">
        <f>SUM(S1416:T1416)</f>
        <v/>
      </c>
      <c r="V1416" s="190">
        <f>U1416/IF(H1416="L",35,IF(H1416="U",35,IF(H1416="O",35,IF(H1416="I",35,""))))</f>
        <v/>
      </c>
      <c r="W1416" s="190">
        <f>IF(AND(H1416="L", V1416&gt;=50%), "Pass", IF(AND(H1416="U", V1416&gt;=60%), "Pass", IF(AND(H1416="O", V1416&gt;=75%), "Pass", "Fail")))</f>
        <v/>
      </c>
      <c r="X1416" s="190">
        <f>IF(AND(Q1416="Pass", W1416="Pass"), "Pass", "Fail")</f>
        <v/>
      </c>
      <c r="Y1416" s="191">
        <f>IF($X1416="Pass",$H1416, IF(H1416="L","I", IF(H1416="U","L", IF(H1416="O","U", "I"))))</f>
        <v/>
      </c>
      <c r="Z1416" s="182" t="n"/>
    </row>
    <row r="1417">
      <c r="A1417" s="185">
        <f>ROW()-2</f>
        <v/>
      </c>
      <c r="B1417" s="133" t="inlineStr">
        <is>
          <t>IPF0050</t>
        </is>
      </c>
      <c r="C1417" s="148" t="inlineStr">
        <is>
          <t>MARIMUTHU K</t>
        </is>
      </c>
      <c r="D1417" s="133" t="inlineStr">
        <is>
          <t>QUALITY CONTROL</t>
        </is>
      </c>
      <c r="E1417" s="186" t="inlineStr">
        <is>
          <t>Warehouse QA</t>
        </is>
      </c>
      <c r="F1417" s="187" t="n">
        <v>46238</v>
      </c>
      <c r="G1417" s="188">
        <f>NOW()-F1417</f>
        <v/>
      </c>
      <c r="H1417" s="189" t="inlineStr">
        <is>
          <t>L</t>
        </is>
      </c>
      <c r="I1417" s="189" t="inlineStr">
        <is>
          <t>I</t>
        </is>
      </c>
      <c r="J1417" s="189" t="n"/>
      <c r="K1417" s="189" t="n"/>
      <c r="L1417" s="189" t="n"/>
      <c r="M1417" s="189" t="n"/>
      <c r="N1417" s="189" t="n"/>
      <c r="O1417" s="189">
        <f>SUM(J1417:N1417)</f>
        <v/>
      </c>
      <c r="P1417" s="190">
        <f>O1417/IF(H1417="L",20,IF(H1417="U",30,IF(H1417="O",40,IF(H1417="I",20,""))))</f>
        <v/>
      </c>
      <c r="Q1417" s="190">
        <f>IF(AND(H1417="L", P1417&gt;=50%), "Pass", IF(AND(H1417="U", P1417&gt;=60%), "Pass", IF(AND(H1417="O", P1417&gt;=75%), "Pass", "Fail")))</f>
        <v/>
      </c>
      <c r="R1417" s="189" t="n"/>
      <c r="S1417" s="189" t="n"/>
      <c r="T1417" s="189" t="n"/>
      <c r="U1417" s="189">
        <f>SUM(S1417:T1417)</f>
        <v/>
      </c>
      <c r="V1417" s="190">
        <f>U1417/IF(H1417="L",35,IF(H1417="U",35,IF(H1417="O",35,IF(H1417="I",35,""))))</f>
        <v/>
      </c>
      <c r="W1417" s="190">
        <f>IF(AND(H1417="L", V1417&gt;=50%), "Pass", IF(AND(H1417="U", V1417&gt;=60%), "Pass", IF(AND(H1417="O", V1417&gt;=75%), "Pass", "Fail")))</f>
        <v/>
      </c>
      <c r="X1417" s="190">
        <f>IF(AND(Q1417="Pass", W1417="Pass"), "Pass", "Fail")</f>
        <v/>
      </c>
      <c r="Y1417" s="191">
        <f>IF($X1417="Pass",$H1417, IF(H1417="L","I", IF(H1417="U","L", IF(H1417="O","U", "I"))))</f>
        <v/>
      </c>
      <c r="Z1417" s="182" t="n"/>
    </row>
    <row r="1418">
      <c r="A1418" s="185">
        <f>ROW()-2</f>
        <v/>
      </c>
      <c r="B1418" s="133" t="inlineStr">
        <is>
          <t>IPF0052</t>
        </is>
      </c>
      <c r="C1418" s="148" t="inlineStr">
        <is>
          <t>VANDIMALAIYAN K</t>
        </is>
      </c>
      <c r="D1418" s="133" t="inlineStr">
        <is>
          <t>QUALITY CONTROL</t>
        </is>
      </c>
      <c r="E1418" s="186" t="inlineStr">
        <is>
          <t>Warehouse QA</t>
        </is>
      </c>
      <c r="F1418" s="187" t="n">
        <v>46244</v>
      </c>
      <c r="G1418" s="188">
        <f>NOW()-F1418</f>
        <v/>
      </c>
      <c r="H1418" s="189" t="inlineStr">
        <is>
          <t>L</t>
        </is>
      </c>
      <c r="I1418" s="189" t="inlineStr">
        <is>
          <t>I</t>
        </is>
      </c>
      <c r="J1418" s="189" t="n"/>
      <c r="K1418" s="189" t="n"/>
      <c r="L1418" s="189" t="n"/>
      <c r="M1418" s="189" t="n"/>
      <c r="N1418" s="189" t="n"/>
      <c r="O1418" s="189">
        <f>SUM(J1418:N1418)</f>
        <v/>
      </c>
      <c r="P1418" s="190">
        <f>O1418/IF(H1418="L",20,IF(H1418="U",30,IF(H1418="O",40,IF(H1418="I",20,""))))</f>
        <v/>
      </c>
      <c r="Q1418" s="190">
        <f>IF(AND(H1418="L", P1418&gt;=50%), "Pass", IF(AND(H1418="U", P1418&gt;=60%), "Pass", IF(AND(H1418="O", P1418&gt;=75%), "Pass", "Fail")))</f>
        <v/>
      </c>
      <c r="R1418" s="189" t="n"/>
      <c r="S1418" s="189" t="n"/>
      <c r="T1418" s="189" t="n"/>
      <c r="U1418" s="189">
        <f>SUM(S1418:T1418)</f>
        <v/>
      </c>
      <c r="V1418" s="190">
        <f>U1418/IF(H1418="L",35,IF(H1418="U",35,IF(H1418="O",35,IF(H1418="I",35,""))))</f>
        <v/>
      </c>
      <c r="W1418" s="190">
        <f>IF(AND(H1418="L", V1418&gt;=50%), "Pass", IF(AND(H1418="U", V1418&gt;=60%), "Pass", IF(AND(H1418="O", V1418&gt;=75%), "Pass", "Fail")))</f>
        <v/>
      </c>
      <c r="X1418" s="190">
        <f>IF(AND(Q1418="Pass", W1418="Pass"), "Pass", "Fail")</f>
        <v/>
      </c>
      <c r="Y1418" s="191">
        <f>IF($X1418="Pass",$H1418, IF(H1418="L","I", IF(H1418="U","L", IF(H1418="O","U", "I"))))</f>
        <v/>
      </c>
      <c r="Z1418" s="182" t="n"/>
    </row>
    <row r="1419">
      <c r="A1419" s="185">
        <f>ROW()-2</f>
        <v/>
      </c>
      <c r="B1419" s="133" t="inlineStr">
        <is>
          <t>IPF0072</t>
        </is>
      </c>
      <c r="C1419" s="148" t="inlineStr">
        <is>
          <t>K.R.PRAVEEN KUMAR</t>
        </is>
      </c>
      <c r="D1419" s="133" t="inlineStr">
        <is>
          <t>QUALITY CONTROL</t>
        </is>
      </c>
      <c r="E1419" s="186" t="inlineStr">
        <is>
          <t>Warehouse QA</t>
        </is>
      </c>
      <c r="F1419" s="187" t="n">
        <v>46252</v>
      </c>
      <c r="G1419" s="188">
        <f>NOW()-F1419</f>
        <v/>
      </c>
      <c r="H1419" s="189" t="inlineStr">
        <is>
          <t>L</t>
        </is>
      </c>
      <c r="I1419" s="189" t="inlineStr">
        <is>
          <t>I</t>
        </is>
      </c>
      <c r="J1419" s="189" t="n"/>
      <c r="K1419" s="189" t="n"/>
      <c r="L1419" s="189" t="n"/>
      <c r="M1419" s="189" t="n"/>
      <c r="N1419" s="189" t="n"/>
      <c r="O1419" s="189">
        <f>SUM(J1419:N1419)</f>
        <v/>
      </c>
      <c r="P1419" s="190">
        <f>O1419/IF(H1419="L",20,IF(H1419="U",30,IF(H1419="O",40,IF(H1419="I",20,""))))</f>
        <v/>
      </c>
      <c r="Q1419" s="190">
        <f>IF(AND(H1419="L", P1419&gt;=50%), "Pass", IF(AND(H1419="U", P1419&gt;=60%), "Pass", IF(AND(H1419="O", P1419&gt;=75%), "Pass", "Fail")))</f>
        <v/>
      </c>
      <c r="R1419" s="189" t="n"/>
      <c r="S1419" s="189" t="n"/>
      <c r="T1419" s="189" t="n"/>
      <c r="U1419" s="189">
        <f>SUM(S1419:T1419)</f>
        <v/>
      </c>
      <c r="V1419" s="190">
        <f>U1419/IF(H1419="L",35,IF(H1419="U",35,IF(H1419="O",35,IF(H1419="I",35,""))))</f>
        <v/>
      </c>
      <c r="W1419" s="190">
        <f>IF(AND(H1419="L", V1419&gt;=50%), "Pass", IF(AND(H1419="U", V1419&gt;=60%), "Pass", IF(AND(H1419="O", V1419&gt;=75%), "Pass", "Fail")))</f>
        <v/>
      </c>
      <c r="X1419" s="190">
        <f>IF(AND(Q1419="Pass", W1419="Pass"), "Pass", "Fail")</f>
        <v/>
      </c>
      <c r="Y1419" s="191">
        <f>IF($X1419="Pass",$H1419, IF(H1419="L","I", IF(H1419="U","L", IF(H1419="O","U", "I"))))</f>
        <v/>
      </c>
      <c r="Z1419" s="182" t="n"/>
    </row>
    <row r="1420">
      <c r="A1420" s="185">
        <f>ROW()-2</f>
        <v/>
      </c>
      <c r="B1420" s="133" t="inlineStr">
        <is>
          <t>LN0091</t>
        </is>
      </c>
      <c r="C1420" s="148" t="inlineStr">
        <is>
          <t>SAKTHI KUMAR K</t>
        </is>
      </c>
      <c r="D1420" s="133" t="inlineStr">
        <is>
          <t>QUALITY CONTROL</t>
        </is>
      </c>
      <c r="E1420" s="186" t="inlineStr">
        <is>
          <t>Warehouse QA</t>
        </is>
      </c>
      <c r="F1420" s="187" t="n">
        <v>45299</v>
      </c>
      <c r="G1420" s="188">
        <f>NOW()-F1420</f>
        <v/>
      </c>
      <c r="H1420" s="189" t="inlineStr">
        <is>
          <t>O</t>
        </is>
      </c>
      <c r="I1420" s="189" t="inlineStr">
        <is>
          <t>U</t>
        </is>
      </c>
      <c r="J1420" s="189" t="n">
        <v>7</v>
      </c>
      <c r="K1420" s="189" t="n">
        <v>12</v>
      </c>
      <c r="L1420" s="189" t="n">
        <v>0</v>
      </c>
      <c r="M1420" s="189" t="n">
        <v>7</v>
      </c>
      <c r="N1420" s="189" t="n"/>
      <c r="O1420" s="189">
        <f>SUM(J1420:N1420)</f>
        <v/>
      </c>
      <c r="P1420" s="190">
        <f>O1420/IF(H1420="L",20,IF(H1420="U",30,IF(H1420="O",40,IF(H1420="I",20,""))))</f>
        <v/>
      </c>
      <c r="Q1420" s="190">
        <f>IF(AND(H1420="L", P1420&gt;=50%), "Pass", IF(AND(H1420="U", P1420&gt;=60%), "Pass", IF(AND(H1420="O", P1420&gt;=75%), "Pass", "Fail")))</f>
        <v/>
      </c>
      <c r="R1420" s="189" t="n"/>
      <c r="S1420" s="189" t="n">
        <v>15</v>
      </c>
      <c r="T1420" s="189" t="n">
        <v>15</v>
      </c>
      <c r="U1420" s="189">
        <f>SUM(S1420:T1420)</f>
        <v/>
      </c>
      <c r="V1420" s="190">
        <f>U1420/IF(H1420="L",35,IF(H1420="U",35,IF(H1420="O",35,IF(H1420="I",35,""))))</f>
        <v/>
      </c>
      <c r="W1420" s="190">
        <f>IF(AND(H1420="L", V1420&gt;=50%), "Pass", IF(AND(H1420="U", V1420&gt;=60%), "Pass", IF(AND(H1420="O", V1420&gt;=75%), "Pass", "Fail")))</f>
        <v/>
      </c>
      <c r="X1420" s="190">
        <f>IF(AND(Q1420="Pass", W1420="Pass"), "Pass", "Fail")</f>
        <v/>
      </c>
      <c r="Y1420" s="191">
        <f>IF($X1420="Pass",$H1420, IF(H1420="L","I", IF(H1420="U","L", IF(H1420="O","U", "I"))))</f>
        <v/>
      </c>
      <c r="Z1420" s="182" t="n"/>
    </row>
    <row r="1421">
      <c r="A1421" s="185">
        <f>ROW()-2</f>
        <v/>
      </c>
      <c r="B1421" s="133" t="inlineStr">
        <is>
          <t>LN0103</t>
        </is>
      </c>
      <c r="C1421" s="148" t="inlineStr">
        <is>
          <t>C THANGARAJ</t>
        </is>
      </c>
      <c r="D1421" s="133" t="inlineStr">
        <is>
          <t>QUALITY CONTROL</t>
        </is>
      </c>
      <c r="E1421" s="186" t="inlineStr">
        <is>
          <t>Warehouse QA</t>
        </is>
      </c>
      <c r="F1421" s="187" t="n">
        <v>45309</v>
      </c>
      <c r="G1421" s="188">
        <f>NOW()-F1421</f>
        <v/>
      </c>
      <c r="H1421" s="189" t="inlineStr">
        <is>
          <t>O</t>
        </is>
      </c>
      <c r="I1421" s="189" t="inlineStr">
        <is>
          <t>U</t>
        </is>
      </c>
      <c r="J1421" s="189" t="n">
        <v>7</v>
      </c>
      <c r="K1421" s="189" t="n">
        <v>12</v>
      </c>
      <c r="L1421" s="189" t="n">
        <v>0</v>
      </c>
      <c r="M1421" s="189" t="n">
        <v>7</v>
      </c>
      <c r="N1421" s="189" t="n"/>
      <c r="O1421" s="189">
        <f>SUM(J1421:N1421)</f>
        <v/>
      </c>
      <c r="P1421" s="190">
        <f>O1421/IF(H1421="L",20,IF(H1421="U",30,IF(H1421="O",40,IF(H1421="I",20,""))))</f>
        <v/>
      </c>
      <c r="Q1421" s="190">
        <f>IF(AND(H1421="L", P1421&gt;=50%), "Pass", IF(AND(H1421="U", P1421&gt;=60%), "Pass", IF(AND(H1421="O", P1421&gt;=75%), "Pass", "Fail")))</f>
        <v/>
      </c>
      <c r="R1421" s="189" t="n"/>
      <c r="S1421" s="189" t="n">
        <v>15</v>
      </c>
      <c r="T1421" s="189" t="n">
        <v>15</v>
      </c>
      <c r="U1421" s="189">
        <f>SUM(S1421:T1421)</f>
        <v/>
      </c>
      <c r="V1421" s="190">
        <f>U1421/IF(H1421="L",35,IF(H1421="U",35,IF(H1421="O",35,IF(H1421="I",35,""))))</f>
        <v/>
      </c>
      <c r="W1421" s="190">
        <f>IF(AND(H1421="L", V1421&gt;=50%), "Pass", IF(AND(H1421="U", V1421&gt;=60%), "Pass", IF(AND(H1421="O", V1421&gt;=75%), "Pass", "Fail")))</f>
        <v/>
      </c>
      <c r="X1421" s="190">
        <f>IF(AND(Q1421="Pass", W1421="Pass"), "Pass", "Fail")</f>
        <v/>
      </c>
      <c r="Y1421" s="191">
        <f>IF($X1421="Pass",$H1421, IF(H1421="L","I", IF(H1421="U","L", IF(H1421="O","U", "I"))))</f>
        <v/>
      </c>
      <c r="Z1421" s="182" t="n"/>
    </row>
    <row r="1422">
      <c r="A1422" s="185">
        <f>ROW()-2</f>
        <v/>
      </c>
      <c r="B1422" s="133" t="inlineStr">
        <is>
          <t>LN0892</t>
        </is>
      </c>
      <c r="C1422" s="148" t="inlineStr">
        <is>
          <t>GURU SANTHOSH</t>
        </is>
      </c>
      <c r="D1422" s="133" t="inlineStr">
        <is>
          <t>QUALITY CONTROL</t>
        </is>
      </c>
      <c r="E1422" s="186" t="inlineStr">
        <is>
          <t>Warehouse QA</t>
        </is>
      </c>
      <c r="F1422" s="187" t="n">
        <v>45810</v>
      </c>
      <c r="G1422" s="188">
        <f>NOW()-F1422</f>
        <v/>
      </c>
      <c r="H1422" s="189" t="inlineStr">
        <is>
          <t>U</t>
        </is>
      </c>
      <c r="I1422" s="189" t="inlineStr">
        <is>
          <t>L</t>
        </is>
      </c>
      <c r="J1422" s="189" t="n"/>
      <c r="K1422" s="189" t="n"/>
      <c r="L1422" s="189" t="n"/>
      <c r="M1422" s="189" t="n"/>
      <c r="N1422" s="189" t="n"/>
      <c r="O1422" s="189">
        <f>SUM(J1422:N1422)</f>
        <v/>
      </c>
      <c r="P1422" s="190">
        <f>O1422/IF(H1422="L",20,IF(H1422="U",30,IF(H1422="O",40,IF(H1422="I",20,""))))</f>
        <v/>
      </c>
      <c r="Q1422" s="190">
        <f>IF(AND(H1422="L", P1422&gt;=50%), "Pass", IF(AND(H1422="U", P1422&gt;=60%), "Pass", IF(AND(H1422="O", P1422&gt;=75%), "Pass", "Fail")))</f>
        <v/>
      </c>
      <c r="R1422" s="189" t="n"/>
      <c r="S1422" s="189" t="n"/>
      <c r="T1422" s="189" t="n"/>
      <c r="U1422" s="189">
        <f>SUM(S1422:T1422)</f>
        <v/>
      </c>
      <c r="V1422" s="190">
        <f>U1422/IF(H1422="L",35,IF(H1422="U",35,IF(H1422="O",35,IF(H1422="I",35,""))))</f>
        <v/>
      </c>
      <c r="W1422" s="190">
        <f>IF(AND(H1422="L", V1422&gt;=50%), "Pass", IF(AND(H1422="U", V1422&gt;=60%), "Pass", IF(AND(H1422="O", V1422&gt;=75%), "Pass", "Fail")))</f>
        <v/>
      </c>
      <c r="X1422" s="190">
        <f>IF(AND(Q1422="Pass", W1422="Pass"), "Pass", "Fail")</f>
        <v/>
      </c>
      <c r="Y1422" s="191">
        <f>IF($X1422="Pass",$H1422, IF(H1422="L","I", IF(H1422="U","L", IF(H1422="O","U", "I"))))</f>
        <v/>
      </c>
      <c r="Z1422" s="182" t="n"/>
    </row>
    <row r="1423">
      <c r="A1423" s="185">
        <f>ROW()-2</f>
        <v/>
      </c>
      <c r="B1423" s="133" t="inlineStr">
        <is>
          <t>MG0156</t>
        </is>
      </c>
      <c r="C1423" s="148" t="inlineStr">
        <is>
          <t>MURUGAN C</t>
        </is>
      </c>
      <c r="D1423" s="133" t="inlineStr">
        <is>
          <t>QUALITY CONTROL</t>
        </is>
      </c>
      <c r="E1423" s="186" t="inlineStr">
        <is>
          <t>Warehouse QA</t>
        </is>
      </c>
      <c r="F1423" s="187" t="n">
        <v>41140</v>
      </c>
      <c r="G1423" s="188">
        <f>NOW()-F1423</f>
        <v/>
      </c>
      <c r="H1423" s="189" t="inlineStr">
        <is>
          <t>O</t>
        </is>
      </c>
      <c r="I1423" s="189" t="inlineStr">
        <is>
          <t>O</t>
        </is>
      </c>
      <c r="J1423" s="189" t="n">
        <v>10</v>
      </c>
      <c r="K1423" s="189" t="n">
        <v>17</v>
      </c>
      <c r="L1423" s="189" t="n">
        <v>0</v>
      </c>
      <c r="M1423" s="189" t="n">
        <v>10</v>
      </c>
      <c r="N1423" s="189" t="n"/>
      <c r="O1423" s="189">
        <f>SUM(J1423:N1423)</f>
        <v/>
      </c>
      <c r="P1423" s="190">
        <f>O1423/IF(H1423="L",20,IF(H1423="U",30,IF(H1423="O",40,IF(H1423="I",20,""))))</f>
        <v/>
      </c>
      <c r="Q1423" s="190">
        <f>IF(AND(H1423="L", P1423&gt;=50%), "Pass", IF(AND(H1423="U", P1423&gt;=60%), "Pass", IF(AND(H1423="O", P1423&gt;=75%), "Pass", "Fail")))</f>
        <v/>
      </c>
      <c r="R1423" s="189" t="n"/>
      <c r="S1423" s="189" t="n">
        <v>15</v>
      </c>
      <c r="T1423" s="189" t="n">
        <v>15</v>
      </c>
      <c r="U1423" s="189">
        <f>SUM(S1423:T1423)</f>
        <v/>
      </c>
      <c r="V1423" s="190">
        <f>U1423/IF(H1423="L",35,IF(H1423="U",35,IF(H1423="O",35,IF(H1423="I",35,""))))</f>
        <v/>
      </c>
      <c r="W1423" s="190">
        <f>IF(AND(H1423="L", V1423&gt;=50%), "Pass", IF(AND(H1423="U", V1423&gt;=60%), "Pass", IF(AND(H1423="O", V1423&gt;=75%), "Pass", "Fail")))</f>
        <v/>
      </c>
      <c r="X1423" s="190">
        <f>IF(AND(Q1423="Pass", W1423="Pass"), "Pass", "Fail")</f>
        <v/>
      </c>
      <c r="Y1423" s="191">
        <f>IF($X1423="Pass",$H1423, IF(H1423="L","I", IF(H1423="U","L", IF(H1423="O","U", "I"))))</f>
        <v/>
      </c>
      <c r="Z1423" s="182" t="n"/>
    </row>
    <row r="1424">
      <c r="A1424" s="185">
        <f>ROW()-2</f>
        <v/>
      </c>
      <c r="B1424" s="133" t="inlineStr">
        <is>
          <t>MG0219</t>
        </is>
      </c>
      <c r="C1424" s="148" t="inlineStr">
        <is>
          <t>SHANMUGAVEL M</t>
        </is>
      </c>
      <c r="D1424" s="133" t="inlineStr">
        <is>
          <t>QUALITY CONTROL</t>
        </is>
      </c>
      <c r="E1424" s="186" t="inlineStr">
        <is>
          <t>Warehouse QA</t>
        </is>
      </c>
      <c r="F1424" s="187" t="n">
        <v>41270</v>
      </c>
      <c r="G1424" s="188">
        <f>NOW()-F1424</f>
        <v/>
      </c>
      <c r="H1424" s="189" t="inlineStr">
        <is>
          <t>O</t>
        </is>
      </c>
      <c r="I1424" s="189" t="inlineStr">
        <is>
          <t>O</t>
        </is>
      </c>
      <c r="J1424" s="189" t="n">
        <v>10</v>
      </c>
      <c r="K1424" s="189" t="n">
        <v>17</v>
      </c>
      <c r="L1424" s="189" t="n">
        <v>0</v>
      </c>
      <c r="M1424" s="189" t="n">
        <v>10</v>
      </c>
      <c r="N1424" s="189" t="n"/>
      <c r="O1424" s="189">
        <f>SUM(J1424:N1424)</f>
        <v/>
      </c>
      <c r="P1424" s="190">
        <f>O1424/IF(H1424="L",20,IF(H1424="U",30,IF(H1424="O",40,IF(H1424="I",20,""))))</f>
        <v/>
      </c>
      <c r="Q1424" s="190">
        <f>IF(AND(H1424="L", P1424&gt;=50%), "Pass", IF(AND(H1424="U", P1424&gt;=60%), "Pass", IF(AND(H1424="O", P1424&gt;=75%), "Pass", "Fail")))</f>
        <v/>
      </c>
      <c r="R1424" s="189" t="n"/>
      <c r="S1424" s="189" t="n">
        <v>15</v>
      </c>
      <c r="T1424" s="189" t="n">
        <v>15</v>
      </c>
      <c r="U1424" s="189">
        <f>SUM(S1424:T1424)</f>
        <v/>
      </c>
      <c r="V1424" s="190">
        <f>U1424/IF(H1424="L",35,IF(H1424="U",35,IF(H1424="O",35,IF(H1424="I",35,""))))</f>
        <v/>
      </c>
      <c r="W1424" s="190">
        <f>IF(AND(H1424="L", V1424&gt;=50%), "Pass", IF(AND(H1424="U", V1424&gt;=60%), "Pass", IF(AND(H1424="O", V1424&gt;=75%), "Pass", "Fail")))</f>
        <v/>
      </c>
      <c r="X1424" s="190">
        <f>IF(AND(Q1424="Pass", W1424="Pass"), "Pass", "Fail")</f>
        <v/>
      </c>
      <c r="Y1424" s="191">
        <f>IF($X1424="Pass",$H1424, IF(H1424="L","I", IF(H1424="U","L", IF(H1424="O","U", "I"))))</f>
        <v/>
      </c>
      <c r="Z1424" s="182" t="n"/>
    </row>
    <row r="1425">
      <c r="A1425" s="185">
        <f>ROW()-2</f>
        <v/>
      </c>
      <c r="B1425" s="133" t="inlineStr">
        <is>
          <t>MG0758</t>
        </is>
      </c>
      <c r="C1425" s="148" t="inlineStr">
        <is>
          <t>MADASAMY P</t>
        </is>
      </c>
      <c r="D1425" s="133" t="inlineStr">
        <is>
          <t>QUALITY CONTROL</t>
        </is>
      </c>
      <c r="E1425" s="186" t="inlineStr">
        <is>
          <t>Warehouse QA</t>
        </is>
      </c>
      <c r="F1425" s="187" t="n">
        <v>41365</v>
      </c>
      <c r="G1425" s="188">
        <f>NOW()-F1425</f>
        <v/>
      </c>
      <c r="H1425" s="189" t="inlineStr">
        <is>
          <t>O</t>
        </is>
      </c>
      <c r="I1425" s="189" t="inlineStr">
        <is>
          <t>O</t>
        </is>
      </c>
      <c r="J1425" s="189" t="n">
        <v>10</v>
      </c>
      <c r="K1425" s="189" t="n">
        <v>14</v>
      </c>
      <c r="L1425" s="189" t="n">
        <v>0</v>
      </c>
      <c r="M1425" s="189" t="n">
        <v>10</v>
      </c>
      <c r="N1425" s="189" t="n"/>
      <c r="O1425" s="189">
        <f>SUM(J1425:N1425)</f>
        <v/>
      </c>
      <c r="P1425" s="190">
        <f>O1425/IF(H1425="L",20,IF(H1425="U",30,IF(H1425="O",40,IF(H1425="I",20,""))))</f>
        <v/>
      </c>
      <c r="Q1425" s="190">
        <f>IF(AND(H1425="L", P1425&gt;=50%), "Pass", IF(AND(H1425="U", P1425&gt;=60%), "Pass", IF(AND(H1425="O", P1425&gt;=75%), "Pass", "Fail")))</f>
        <v/>
      </c>
      <c r="R1425" s="189" t="n"/>
      <c r="S1425" s="189" t="n">
        <v>15</v>
      </c>
      <c r="T1425" s="189" t="n">
        <v>15</v>
      </c>
      <c r="U1425" s="189">
        <f>SUM(S1425:T1425)</f>
        <v/>
      </c>
      <c r="V1425" s="190">
        <f>U1425/IF(H1425="L",35,IF(H1425="U",35,IF(H1425="O",35,IF(H1425="I",35,""))))</f>
        <v/>
      </c>
      <c r="W1425" s="190">
        <f>IF(AND(H1425="L", V1425&gt;=50%), "Pass", IF(AND(H1425="U", V1425&gt;=60%), "Pass", IF(AND(H1425="O", V1425&gt;=75%), "Pass", "Fail")))</f>
        <v/>
      </c>
      <c r="X1425" s="190">
        <f>IF(AND(Q1425="Pass", W1425="Pass"), "Pass", "Fail")</f>
        <v/>
      </c>
      <c r="Y1425" s="191">
        <f>IF($X1425="Pass",$H1425, IF(H1425="L","I", IF(H1425="U","L", IF(H1425="O","U", "I"))))</f>
        <v/>
      </c>
      <c r="Z1425" s="182" t="n"/>
    </row>
    <row r="1426">
      <c r="A1426" s="185">
        <f>ROW()-2</f>
        <v/>
      </c>
      <c r="B1426" s="133" t="inlineStr">
        <is>
          <t>MG0784</t>
        </is>
      </c>
      <c r="C1426" s="148" t="inlineStr">
        <is>
          <t>ESAKKI RAJA P</t>
        </is>
      </c>
      <c r="D1426" s="133" t="inlineStr">
        <is>
          <t>QUALITY CONTROL</t>
        </is>
      </c>
      <c r="E1426" s="186" t="inlineStr">
        <is>
          <t>Warehouse QA</t>
        </is>
      </c>
      <c r="F1426" s="187" t="n">
        <v>41304</v>
      </c>
      <c r="G1426" s="188">
        <f>NOW()-F1426</f>
        <v/>
      </c>
      <c r="H1426" s="189" t="inlineStr">
        <is>
          <t>O</t>
        </is>
      </c>
      <c r="I1426" s="189" t="inlineStr">
        <is>
          <t>O</t>
        </is>
      </c>
      <c r="J1426" s="189" t="n">
        <v>10</v>
      </c>
      <c r="K1426" s="189" t="n">
        <v>15</v>
      </c>
      <c r="L1426" s="189" t="n">
        <v>0</v>
      </c>
      <c r="M1426" s="189" t="n">
        <v>10</v>
      </c>
      <c r="N1426" s="189" t="n"/>
      <c r="O1426" s="189">
        <f>SUM(J1426:N1426)</f>
        <v/>
      </c>
      <c r="P1426" s="190">
        <f>O1426/IF(H1426="L",20,IF(H1426="U",30,IF(H1426="O",40,IF(H1426="I",20,""))))</f>
        <v/>
      </c>
      <c r="Q1426" s="190">
        <f>IF(AND(H1426="L", P1426&gt;=50%), "Pass", IF(AND(H1426="U", P1426&gt;=60%), "Pass", IF(AND(H1426="O", P1426&gt;=75%), "Pass", "Fail")))</f>
        <v/>
      </c>
      <c r="R1426" s="189" t="n"/>
      <c r="S1426" s="189" t="n">
        <v>15</v>
      </c>
      <c r="T1426" s="189" t="n">
        <v>15</v>
      </c>
      <c r="U1426" s="189">
        <f>SUM(S1426:T1426)</f>
        <v/>
      </c>
      <c r="V1426" s="190">
        <f>U1426/IF(H1426="L",35,IF(H1426="U",35,IF(H1426="O",35,IF(H1426="I",35,""))))</f>
        <v/>
      </c>
      <c r="W1426" s="190">
        <f>IF(AND(H1426="L", V1426&gt;=50%), "Pass", IF(AND(H1426="U", V1426&gt;=60%), "Pass", IF(AND(H1426="O", V1426&gt;=75%), "Pass", "Fail")))</f>
        <v/>
      </c>
      <c r="X1426" s="190">
        <f>IF(AND(Q1426="Pass", W1426="Pass"), "Pass", "Fail")</f>
        <v/>
      </c>
      <c r="Y1426" s="191">
        <f>IF($X1426="Pass",$H1426, IF(H1426="L","I", IF(H1426="U","L", IF(H1426="O","U", "I"))))</f>
        <v/>
      </c>
      <c r="Z1426" s="182" t="n"/>
    </row>
    <row r="1427">
      <c r="A1427" s="185">
        <f>ROW()-2</f>
        <v/>
      </c>
      <c r="B1427" s="133" t="inlineStr">
        <is>
          <t>MG0788</t>
        </is>
      </c>
      <c r="C1427" s="148" t="inlineStr">
        <is>
          <t>SUNIL KUMAR T</t>
        </is>
      </c>
      <c r="D1427" s="133" t="inlineStr">
        <is>
          <t>QUALITY CONTROL</t>
        </is>
      </c>
      <c r="E1427" s="186" t="inlineStr">
        <is>
          <t>Warehouse QA</t>
        </is>
      </c>
      <c r="F1427" s="187" t="n">
        <v>41233</v>
      </c>
      <c r="G1427" s="188">
        <f>NOW()-F1427</f>
        <v/>
      </c>
      <c r="H1427" s="189" t="inlineStr">
        <is>
          <t>O</t>
        </is>
      </c>
      <c r="I1427" s="189" t="inlineStr">
        <is>
          <t>O</t>
        </is>
      </c>
      <c r="J1427" s="189" t="n">
        <v>10</v>
      </c>
      <c r="K1427" s="189" t="n">
        <v>15</v>
      </c>
      <c r="L1427" s="189" t="n">
        <v>0</v>
      </c>
      <c r="M1427" s="189" t="n">
        <v>10</v>
      </c>
      <c r="N1427" s="189" t="n"/>
      <c r="O1427" s="189">
        <f>SUM(J1427:N1427)</f>
        <v/>
      </c>
      <c r="P1427" s="190">
        <f>O1427/IF(H1427="L",20,IF(H1427="U",30,IF(H1427="O",40,IF(H1427="I",20,""))))</f>
        <v/>
      </c>
      <c r="Q1427" s="190">
        <f>IF(AND(H1427="L", P1427&gt;=50%), "Pass", IF(AND(H1427="U", P1427&gt;=60%), "Pass", IF(AND(H1427="O", P1427&gt;=75%), "Pass", "Fail")))</f>
        <v/>
      </c>
      <c r="R1427" s="189" t="n"/>
      <c r="S1427" s="189" t="n">
        <v>15</v>
      </c>
      <c r="T1427" s="189" t="n">
        <v>15</v>
      </c>
      <c r="U1427" s="189">
        <f>SUM(S1427:T1427)</f>
        <v/>
      </c>
      <c r="V1427" s="190">
        <f>U1427/IF(H1427="L",35,IF(H1427="U",35,IF(H1427="O",35,IF(H1427="I",35,""))))</f>
        <v/>
      </c>
      <c r="W1427" s="190">
        <f>IF(AND(H1427="L", V1427&gt;=50%), "Pass", IF(AND(H1427="U", V1427&gt;=60%), "Pass", IF(AND(H1427="O", V1427&gt;=75%), "Pass", "Fail")))</f>
        <v/>
      </c>
      <c r="X1427" s="190">
        <f>IF(AND(Q1427="Pass", W1427="Pass"), "Pass", "Fail")</f>
        <v/>
      </c>
      <c r="Y1427" s="191">
        <f>IF($X1427="Pass",$H1427, IF(H1427="L","I", IF(H1427="U","L", IF(H1427="O","U", "I"))))</f>
        <v/>
      </c>
      <c r="Z1427" s="182" t="n"/>
    </row>
    <row r="1428">
      <c r="A1428" s="185">
        <f>ROW()-2</f>
        <v/>
      </c>
      <c r="B1428" s="133" t="inlineStr">
        <is>
          <t>MG1324</t>
        </is>
      </c>
      <c r="C1428" s="148" t="inlineStr">
        <is>
          <t>LAKSHMANA PERUMAL</t>
        </is>
      </c>
      <c r="D1428" s="133" t="inlineStr">
        <is>
          <t>QUALITY CONTROL</t>
        </is>
      </c>
      <c r="E1428" s="186" t="inlineStr">
        <is>
          <t>Warehouse QA</t>
        </is>
      </c>
      <c r="F1428" s="187" t="n">
        <v>43271</v>
      </c>
      <c r="G1428" s="188">
        <f>NOW()-F1428</f>
        <v/>
      </c>
      <c r="H1428" s="189" t="inlineStr">
        <is>
          <t>O</t>
        </is>
      </c>
      <c r="I1428" s="189" t="inlineStr">
        <is>
          <t>O</t>
        </is>
      </c>
      <c r="J1428" s="189" t="n">
        <v>10</v>
      </c>
      <c r="K1428" s="189" t="n">
        <v>16</v>
      </c>
      <c r="L1428" s="189" t="n">
        <v>0</v>
      </c>
      <c r="M1428" s="189" t="n">
        <v>10</v>
      </c>
      <c r="N1428" s="189" t="n"/>
      <c r="O1428" s="189">
        <f>SUM(J1428:N1428)</f>
        <v/>
      </c>
      <c r="P1428" s="190">
        <f>O1428/IF(H1428="L",20,IF(H1428="U",30,IF(H1428="O",40,IF(H1428="I",20,""))))</f>
        <v/>
      </c>
      <c r="Q1428" s="190">
        <f>IF(AND(H1428="L", P1428&gt;=50%), "Pass", IF(AND(H1428="U", P1428&gt;=60%), "Pass", IF(AND(H1428="O", P1428&gt;=75%), "Pass", "Fail")))</f>
        <v/>
      </c>
      <c r="R1428" s="189" t="n"/>
      <c r="S1428" s="189" t="n">
        <v>15</v>
      </c>
      <c r="T1428" s="189" t="n">
        <v>15</v>
      </c>
      <c r="U1428" s="189">
        <f>SUM(S1428:T1428)</f>
        <v/>
      </c>
      <c r="V1428" s="190">
        <f>U1428/IF(H1428="L",35,IF(H1428="U",35,IF(H1428="O",35,IF(H1428="I",35,""))))</f>
        <v/>
      </c>
      <c r="W1428" s="190">
        <f>IF(AND(H1428="L", V1428&gt;=50%), "Pass", IF(AND(H1428="U", V1428&gt;=60%), "Pass", IF(AND(H1428="O", V1428&gt;=75%), "Pass", "Fail")))</f>
        <v/>
      </c>
      <c r="X1428" s="190">
        <f>IF(AND(Q1428="Pass", W1428="Pass"), "Pass", "Fail")</f>
        <v/>
      </c>
      <c r="Y1428" s="191">
        <f>IF($X1428="Pass",$H1428, IF(H1428="L","I", IF(H1428="U","L", IF(H1428="O","U", "I"))))</f>
        <v/>
      </c>
      <c r="Z1428" s="182" t="n"/>
    </row>
    <row r="1429">
      <c r="A1429" s="185">
        <f>ROW()-2</f>
        <v/>
      </c>
      <c r="B1429" s="133" t="inlineStr">
        <is>
          <t>MG1328</t>
        </is>
      </c>
      <c r="C1429" s="148" t="inlineStr">
        <is>
          <t>VENKATESH CHELLAPPA</t>
        </is>
      </c>
      <c r="D1429" s="133" t="inlineStr">
        <is>
          <t>QUALITY CONTROL</t>
        </is>
      </c>
      <c r="E1429" s="186" t="inlineStr">
        <is>
          <t>Warehouse QA</t>
        </is>
      </c>
      <c r="F1429" s="187" t="n">
        <v>43367</v>
      </c>
      <c r="G1429" s="188">
        <f>NOW()-F1429</f>
        <v/>
      </c>
      <c r="H1429" s="189" t="inlineStr">
        <is>
          <t>O</t>
        </is>
      </c>
      <c r="I1429" s="189" t="inlineStr">
        <is>
          <t>O</t>
        </is>
      </c>
      <c r="J1429" s="189" t="n">
        <v>10</v>
      </c>
      <c r="K1429" s="189" t="n">
        <v>16</v>
      </c>
      <c r="L1429" s="189" t="n">
        <v>0</v>
      </c>
      <c r="M1429" s="189" t="n">
        <v>10</v>
      </c>
      <c r="N1429" s="189" t="n"/>
      <c r="O1429" s="189">
        <f>SUM(J1429:N1429)</f>
        <v/>
      </c>
      <c r="P1429" s="190">
        <f>O1429/IF(H1429="L",20,IF(H1429="U",30,IF(H1429="O",40,IF(H1429="I",20,""))))</f>
        <v/>
      </c>
      <c r="Q1429" s="190">
        <f>IF(AND(H1429="L", P1429&gt;=50%), "Pass", IF(AND(H1429="U", P1429&gt;=60%), "Pass", IF(AND(H1429="O", P1429&gt;=75%), "Pass", "Fail")))</f>
        <v/>
      </c>
      <c r="R1429" s="189" t="n"/>
      <c r="S1429" s="189" t="n">
        <v>15</v>
      </c>
      <c r="T1429" s="189" t="n">
        <v>15</v>
      </c>
      <c r="U1429" s="189">
        <f>SUM(S1429:T1429)</f>
        <v/>
      </c>
      <c r="V1429" s="190">
        <f>U1429/IF(H1429="L",35,IF(H1429="U",35,IF(H1429="O",35,IF(H1429="I",35,""))))</f>
        <v/>
      </c>
      <c r="W1429" s="190">
        <f>IF(AND(H1429="L", V1429&gt;=50%), "Pass", IF(AND(H1429="U", V1429&gt;=60%), "Pass", IF(AND(H1429="O", V1429&gt;=75%), "Pass", "Fail")))</f>
        <v/>
      </c>
      <c r="X1429" s="190">
        <f>IF(AND(Q1429="Pass", W1429="Pass"), "Pass", "Fail")</f>
        <v/>
      </c>
      <c r="Y1429" s="191">
        <f>IF($X1429="Pass",$H1429, IF(H1429="L","I", IF(H1429="U","L", IF(H1429="O","U", "I"))))</f>
        <v/>
      </c>
      <c r="Z1429" s="182" t="n"/>
    </row>
    <row r="1430">
      <c r="A1430" s="185">
        <f>ROW()-2</f>
        <v/>
      </c>
      <c r="B1430" s="133" t="inlineStr">
        <is>
          <t>MG1459</t>
        </is>
      </c>
      <c r="C1430" s="148" t="inlineStr">
        <is>
          <t>S ESAKKI PANDI</t>
        </is>
      </c>
      <c r="D1430" s="133" t="inlineStr">
        <is>
          <t>QUALITY CONTROL</t>
        </is>
      </c>
      <c r="E1430" s="186" t="inlineStr">
        <is>
          <t>Warehouse QA</t>
        </is>
      </c>
      <c r="F1430" s="187" t="n">
        <v>44445</v>
      </c>
      <c r="G1430" s="188">
        <f>NOW()-F1430</f>
        <v/>
      </c>
      <c r="H1430" s="189" t="inlineStr">
        <is>
          <t>O</t>
        </is>
      </c>
      <c r="I1430" s="189" t="inlineStr">
        <is>
          <t>O</t>
        </is>
      </c>
      <c r="J1430" s="189" t="n">
        <v>10</v>
      </c>
      <c r="K1430" s="189" t="n">
        <v>18</v>
      </c>
      <c r="L1430" s="189" t="n">
        <v>0</v>
      </c>
      <c r="M1430" s="189" t="n">
        <v>10</v>
      </c>
      <c r="N1430" s="189" t="n"/>
      <c r="O1430" s="189">
        <f>SUM(J1430:N1430)</f>
        <v/>
      </c>
      <c r="P1430" s="190">
        <f>O1430/IF(H1430="L",20,IF(H1430="U",30,IF(H1430="O",40,IF(H1430="I",20,""))))</f>
        <v/>
      </c>
      <c r="Q1430" s="190">
        <f>IF(AND(H1430="L", P1430&gt;=50%), "Pass", IF(AND(H1430="U", P1430&gt;=60%), "Pass", IF(AND(H1430="O", P1430&gt;=75%), "Pass", "Fail")))</f>
        <v/>
      </c>
      <c r="R1430" s="189" t="n"/>
      <c r="S1430" s="189" t="n">
        <v>15</v>
      </c>
      <c r="T1430" s="189" t="n">
        <v>15</v>
      </c>
      <c r="U1430" s="189">
        <f>SUM(S1430:T1430)</f>
        <v/>
      </c>
      <c r="V1430" s="190">
        <f>U1430/IF(H1430="L",35,IF(H1430="U",35,IF(H1430="O",35,IF(H1430="I",35,""))))</f>
        <v/>
      </c>
      <c r="W1430" s="190">
        <f>IF(AND(H1430="L", V1430&gt;=50%), "Pass", IF(AND(H1430="U", V1430&gt;=60%), "Pass", IF(AND(H1430="O", V1430&gt;=75%), "Pass", "Fail")))</f>
        <v/>
      </c>
      <c r="X1430" s="190">
        <f>IF(AND(Q1430="Pass", W1430="Pass"), "Pass", "Fail")</f>
        <v/>
      </c>
      <c r="Y1430" s="191">
        <f>IF($X1430="Pass",$H1430, IF(H1430="L","I", IF(H1430="U","L", IF(H1430="O","U", "I"))))</f>
        <v/>
      </c>
      <c r="Z1430" s="182" t="n"/>
    </row>
    <row r="1431">
      <c r="A1431" s="185">
        <f>ROW()-2</f>
        <v/>
      </c>
      <c r="B1431" s="133" t="inlineStr">
        <is>
          <t>MG1595</t>
        </is>
      </c>
      <c r="C1431" s="148" t="inlineStr">
        <is>
          <t>M MANGALA KARTHIK</t>
        </is>
      </c>
      <c r="D1431" s="133" t="inlineStr">
        <is>
          <t>QUALITY CONTROL</t>
        </is>
      </c>
      <c r="E1431" s="186" t="inlineStr">
        <is>
          <t>Warehouse QA</t>
        </is>
      </c>
      <c r="F1431" s="187" t="n">
        <v>45696</v>
      </c>
      <c r="G1431" s="188">
        <f>NOW()-F1431</f>
        <v/>
      </c>
      <c r="H1431" s="189" t="inlineStr">
        <is>
          <t>U</t>
        </is>
      </c>
      <c r="I1431" s="189" t="inlineStr">
        <is>
          <t>L</t>
        </is>
      </c>
      <c r="J1431" s="189" t="n">
        <v>7</v>
      </c>
      <c r="K1431" s="189" t="n">
        <v>13</v>
      </c>
      <c r="L1431" s="189" t="n">
        <v>0</v>
      </c>
      <c r="M1431" s="189" t="n">
        <v>7</v>
      </c>
      <c r="N1431" s="189" t="n"/>
      <c r="O1431" s="189">
        <f>SUM(J1431:N1431)</f>
        <v/>
      </c>
      <c r="P1431" s="190">
        <f>O1431/IF(H1431="L",20,IF(H1431="U",30,IF(H1431="O",40,IF(H1431="I",20,""))))</f>
        <v/>
      </c>
      <c r="Q1431" s="190">
        <f>IF(AND(H1431="L", P1431&gt;=50%), "Pass", IF(AND(H1431="U", P1431&gt;=60%), "Pass", IF(AND(H1431="O", P1431&gt;=75%), "Pass", "Fail")))</f>
        <v/>
      </c>
      <c r="R1431" s="189" t="n"/>
      <c r="S1431" s="189" t="n">
        <v>15</v>
      </c>
      <c r="T1431" s="189" t="n">
        <v>15</v>
      </c>
      <c r="U1431" s="189">
        <f>SUM(S1431:T1431)</f>
        <v/>
      </c>
      <c r="V1431" s="190">
        <f>U1431/IF(H1431="L",35,IF(H1431="U",35,IF(H1431="O",35,IF(H1431="I",35,""))))</f>
        <v/>
      </c>
      <c r="W1431" s="190">
        <f>IF(AND(H1431="L", V1431&gt;=50%), "Pass", IF(AND(H1431="U", V1431&gt;=60%), "Pass", IF(AND(H1431="O", V1431&gt;=75%), "Pass", "Fail")))</f>
        <v/>
      </c>
      <c r="X1431" s="190">
        <f>IF(AND(Q1431="Pass", W1431="Pass"), "Pass", "Fail")</f>
        <v/>
      </c>
      <c r="Y1431" s="191">
        <f>IF($X1431="Pass",$H1431, IF(H1431="L","I", IF(H1431="U","L", IF(H1431="O","U", "I"))))</f>
        <v/>
      </c>
      <c r="Z1431" s="182" t="n"/>
    </row>
    <row r="1432">
      <c r="A1432" s="185">
        <f>ROW()-2</f>
        <v/>
      </c>
      <c r="B1432" s="133" t="inlineStr">
        <is>
          <t>PK1491</t>
        </is>
      </c>
      <c r="C1432" s="148" t="inlineStr">
        <is>
          <t>CHINNADURAI</t>
        </is>
      </c>
      <c r="D1432" s="133" t="inlineStr">
        <is>
          <t>QUALITY CONTROL</t>
        </is>
      </c>
      <c r="E1432" s="186" t="inlineStr">
        <is>
          <t>Warehouse QA</t>
        </is>
      </c>
      <c r="F1432" s="187" t="n">
        <v>45439</v>
      </c>
      <c r="G1432" s="188">
        <f>NOW()-F1432</f>
        <v/>
      </c>
      <c r="H1432" s="189" t="inlineStr">
        <is>
          <t>O</t>
        </is>
      </c>
      <c r="I1432" s="189" t="inlineStr">
        <is>
          <t>U</t>
        </is>
      </c>
      <c r="J1432" s="189" t="n">
        <v>7</v>
      </c>
      <c r="K1432" s="189" t="n">
        <v>13</v>
      </c>
      <c r="L1432" s="189" t="n">
        <v>0</v>
      </c>
      <c r="M1432" s="189" t="n">
        <v>7</v>
      </c>
      <c r="N1432" s="189" t="n"/>
      <c r="O1432" s="189">
        <f>SUM(J1432:N1432)</f>
        <v/>
      </c>
      <c r="P1432" s="190">
        <f>O1432/IF(H1432="L",20,IF(H1432="U",30,IF(H1432="O",40,IF(H1432="I",20,""))))</f>
        <v/>
      </c>
      <c r="Q1432" s="190">
        <f>IF(AND(H1432="L", P1432&gt;=50%), "Pass", IF(AND(H1432="U", P1432&gt;=60%), "Pass", IF(AND(H1432="O", P1432&gt;=75%), "Pass", "Fail")))</f>
        <v/>
      </c>
      <c r="R1432" s="189" t="n"/>
      <c r="S1432" s="189" t="n">
        <v>15</v>
      </c>
      <c r="T1432" s="189" t="n">
        <v>15</v>
      </c>
      <c r="U1432" s="189">
        <f>SUM(S1432:T1432)</f>
        <v/>
      </c>
      <c r="V1432" s="190">
        <f>U1432/IF(H1432="L",35,IF(H1432="U",35,IF(H1432="O",35,IF(H1432="I",35,""))))</f>
        <v/>
      </c>
      <c r="W1432" s="190">
        <f>IF(AND(H1432="L", V1432&gt;=50%), "Pass", IF(AND(H1432="U", V1432&gt;=60%), "Pass", IF(AND(H1432="O", V1432&gt;=75%), "Pass", "Fail")))</f>
        <v/>
      </c>
      <c r="X1432" s="190">
        <f>IF(AND(Q1432="Pass", W1432="Pass"), "Pass", "Fail")</f>
        <v/>
      </c>
      <c r="Y1432" s="191">
        <f>IF($X1432="Pass",$H1432, IF(H1432="L","I", IF(H1432="U","L", IF(H1432="O","U", "I"))))</f>
        <v/>
      </c>
      <c r="Z1432" s="182" t="n"/>
    </row>
    <row r="1433">
      <c r="A1433" s="185">
        <f>ROW()-2</f>
        <v/>
      </c>
      <c r="B1433" s="133" t="inlineStr">
        <is>
          <t>PK1725</t>
        </is>
      </c>
      <c r="C1433" s="148" t="inlineStr">
        <is>
          <t>KARTHIK M</t>
        </is>
      </c>
      <c r="D1433" s="133" t="inlineStr">
        <is>
          <t>QUALITY CONTROL</t>
        </is>
      </c>
      <c r="E1433" s="186" t="inlineStr">
        <is>
          <t>Warehouse QA</t>
        </is>
      </c>
      <c r="F1433" s="187" t="n">
        <v>46209</v>
      </c>
      <c r="G1433" s="188">
        <f>NOW()-F1433</f>
        <v/>
      </c>
      <c r="H1433" s="189" t="inlineStr">
        <is>
          <t>L</t>
        </is>
      </c>
      <c r="I1433" s="189" t="inlineStr">
        <is>
          <t>I</t>
        </is>
      </c>
      <c r="J1433" s="189" t="n"/>
      <c r="K1433" s="189" t="n"/>
      <c r="L1433" s="189" t="n"/>
      <c r="M1433" s="189" t="n"/>
      <c r="N1433" s="189" t="n"/>
      <c r="O1433" s="189">
        <f>SUM(J1433:N1433)</f>
        <v/>
      </c>
      <c r="P1433" s="190">
        <f>O1433/IF(H1433="L",20,IF(H1433="U",30,IF(H1433="O",40,IF(H1433="I",20,""))))</f>
        <v/>
      </c>
      <c r="Q1433" s="190">
        <f>IF(AND(H1433="L", P1433&gt;=50%), "Pass", IF(AND(H1433="U", P1433&gt;=60%), "Pass", IF(AND(H1433="O", P1433&gt;=75%), "Pass", "Fail")))</f>
        <v/>
      </c>
      <c r="R1433" s="189" t="n"/>
      <c r="S1433" s="189" t="n"/>
      <c r="T1433" s="189" t="n"/>
      <c r="U1433" s="189">
        <f>SUM(S1433:T1433)</f>
        <v/>
      </c>
      <c r="V1433" s="190">
        <f>U1433/IF(H1433="L",35,IF(H1433="U",35,IF(H1433="O",35,IF(H1433="I",35,""))))</f>
        <v/>
      </c>
      <c r="W1433" s="190">
        <f>IF(AND(H1433="L", V1433&gt;=50%), "Pass", IF(AND(H1433="U", V1433&gt;=60%), "Pass", IF(AND(H1433="O", V1433&gt;=75%), "Pass", "Fail")))</f>
        <v/>
      </c>
      <c r="X1433" s="190">
        <f>IF(AND(Q1433="Pass", W1433="Pass"), "Pass", "Fail")</f>
        <v/>
      </c>
      <c r="Y1433" s="191">
        <f>IF($X1433="Pass",$H1433, IF(H1433="L","I", IF(H1433="U","L", IF(H1433="O","U", "I"))))</f>
        <v/>
      </c>
      <c r="Z1433" s="182" t="n"/>
    </row>
    <row r="1434">
      <c r="A1434" s="185">
        <f>ROW()-2</f>
        <v/>
      </c>
      <c r="B1434" s="133" t="inlineStr">
        <is>
          <t>SK3141</t>
        </is>
      </c>
      <c r="C1434" s="148" t="inlineStr">
        <is>
          <t>SUBASH</t>
        </is>
      </c>
      <c r="D1434" s="133" t="inlineStr">
        <is>
          <t>QUALITY CONTROL</t>
        </is>
      </c>
      <c r="E1434" s="186" t="inlineStr">
        <is>
          <t>Warehouse QA</t>
        </is>
      </c>
      <c r="F1434" s="187" t="n">
        <v>44220</v>
      </c>
      <c r="G1434" s="188">
        <f>NOW()-F1434</f>
        <v/>
      </c>
      <c r="H1434" s="189" t="inlineStr">
        <is>
          <t>O</t>
        </is>
      </c>
      <c r="I1434" s="189" t="inlineStr">
        <is>
          <t>O</t>
        </is>
      </c>
      <c r="J1434" s="189" t="n">
        <v>10</v>
      </c>
      <c r="K1434" s="189" t="n">
        <v>16</v>
      </c>
      <c r="L1434" s="189" t="n">
        <v>0</v>
      </c>
      <c r="M1434" s="189" t="n">
        <v>10</v>
      </c>
      <c r="N1434" s="189" t="n"/>
      <c r="O1434" s="189">
        <f>SUM(J1434:N1434)</f>
        <v/>
      </c>
      <c r="P1434" s="190">
        <f>O1434/IF(H1434="L",20,IF(H1434="U",30,IF(H1434="O",40,IF(H1434="I",20,""))))</f>
        <v/>
      </c>
      <c r="Q1434" s="190">
        <f>IF(AND(H1434="L", P1434&gt;=50%), "Pass", IF(AND(H1434="U", P1434&gt;=60%), "Pass", IF(AND(H1434="O", P1434&gt;=75%), "Pass", "Fail")))</f>
        <v/>
      </c>
      <c r="R1434" s="189" t="n"/>
      <c r="S1434" s="189" t="n">
        <v>15</v>
      </c>
      <c r="T1434" s="189" t="n">
        <v>15</v>
      </c>
      <c r="U1434" s="189">
        <f>SUM(S1434:T1434)</f>
        <v/>
      </c>
      <c r="V1434" s="190">
        <f>U1434/IF(H1434="L",35,IF(H1434="U",35,IF(H1434="O",35,IF(H1434="I",35,""))))</f>
        <v/>
      </c>
      <c r="W1434" s="190">
        <f>IF(AND(H1434="L", V1434&gt;=50%), "Pass", IF(AND(H1434="U", V1434&gt;=60%), "Pass", IF(AND(H1434="O", V1434&gt;=75%), "Pass", "Fail")))</f>
        <v/>
      </c>
      <c r="X1434" s="190">
        <f>IF(AND(Q1434="Pass", W1434="Pass"), "Pass", "Fail")</f>
        <v/>
      </c>
      <c r="Y1434" s="191">
        <f>IF($X1434="Pass",$H1434, IF(H1434="L","I", IF(H1434="U","L", IF(H1434="O","U", "I"))))</f>
        <v/>
      </c>
      <c r="Z1434" s="182" t="n"/>
    </row>
    <row r="1435">
      <c r="A1435" s="185">
        <f>ROW()-2</f>
        <v/>
      </c>
      <c r="B1435" s="133" t="inlineStr">
        <is>
          <t>SK3511</t>
        </is>
      </c>
      <c r="C1435" s="148" t="inlineStr">
        <is>
          <t>VIJAY SAKTHIVEL</t>
        </is>
      </c>
      <c r="D1435" s="133" t="inlineStr">
        <is>
          <t>QUALITY CONTROL</t>
        </is>
      </c>
      <c r="E1435" s="186" t="inlineStr">
        <is>
          <t>Warehouse QA</t>
        </is>
      </c>
      <c r="F1435" s="187" t="n">
        <v>45065</v>
      </c>
      <c r="G1435" s="188">
        <f>NOW()-F1435</f>
        <v/>
      </c>
      <c r="H1435" s="189" t="inlineStr">
        <is>
          <t>O</t>
        </is>
      </c>
      <c r="I1435" s="189" t="inlineStr">
        <is>
          <t>U</t>
        </is>
      </c>
      <c r="J1435" s="189" t="n">
        <v>10</v>
      </c>
      <c r="K1435" s="189" t="n">
        <v>16</v>
      </c>
      <c r="L1435" s="189" t="n">
        <v>0</v>
      </c>
      <c r="M1435" s="189" t="n">
        <v>10</v>
      </c>
      <c r="N1435" s="189" t="n"/>
      <c r="O1435" s="189">
        <f>SUM(J1435:N1435)</f>
        <v/>
      </c>
      <c r="P1435" s="190">
        <f>O1435/IF(H1435="L",20,IF(H1435="U",30,IF(H1435="O",40,IF(H1435="I",20,""))))</f>
        <v/>
      </c>
      <c r="Q1435" s="190">
        <f>IF(AND(H1435="L", P1435&gt;=50%), "Pass", IF(AND(H1435="U", P1435&gt;=60%), "Pass", IF(AND(H1435="O", P1435&gt;=75%), "Pass", "Fail")))</f>
        <v/>
      </c>
      <c r="R1435" s="189" t="n"/>
      <c r="S1435" s="189" t="n">
        <v>15</v>
      </c>
      <c r="T1435" s="189" t="n">
        <v>15</v>
      </c>
      <c r="U1435" s="189">
        <f>SUM(S1435:T1435)</f>
        <v/>
      </c>
      <c r="V1435" s="190">
        <f>U1435/IF(H1435="L",35,IF(H1435="U",35,IF(H1435="O",35,IF(H1435="I",35,""))))</f>
        <v/>
      </c>
      <c r="W1435" s="190">
        <f>IF(AND(H1435="L", V1435&gt;=50%), "Pass", IF(AND(H1435="U", V1435&gt;=60%), "Pass", IF(AND(H1435="O", V1435&gt;=75%), "Pass", "Fail")))</f>
        <v/>
      </c>
      <c r="X1435" s="190">
        <f>IF(AND(Q1435="Pass", W1435="Pass"), "Pass", "Fail")</f>
        <v/>
      </c>
      <c r="Y1435" s="191">
        <f>IF($X1435="Pass",$H1435, IF(H1435="L","I", IF(H1435="U","L", IF(H1435="O","U", "I"))))</f>
        <v/>
      </c>
      <c r="Z1435" s="182" t="n"/>
    </row>
    <row r="1436">
      <c r="A1436" s="185">
        <f>ROW()-2</f>
        <v/>
      </c>
      <c r="B1436" s="133" t="inlineStr">
        <is>
          <t>SR1153</t>
        </is>
      </c>
      <c r="C1436" s="148" t="inlineStr">
        <is>
          <t>SUDALAIMANI</t>
        </is>
      </c>
      <c r="D1436" s="133" t="inlineStr">
        <is>
          <t>QUALITY CONTROL</t>
        </is>
      </c>
      <c r="E1436" s="186" t="inlineStr">
        <is>
          <t>Warehouse QA</t>
        </is>
      </c>
      <c r="F1436" s="187" t="n">
        <v>44319</v>
      </c>
      <c r="G1436" s="188">
        <f>NOW()-F1436</f>
        <v/>
      </c>
      <c r="H1436" s="189" t="inlineStr">
        <is>
          <t>O</t>
        </is>
      </c>
      <c r="I1436" s="189" t="inlineStr">
        <is>
          <t>O</t>
        </is>
      </c>
      <c r="J1436" s="189" t="n">
        <v>10</v>
      </c>
      <c r="K1436" s="189" t="n">
        <v>14</v>
      </c>
      <c r="L1436" s="189" t="n">
        <v>0</v>
      </c>
      <c r="M1436" s="189" t="n">
        <v>10</v>
      </c>
      <c r="N1436" s="189" t="n"/>
      <c r="O1436" s="189">
        <f>SUM(J1436:N1436)</f>
        <v/>
      </c>
      <c r="P1436" s="190">
        <f>O1436/IF(H1436="L",20,IF(H1436="U",30,IF(H1436="O",40,IF(H1436="I",20,""))))</f>
        <v/>
      </c>
      <c r="Q1436" s="190">
        <f>IF(AND(H1436="L", P1436&gt;=50%), "Pass", IF(AND(H1436="U", P1436&gt;=60%), "Pass", IF(AND(H1436="O", P1436&gt;=75%), "Pass", "Fail")))</f>
        <v/>
      </c>
      <c r="R1436" s="189" t="n"/>
      <c r="S1436" s="189" t="n">
        <v>15</v>
      </c>
      <c r="T1436" s="189" t="n">
        <v>15</v>
      </c>
      <c r="U1436" s="189">
        <f>SUM(S1436:T1436)</f>
        <v/>
      </c>
      <c r="V1436" s="190">
        <f>U1436/IF(H1436="L",35,IF(H1436="U",35,IF(H1436="O",35,IF(H1436="I",35,""))))</f>
        <v/>
      </c>
      <c r="W1436" s="190">
        <f>IF(AND(H1436="L", V1436&gt;=50%), "Pass", IF(AND(H1436="U", V1436&gt;=60%), "Pass", IF(AND(H1436="O", V1436&gt;=75%), "Pass", "Fail")))</f>
        <v/>
      </c>
      <c r="X1436" s="190">
        <f>IF(AND(Q1436="Pass", W1436="Pass"), "Pass", "Fail")</f>
        <v/>
      </c>
      <c r="Y1436" s="191">
        <f>IF($X1436="Pass",$H1436, IF(H1436="L","I", IF(H1436="U","L", IF(H1436="O","U", "I"))))</f>
        <v/>
      </c>
      <c r="Z1436" s="182" t="n"/>
    </row>
    <row r="1437">
      <c r="A1437" s="185">
        <f>ROW()-2</f>
        <v/>
      </c>
      <c r="B1437" s="133" t="inlineStr">
        <is>
          <t>SR1387</t>
        </is>
      </c>
      <c r="C1437" s="148" t="inlineStr">
        <is>
          <t>SRITHARAN M</t>
        </is>
      </c>
      <c r="D1437" s="133" t="inlineStr">
        <is>
          <t>QUALITY CONTROL</t>
        </is>
      </c>
      <c r="E1437" s="186" t="inlineStr">
        <is>
          <t>Warehouse QA</t>
        </is>
      </c>
      <c r="F1437" s="187" t="n">
        <v>45145</v>
      </c>
      <c r="G1437" s="188">
        <f>NOW()-F1437</f>
        <v/>
      </c>
      <c r="H1437" s="189" t="inlineStr">
        <is>
          <t>O</t>
        </is>
      </c>
      <c r="I1437" s="189" t="inlineStr">
        <is>
          <t>U</t>
        </is>
      </c>
      <c r="J1437" s="189" t="n">
        <v>7</v>
      </c>
      <c r="K1437" s="189" t="n">
        <v>14</v>
      </c>
      <c r="L1437" s="189" t="n">
        <v>0</v>
      </c>
      <c r="M1437" s="189" t="n">
        <v>7</v>
      </c>
      <c r="N1437" s="189" t="n"/>
      <c r="O1437" s="189">
        <f>SUM(J1437:N1437)</f>
        <v/>
      </c>
      <c r="P1437" s="190">
        <f>O1437/IF(H1437="L",20,IF(H1437="U",30,IF(H1437="O",40,IF(H1437="I",20,""))))</f>
        <v/>
      </c>
      <c r="Q1437" s="190">
        <f>IF(AND(H1437="L", P1437&gt;=50%), "Pass", IF(AND(H1437="U", P1437&gt;=60%), "Pass", IF(AND(H1437="O", P1437&gt;=75%), "Pass", "Fail")))</f>
        <v/>
      </c>
      <c r="R1437" s="189" t="n"/>
      <c r="S1437" s="189" t="n">
        <v>15</v>
      </c>
      <c r="T1437" s="189" t="n">
        <v>15</v>
      </c>
      <c r="U1437" s="189">
        <f>SUM(S1437:T1437)</f>
        <v/>
      </c>
      <c r="V1437" s="190">
        <f>U1437/IF(H1437="L",35,IF(H1437="U",35,IF(H1437="O",35,IF(H1437="I",35,""))))</f>
        <v/>
      </c>
      <c r="W1437" s="190">
        <f>IF(AND(H1437="L", V1437&gt;=50%), "Pass", IF(AND(H1437="U", V1437&gt;=60%), "Pass", IF(AND(H1437="O", V1437&gt;=75%), "Pass", "Fail")))</f>
        <v/>
      </c>
      <c r="X1437" s="190">
        <f>IF(AND(Q1437="Pass", W1437="Pass"), "Pass", "Fail")</f>
        <v/>
      </c>
      <c r="Y1437" s="191">
        <f>IF($X1437="Pass",$H1437, IF(H1437="L","I", IF(H1437="U","L", IF(H1437="O","U", "I"))))</f>
        <v/>
      </c>
      <c r="Z1437" s="182" t="n"/>
    </row>
    <row r="1438">
      <c r="A1438" s="185">
        <f>ROW()-2</f>
        <v/>
      </c>
      <c r="B1438" s="133" t="inlineStr">
        <is>
          <t>SR1492</t>
        </is>
      </c>
      <c r="C1438" s="148" t="inlineStr">
        <is>
          <t>SELVAMANI A</t>
        </is>
      </c>
      <c r="D1438" s="133" t="inlineStr">
        <is>
          <t>QUALITY CONTROL</t>
        </is>
      </c>
      <c r="E1438" s="186" t="inlineStr">
        <is>
          <t>Warehouse QA</t>
        </is>
      </c>
      <c r="F1438" s="187" t="n">
        <v>45824</v>
      </c>
      <c r="G1438" s="188">
        <f>NOW()-F1438</f>
        <v/>
      </c>
      <c r="H1438" s="189" t="inlineStr">
        <is>
          <t>U</t>
        </is>
      </c>
      <c r="I1438" s="189" t="inlineStr">
        <is>
          <t>L</t>
        </is>
      </c>
      <c r="J1438" s="189" t="n">
        <v>5</v>
      </c>
      <c r="K1438" s="189" t="n">
        <v>8</v>
      </c>
      <c r="L1438" s="189" t="n">
        <v>0</v>
      </c>
      <c r="M1438" s="189" t="n">
        <v>5</v>
      </c>
      <c r="N1438" s="189" t="n"/>
      <c r="O1438" s="189">
        <f>SUM(J1438:N1438)</f>
        <v/>
      </c>
      <c r="P1438" s="190">
        <f>O1438/IF(H1438="L",20,IF(H1438="U",30,IF(H1438="O",40,IF(H1438="I",20,""))))</f>
        <v/>
      </c>
      <c r="Q1438" s="190">
        <f>IF(AND(H1438="L", P1438&gt;=50%), "Pass", IF(AND(H1438="U", P1438&gt;=60%), "Pass", IF(AND(H1438="O", P1438&gt;=75%), "Pass", "Fail")))</f>
        <v/>
      </c>
      <c r="R1438" s="189" t="n"/>
      <c r="S1438" s="189" t="n">
        <v>15</v>
      </c>
      <c r="T1438" s="189" t="n">
        <v>15</v>
      </c>
      <c r="U1438" s="189">
        <f>SUM(S1438:T1438)</f>
        <v/>
      </c>
      <c r="V1438" s="190">
        <f>U1438/IF(H1438="L",35,IF(H1438="U",35,IF(H1438="O",35,IF(H1438="I",35,""))))</f>
        <v/>
      </c>
      <c r="W1438" s="190">
        <f>IF(AND(H1438="L", V1438&gt;=50%), "Pass", IF(AND(H1438="U", V1438&gt;=60%), "Pass", IF(AND(H1438="O", V1438&gt;=75%), "Pass", "Fail")))</f>
        <v/>
      </c>
      <c r="X1438" s="190">
        <f>IF(AND(Q1438="Pass", W1438="Pass"), "Pass", "Fail")</f>
        <v/>
      </c>
      <c r="Y1438" s="191">
        <f>IF($X1438="Pass",$H1438, IF(H1438="L","I", IF(H1438="U","L", IF(H1438="O","U", "I"))))</f>
        <v/>
      </c>
      <c r="Z1438" s="182" t="n"/>
    </row>
    <row r="1439">
      <c r="A1439" s="185">
        <f>ROW()-2</f>
        <v/>
      </c>
      <c r="B1439" s="133" t="inlineStr">
        <is>
          <t>SR1561</t>
        </is>
      </c>
      <c r="C1439" s="148" t="inlineStr">
        <is>
          <t>SELVAKUMAR V</t>
        </is>
      </c>
      <c r="D1439" s="133" t="inlineStr">
        <is>
          <t>QUALITY CONTROL</t>
        </is>
      </c>
      <c r="E1439" s="186" t="inlineStr">
        <is>
          <t>Warehouse QA</t>
        </is>
      </c>
      <c r="F1439" s="187" t="n">
        <v>46181</v>
      </c>
      <c r="G1439" s="188">
        <f>NOW()-F1439</f>
        <v/>
      </c>
      <c r="H1439" s="189" t="inlineStr">
        <is>
          <t>L</t>
        </is>
      </c>
      <c r="I1439" s="189" t="inlineStr">
        <is>
          <t>I</t>
        </is>
      </c>
      <c r="J1439" s="189" t="n"/>
      <c r="K1439" s="189" t="n"/>
      <c r="L1439" s="189" t="n"/>
      <c r="M1439" s="189" t="n"/>
      <c r="N1439" s="189" t="n"/>
      <c r="O1439" s="189">
        <f>SUM(J1439:N1439)</f>
        <v/>
      </c>
      <c r="P1439" s="190">
        <f>O1439/IF(H1439="L",20,IF(H1439="U",30,IF(H1439="O",40,IF(H1439="I",20,""))))</f>
        <v/>
      </c>
      <c r="Q1439" s="190">
        <f>IF(AND(H1439="L", P1439&gt;=50%), "Pass", IF(AND(H1439="U", P1439&gt;=60%), "Pass", IF(AND(H1439="O", P1439&gt;=75%), "Pass", "Fail")))</f>
        <v/>
      </c>
      <c r="R1439" s="189" t="n"/>
      <c r="S1439" s="189" t="n"/>
      <c r="T1439" s="189" t="n"/>
      <c r="U1439" s="189">
        <f>SUM(S1439:T1439)</f>
        <v/>
      </c>
      <c r="V1439" s="190">
        <f>U1439/IF(H1439="L",35,IF(H1439="U",35,IF(H1439="O",35,IF(H1439="I",35,""))))</f>
        <v/>
      </c>
      <c r="W1439" s="190">
        <f>IF(AND(H1439="L", V1439&gt;=50%), "Pass", IF(AND(H1439="U", V1439&gt;=60%), "Pass", IF(AND(H1439="O", V1439&gt;=75%), "Pass", "Fail")))</f>
        <v/>
      </c>
      <c r="X1439" s="190">
        <f>IF(AND(Q1439="Pass", W1439="Pass"), "Pass", "Fail")</f>
        <v/>
      </c>
      <c r="Y1439" s="191">
        <f>IF($X1439="Pass",$H1439, IF(H1439="L","I", IF(H1439="U","L", IF(H1439="O","U", "I"))))</f>
        <v/>
      </c>
      <c r="Z1439" s="182" t="n"/>
    </row>
    <row r="1440">
      <c r="A1440" s="185">
        <f>ROW()-2</f>
        <v/>
      </c>
      <c r="B1440" s="133" t="inlineStr">
        <is>
          <t>900260</t>
        </is>
      </c>
      <c r="C1440" s="148" t="inlineStr">
        <is>
          <t>M. RAMESH</t>
        </is>
      </c>
      <c r="D1440" s="133" t="inlineStr">
        <is>
          <t>QUALITY CONTROL</t>
        </is>
      </c>
      <c r="E1440" s="186" t="inlineStr">
        <is>
          <t>Tire curing QA</t>
        </is>
      </c>
      <c r="F1440" s="187" t="n">
        <v>40634</v>
      </c>
      <c r="G1440" s="188">
        <f>NOW()-F1440</f>
        <v/>
      </c>
      <c r="H1440" s="189" t="inlineStr">
        <is>
          <t>O</t>
        </is>
      </c>
      <c r="I1440" s="189" t="inlineStr">
        <is>
          <t>O</t>
        </is>
      </c>
      <c r="J1440" s="189" t="n">
        <v>10</v>
      </c>
      <c r="K1440" s="189" t="n">
        <v>17</v>
      </c>
      <c r="L1440" s="189" t="n">
        <v>0</v>
      </c>
      <c r="M1440" s="189" t="n">
        <v>9</v>
      </c>
      <c r="N1440" s="189" t="n"/>
      <c r="O1440" s="189">
        <f>SUM(J1440:N1440)</f>
        <v/>
      </c>
      <c r="P1440" s="190">
        <f>O1440/IF(H1440="L",20,IF(H1440="U",30,IF(H1440="O",40,IF(H1440="I",20,""))))</f>
        <v/>
      </c>
      <c r="Q1440" s="190">
        <f>IF(AND(H1440="L", P1440&gt;=50%), "Pass", IF(AND(H1440="U", P1440&gt;=60%), "Pass", IF(AND(H1440="O", P1440&gt;=75%), "Pass", "Fail")))</f>
        <v/>
      </c>
      <c r="R1440" s="189" t="n"/>
      <c r="S1440" s="189" t="n">
        <v>15</v>
      </c>
      <c r="T1440" s="189" t="n">
        <v>15</v>
      </c>
      <c r="U1440" s="189">
        <f>SUM(S1440:T1440)</f>
        <v/>
      </c>
      <c r="V1440" s="190">
        <f>U1440/IF(H1440="L",35,IF(H1440="U",35,IF(H1440="O",35,IF(H1440="I",35,""))))</f>
        <v/>
      </c>
      <c r="W1440" s="190">
        <f>IF(AND(H1440="L", V1440&gt;=50%), "Pass", IF(AND(H1440="U", V1440&gt;=60%), "Pass", IF(AND(H1440="O", V1440&gt;=75%), "Pass", "Fail")))</f>
        <v/>
      </c>
      <c r="X1440" s="190">
        <f>IF(AND(Q1440="Pass", W1440="Pass"), "Pass", "Fail")</f>
        <v/>
      </c>
      <c r="Y1440" s="191">
        <f>IF($X1440="Pass",$H1440, IF(H1440="L","I", IF(H1440="U","L", IF(H1440="O","U", "I"))))</f>
        <v/>
      </c>
      <c r="Z1440" s="182" t="n"/>
    </row>
    <row r="1441">
      <c r="A1441" s="185">
        <f>ROW()-2</f>
        <v/>
      </c>
      <c r="B1441" s="133" t="inlineStr">
        <is>
          <t>900595</t>
        </is>
      </c>
      <c r="C1441" s="148" t="inlineStr">
        <is>
          <t>P. VENISH KUMAR</t>
        </is>
      </c>
      <c r="D1441" s="133" t="inlineStr">
        <is>
          <t>QUALITY CONTROL</t>
        </is>
      </c>
      <c r="E1441" s="186" t="inlineStr">
        <is>
          <t>Tire curing QA</t>
        </is>
      </c>
      <c r="F1441" s="187" t="n">
        <v>41365</v>
      </c>
      <c r="G1441" s="188">
        <f>NOW()-F1441</f>
        <v/>
      </c>
      <c r="H1441" s="189" t="inlineStr">
        <is>
          <t>O</t>
        </is>
      </c>
      <c r="I1441" s="189" t="inlineStr">
        <is>
          <t>O</t>
        </is>
      </c>
      <c r="J1441" s="189" t="n">
        <v>10</v>
      </c>
      <c r="K1441" s="189" t="n">
        <v>18</v>
      </c>
      <c r="L1441" s="189" t="n">
        <v>0</v>
      </c>
      <c r="M1441" s="189" t="n">
        <v>9</v>
      </c>
      <c r="N1441" s="189" t="n"/>
      <c r="O1441" s="189">
        <f>SUM(J1441:N1441)</f>
        <v/>
      </c>
      <c r="P1441" s="190">
        <f>O1441/IF(H1441="L",20,IF(H1441="U",30,IF(H1441="O",40,IF(H1441="I",20,""))))</f>
        <v/>
      </c>
      <c r="Q1441" s="190">
        <f>IF(AND(H1441="L", P1441&gt;=50%), "Pass", IF(AND(H1441="U", P1441&gt;=60%), "Pass", IF(AND(H1441="O", P1441&gt;=75%), "Pass", "Fail")))</f>
        <v/>
      </c>
      <c r="R1441" s="189" t="n"/>
      <c r="S1441" s="189" t="n">
        <v>15</v>
      </c>
      <c r="T1441" s="189" t="n">
        <v>15</v>
      </c>
      <c r="U1441" s="189">
        <f>SUM(S1441:T1441)</f>
        <v/>
      </c>
      <c r="V1441" s="190">
        <f>U1441/IF(H1441="L",35,IF(H1441="U",35,IF(H1441="O",35,IF(H1441="I",35,""))))</f>
        <v/>
      </c>
      <c r="W1441" s="190">
        <f>IF(AND(H1441="L", V1441&gt;=50%), "Pass", IF(AND(H1441="U", V1441&gt;=60%), "Pass", IF(AND(H1441="O", V1441&gt;=75%), "Pass", "Fail")))</f>
        <v/>
      </c>
      <c r="X1441" s="190">
        <f>IF(AND(Q1441="Pass", W1441="Pass"), "Pass", "Fail")</f>
        <v/>
      </c>
      <c r="Y1441" s="191">
        <f>IF($X1441="Pass",$H1441, IF(H1441="L","I", IF(H1441="U","L", IF(H1441="O","U", "I"))))</f>
        <v/>
      </c>
      <c r="Z1441" s="182" t="n"/>
    </row>
    <row r="1442">
      <c r="A1442" s="185">
        <f>ROW()-2</f>
        <v/>
      </c>
      <c r="B1442" s="133" t="inlineStr">
        <is>
          <t>900598</t>
        </is>
      </c>
      <c r="C1442" s="148" t="inlineStr">
        <is>
          <t>M. THANGA PERUMAL</t>
        </is>
      </c>
      <c r="D1442" s="133" t="inlineStr">
        <is>
          <t>QUALITY CONTROL</t>
        </is>
      </c>
      <c r="E1442" s="186" t="inlineStr">
        <is>
          <t>Tire curing QA</t>
        </is>
      </c>
      <c r="F1442" s="187" t="n">
        <v>41365</v>
      </c>
      <c r="G1442" s="188">
        <f>NOW()-F1442</f>
        <v/>
      </c>
      <c r="H1442" s="189" t="inlineStr">
        <is>
          <t>O</t>
        </is>
      </c>
      <c r="I1442" s="189" t="inlineStr">
        <is>
          <t>O</t>
        </is>
      </c>
      <c r="J1442" s="189" t="n">
        <v>10</v>
      </c>
      <c r="K1442" s="189" t="n">
        <v>15</v>
      </c>
      <c r="L1442" s="189" t="n">
        <v>0</v>
      </c>
      <c r="M1442" s="189" t="n">
        <v>9</v>
      </c>
      <c r="N1442" s="189" t="n"/>
      <c r="O1442" s="189">
        <f>SUM(J1442:N1442)</f>
        <v/>
      </c>
      <c r="P1442" s="190">
        <f>O1442/IF(H1442="L",20,IF(H1442="U",30,IF(H1442="O",40,IF(H1442="I",20,""))))</f>
        <v/>
      </c>
      <c r="Q1442" s="190">
        <f>IF(AND(H1442="L", P1442&gt;=50%), "Pass", IF(AND(H1442="U", P1442&gt;=60%), "Pass", IF(AND(H1442="O", P1442&gt;=75%), "Pass", "Fail")))</f>
        <v/>
      </c>
      <c r="R1442" s="189" t="n"/>
      <c r="S1442" s="189" t="n">
        <v>15</v>
      </c>
      <c r="T1442" s="189" t="n">
        <v>15</v>
      </c>
      <c r="U1442" s="189">
        <f>SUM(S1442:T1442)</f>
        <v/>
      </c>
      <c r="V1442" s="190">
        <f>U1442/IF(H1442="L",35,IF(H1442="U",35,IF(H1442="O",35,IF(H1442="I",35,""))))</f>
        <v/>
      </c>
      <c r="W1442" s="190">
        <f>IF(AND(H1442="L", V1442&gt;=50%), "Pass", IF(AND(H1442="U", V1442&gt;=60%), "Pass", IF(AND(H1442="O", V1442&gt;=75%), "Pass", "Fail")))</f>
        <v/>
      </c>
      <c r="X1442" s="190">
        <f>IF(AND(Q1442="Pass", W1442="Pass"), "Pass", "Fail")</f>
        <v/>
      </c>
      <c r="Y1442" s="191">
        <f>IF($X1442="Pass",$H1442, IF(H1442="L","I", IF(H1442="U","L", IF(H1442="O","U", "I"))))</f>
        <v/>
      </c>
      <c r="Z1442" s="182" t="n"/>
    </row>
    <row r="1443">
      <c r="A1443" s="185">
        <f>ROW()-2</f>
        <v/>
      </c>
      <c r="B1443" s="133" t="inlineStr">
        <is>
          <t>LN0771</t>
        </is>
      </c>
      <c r="C1443" s="148" t="inlineStr">
        <is>
          <t>MAHADEVI</t>
        </is>
      </c>
      <c r="D1443" s="133" t="inlineStr">
        <is>
          <t>QUALITY CONTROL</t>
        </is>
      </c>
      <c r="E1443" s="186" t="inlineStr">
        <is>
          <t>Tire curing QA</t>
        </is>
      </c>
      <c r="F1443" s="187" t="n">
        <v>45699</v>
      </c>
      <c r="G1443" s="188">
        <f>NOW()-F1443</f>
        <v/>
      </c>
      <c r="H1443" s="189" t="inlineStr">
        <is>
          <t>U</t>
        </is>
      </c>
      <c r="I1443" s="189" t="inlineStr">
        <is>
          <t>L</t>
        </is>
      </c>
      <c r="J1443" s="189" t="n">
        <v>7</v>
      </c>
      <c r="K1443" s="189" t="n">
        <v>11</v>
      </c>
      <c r="L1443" s="189" t="n">
        <v>0</v>
      </c>
      <c r="M1443" s="189" t="n">
        <v>8</v>
      </c>
      <c r="N1443" s="189" t="n"/>
      <c r="O1443" s="189">
        <f>SUM(J1443:N1443)</f>
        <v/>
      </c>
      <c r="P1443" s="190">
        <f>O1443/IF(H1443="L",20,IF(H1443="U",30,IF(H1443="O",40,IF(H1443="I",20,""))))</f>
        <v/>
      </c>
      <c r="Q1443" s="190">
        <f>IF(AND(H1443="L", P1443&gt;=50%), "Pass", IF(AND(H1443="U", P1443&gt;=60%), "Pass", IF(AND(H1443="O", P1443&gt;=75%), "Pass", "Fail")))</f>
        <v/>
      </c>
      <c r="R1443" s="189" t="n"/>
      <c r="S1443" s="189" t="n">
        <v>15</v>
      </c>
      <c r="T1443" s="189" t="n">
        <v>15</v>
      </c>
      <c r="U1443" s="189">
        <f>SUM(S1443:T1443)</f>
        <v/>
      </c>
      <c r="V1443" s="190">
        <f>U1443/IF(H1443="L",35,IF(H1443="U",35,IF(H1443="O",35,IF(H1443="I",35,""))))</f>
        <v/>
      </c>
      <c r="W1443" s="190">
        <f>IF(AND(H1443="L", V1443&gt;=50%), "Pass", IF(AND(H1443="U", V1443&gt;=60%), "Pass", IF(AND(H1443="O", V1443&gt;=75%), "Pass", "Fail")))</f>
        <v/>
      </c>
      <c r="X1443" s="190">
        <f>IF(AND(Q1443="Pass", W1443="Pass"), "Pass", "Fail")</f>
        <v/>
      </c>
      <c r="Y1443" s="191">
        <f>IF($X1443="Pass",$H1443, IF(H1443="L","I", IF(H1443="U","L", IF(H1443="O","U", "I"))))</f>
        <v/>
      </c>
      <c r="Z1443" s="182" t="n"/>
    </row>
    <row r="1444">
      <c r="A1444" s="185">
        <f>ROW()-2</f>
        <v/>
      </c>
      <c r="B1444" s="133" t="inlineStr">
        <is>
          <t>LN0776</t>
        </is>
      </c>
      <c r="C1444" s="148" t="inlineStr">
        <is>
          <t>NAVINA G</t>
        </is>
      </c>
      <c r="D1444" s="133" t="inlineStr">
        <is>
          <t>QUALITY CONTROL</t>
        </is>
      </c>
      <c r="E1444" s="186" t="inlineStr">
        <is>
          <t>Tire curing QA</t>
        </is>
      </c>
      <c r="F1444" s="187" t="n">
        <v>45699</v>
      </c>
      <c r="G1444" s="188">
        <f>NOW()-F1444</f>
        <v/>
      </c>
      <c r="H1444" s="189" t="inlineStr">
        <is>
          <t>U</t>
        </is>
      </c>
      <c r="I1444" s="189" t="inlineStr">
        <is>
          <t>L</t>
        </is>
      </c>
      <c r="J1444" s="189" t="n">
        <v>7</v>
      </c>
      <c r="K1444" s="189" t="n">
        <v>11</v>
      </c>
      <c r="L1444" s="189" t="n">
        <v>0</v>
      </c>
      <c r="M1444" s="189" t="n">
        <v>8</v>
      </c>
      <c r="N1444" s="189" t="n"/>
      <c r="O1444" s="189">
        <f>SUM(J1444:N1444)</f>
        <v/>
      </c>
      <c r="P1444" s="190">
        <f>O1444/IF(H1444="L",20,IF(H1444="U",30,IF(H1444="O",40,IF(H1444="I",20,""))))</f>
        <v/>
      </c>
      <c r="Q1444" s="190">
        <f>IF(AND(H1444="L", P1444&gt;=50%), "Pass", IF(AND(H1444="U", P1444&gt;=60%), "Pass", IF(AND(H1444="O", P1444&gt;=75%), "Pass", "Fail")))</f>
        <v/>
      </c>
      <c r="R1444" s="189" t="n"/>
      <c r="S1444" s="189" t="n">
        <v>15</v>
      </c>
      <c r="T1444" s="189" t="n">
        <v>15</v>
      </c>
      <c r="U1444" s="189">
        <f>SUM(S1444:T1444)</f>
        <v/>
      </c>
      <c r="V1444" s="190">
        <f>U1444/IF(H1444="L",35,IF(H1444="U",35,IF(H1444="O",35,IF(H1444="I",35,""))))</f>
        <v/>
      </c>
      <c r="W1444" s="190">
        <f>IF(AND(H1444="L", V1444&gt;=50%), "Pass", IF(AND(H1444="U", V1444&gt;=60%), "Pass", IF(AND(H1444="O", V1444&gt;=75%), "Pass", "Fail")))</f>
        <v/>
      </c>
      <c r="X1444" s="190">
        <f>IF(AND(Q1444="Pass", W1444="Pass"), "Pass", "Fail")</f>
        <v/>
      </c>
      <c r="Y1444" s="191">
        <f>IF($X1444="Pass",$H1444, IF(H1444="L","I", IF(H1444="U","L", IF(H1444="O","U", "I"))))</f>
        <v/>
      </c>
      <c r="Z1444" s="182" t="n"/>
    </row>
    <row r="1445">
      <c r="A1445" s="185">
        <f>ROW()-2</f>
        <v/>
      </c>
      <c r="B1445" s="133" t="inlineStr">
        <is>
          <t>LN0874</t>
        </is>
      </c>
      <c r="C1445" s="148" t="inlineStr">
        <is>
          <t>KARPAGAVALLI K</t>
        </is>
      </c>
      <c r="D1445" s="133" t="inlineStr">
        <is>
          <t>QUALITY CONTROL</t>
        </is>
      </c>
      <c r="E1445" s="186" t="inlineStr">
        <is>
          <t>Tire curing QA</t>
        </is>
      </c>
      <c r="F1445" s="187" t="n">
        <v>45771</v>
      </c>
      <c r="G1445" s="188">
        <f>NOW()-F1445</f>
        <v/>
      </c>
      <c r="H1445" s="189" t="inlineStr">
        <is>
          <t>U</t>
        </is>
      </c>
      <c r="I1445" s="189" t="inlineStr">
        <is>
          <t>L</t>
        </is>
      </c>
      <c r="J1445" s="189" t="n">
        <v>5</v>
      </c>
      <c r="K1445" s="189" t="n">
        <v>8</v>
      </c>
      <c r="L1445" s="189" t="n">
        <v>0</v>
      </c>
      <c r="M1445" s="189" t="n">
        <v>5</v>
      </c>
      <c r="N1445" s="189" t="n"/>
      <c r="O1445" s="189">
        <f>SUM(J1445:N1445)</f>
        <v/>
      </c>
      <c r="P1445" s="190">
        <f>O1445/IF(H1445="L",20,IF(H1445="U",30,IF(H1445="O",40,IF(H1445="I",20,""))))</f>
        <v/>
      </c>
      <c r="Q1445" s="190">
        <f>IF(AND(H1445="L", P1445&gt;=50%), "Pass", IF(AND(H1445="U", P1445&gt;=60%), "Pass", IF(AND(H1445="O", P1445&gt;=75%), "Pass", "Fail")))</f>
        <v/>
      </c>
      <c r="R1445" s="189" t="n"/>
      <c r="S1445" s="189" t="n">
        <v>15</v>
      </c>
      <c r="T1445" s="189" t="n">
        <v>15</v>
      </c>
      <c r="U1445" s="189">
        <f>SUM(S1445:T1445)</f>
        <v/>
      </c>
      <c r="V1445" s="190">
        <f>U1445/IF(H1445="L",35,IF(H1445="U",35,IF(H1445="O",35,IF(H1445="I",35,""))))</f>
        <v/>
      </c>
      <c r="W1445" s="190">
        <f>IF(AND(H1445="L", V1445&gt;=50%), "Pass", IF(AND(H1445="U", V1445&gt;=60%), "Pass", IF(AND(H1445="O", V1445&gt;=75%), "Pass", "Fail")))</f>
        <v/>
      </c>
      <c r="X1445" s="190">
        <f>IF(AND(Q1445="Pass", W1445="Pass"), "Pass", "Fail")</f>
        <v/>
      </c>
      <c r="Y1445" s="191">
        <f>IF($X1445="Pass",$H1445, IF(H1445="L","I", IF(H1445="U","L", IF(H1445="O","U", "I"))))</f>
        <v/>
      </c>
      <c r="Z1445" s="182" t="n"/>
    </row>
    <row r="1446">
      <c r="A1446" s="185">
        <f>ROW()-2</f>
        <v/>
      </c>
      <c r="B1446" s="133" t="inlineStr">
        <is>
          <t>LN0964</t>
        </is>
      </c>
      <c r="C1446" s="148" t="inlineStr">
        <is>
          <t>REKHA N</t>
        </is>
      </c>
      <c r="D1446" s="133" t="inlineStr">
        <is>
          <t>QUALITY CONTROL</t>
        </is>
      </c>
      <c r="E1446" s="186" t="inlineStr">
        <is>
          <t>Tire curing QA</t>
        </is>
      </c>
      <c r="F1446" s="187" t="n">
        <v>45915</v>
      </c>
      <c r="G1446" s="188">
        <f>NOW()-F1446</f>
        <v/>
      </c>
      <c r="H1446" s="189" t="inlineStr">
        <is>
          <t>U</t>
        </is>
      </c>
      <c r="I1446" s="189" t="inlineStr">
        <is>
          <t>L</t>
        </is>
      </c>
      <c r="J1446" s="189" t="n"/>
      <c r="K1446" s="189" t="n"/>
      <c r="L1446" s="189" t="n"/>
      <c r="M1446" s="189" t="n"/>
      <c r="N1446" s="189" t="n"/>
      <c r="O1446" s="189">
        <f>SUM(J1446:N1446)</f>
        <v/>
      </c>
      <c r="P1446" s="190">
        <f>O1446/IF(H1446="L",20,IF(H1446="U",30,IF(H1446="O",40,IF(H1446="I",20,""))))</f>
        <v/>
      </c>
      <c r="Q1446" s="190">
        <f>IF(AND(H1446="L", P1446&gt;=50%), "Pass", IF(AND(H1446="U", P1446&gt;=60%), "Pass", IF(AND(H1446="O", P1446&gt;=75%), "Pass", "Fail")))</f>
        <v/>
      </c>
      <c r="R1446" s="189" t="n"/>
      <c r="S1446" s="189" t="n"/>
      <c r="T1446" s="189" t="n"/>
      <c r="U1446" s="189">
        <f>SUM(S1446:T1446)</f>
        <v/>
      </c>
      <c r="V1446" s="190">
        <f>U1446/IF(H1446="L",35,IF(H1446="U",35,IF(H1446="O",35,IF(H1446="I",35,""))))</f>
        <v/>
      </c>
      <c r="W1446" s="190">
        <f>IF(AND(H1446="L", V1446&gt;=50%), "Pass", IF(AND(H1446="U", V1446&gt;=60%), "Pass", IF(AND(H1446="O", V1446&gt;=75%), "Pass", "Fail")))</f>
        <v/>
      </c>
      <c r="X1446" s="190">
        <f>IF(AND(Q1446="Pass", W1446="Pass"), "Pass", "Fail")</f>
        <v/>
      </c>
      <c r="Y1446" s="191">
        <f>IF($X1446="Pass",$H1446, IF(H1446="L","I", IF(H1446="U","L", IF(H1446="O","U", "I"))))</f>
        <v/>
      </c>
      <c r="Z1446" s="182" t="n"/>
    </row>
    <row r="1447">
      <c r="A1447" s="185">
        <f>ROW()-2</f>
        <v/>
      </c>
      <c r="B1447" s="133" t="inlineStr">
        <is>
          <t>LN1335</t>
        </is>
      </c>
      <c r="C1447" s="148" t="inlineStr">
        <is>
          <t>MAHESH K</t>
        </is>
      </c>
      <c r="D1447" s="133" t="inlineStr">
        <is>
          <t>QUALITY CONTROL</t>
        </is>
      </c>
      <c r="E1447" s="186" t="inlineStr">
        <is>
          <t>Tire curing QA</t>
        </is>
      </c>
      <c r="F1447" s="187" t="n">
        <v>46202</v>
      </c>
      <c r="G1447" s="188">
        <f>NOW()-F1447</f>
        <v/>
      </c>
      <c r="H1447" s="189" t="inlineStr">
        <is>
          <t>L</t>
        </is>
      </c>
      <c r="I1447" s="189" t="inlineStr">
        <is>
          <t>I</t>
        </is>
      </c>
      <c r="J1447" s="189" t="n"/>
      <c r="K1447" s="189" t="n"/>
      <c r="L1447" s="189" t="n"/>
      <c r="M1447" s="189" t="n"/>
      <c r="N1447" s="189" t="n"/>
      <c r="O1447" s="189">
        <f>SUM(J1447:N1447)</f>
        <v/>
      </c>
      <c r="P1447" s="190">
        <f>O1447/IF(H1447="L",20,IF(H1447="U",30,IF(H1447="O",40,IF(H1447="I",20,""))))</f>
        <v/>
      </c>
      <c r="Q1447" s="190">
        <f>IF(AND(H1447="L", P1447&gt;=50%), "Pass", IF(AND(H1447="U", P1447&gt;=60%), "Pass", IF(AND(H1447="O", P1447&gt;=75%), "Pass", "Fail")))</f>
        <v/>
      </c>
      <c r="R1447" s="189" t="n"/>
      <c r="S1447" s="189" t="n"/>
      <c r="T1447" s="189" t="n"/>
      <c r="U1447" s="189">
        <f>SUM(S1447:T1447)</f>
        <v/>
      </c>
      <c r="V1447" s="190">
        <f>U1447/IF(H1447="L",35,IF(H1447="U",35,IF(H1447="O",35,IF(H1447="I",35,""))))</f>
        <v/>
      </c>
      <c r="W1447" s="190">
        <f>IF(AND(H1447="L", V1447&gt;=50%), "Pass", IF(AND(H1447="U", V1447&gt;=60%), "Pass", IF(AND(H1447="O", V1447&gt;=75%), "Pass", "Fail")))</f>
        <v/>
      </c>
      <c r="X1447" s="190">
        <f>IF(AND(Q1447="Pass", W1447="Pass"), "Pass", "Fail")</f>
        <v/>
      </c>
      <c r="Y1447" s="191">
        <f>IF($X1447="Pass",$H1447, IF(H1447="L","I", IF(H1447="U","L", IF(H1447="O","U", "I"))))</f>
        <v/>
      </c>
      <c r="Z1447" s="182" t="n"/>
    </row>
    <row r="1448">
      <c r="A1448" s="185">
        <f>ROW()-2</f>
        <v/>
      </c>
      <c r="B1448" s="133" t="inlineStr">
        <is>
          <t>LN1365</t>
        </is>
      </c>
      <c r="C1448" s="148" t="inlineStr">
        <is>
          <t>V.YUVASRI</t>
        </is>
      </c>
      <c r="D1448" s="133" t="inlineStr">
        <is>
          <t>QUALITY CONTROL</t>
        </is>
      </c>
      <c r="E1448" s="186" t="inlineStr">
        <is>
          <t>Tire curing QA</t>
        </is>
      </c>
      <c r="F1448" s="187" t="n">
        <v>46251</v>
      </c>
      <c r="G1448" s="188">
        <f>NOW()-F1448</f>
        <v/>
      </c>
      <c r="H1448" s="189" t="inlineStr">
        <is>
          <t>L</t>
        </is>
      </c>
      <c r="I1448" s="189" t="inlineStr">
        <is>
          <t>I</t>
        </is>
      </c>
      <c r="J1448" s="189" t="n"/>
      <c r="K1448" s="189" t="n"/>
      <c r="L1448" s="189" t="n"/>
      <c r="M1448" s="189" t="n"/>
      <c r="N1448" s="189" t="n"/>
      <c r="O1448" s="189">
        <f>SUM(J1448:N1448)</f>
        <v/>
      </c>
      <c r="P1448" s="190">
        <f>O1448/IF(H1448="L",20,IF(H1448="U",30,IF(H1448="O",40,IF(H1448="I",20,""))))</f>
        <v/>
      </c>
      <c r="Q1448" s="190">
        <f>IF(AND(H1448="L", P1448&gt;=50%), "Pass", IF(AND(H1448="U", P1448&gt;=60%), "Pass", IF(AND(H1448="O", P1448&gt;=75%), "Pass", "Fail")))</f>
        <v/>
      </c>
      <c r="R1448" s="189" t="n"/>
      <c r="S1448" s="189" t="n"/>
      <c r="T1448" s="189" t="n"/>
      <c r="U1448" s="189">
        <f>SUM(S1448:T1448)</f>
        <v/>
      </c>
      <c r="V1448" s="190">
        <f>U1448/IF(H1448="L",35,IF(H1448="U",35,IF(H1448="O",35,IF(H1448="I",35,""))))</f>
        <v/>
      </c>
      <c r="W1448" s="190">
        <f>IF(AND(H1448="L", V1448&gt;=50%), "Pass", IF(AND(H1448="U", V1448&gt;=60%), "Pass", IF(AND(H1448="O", V1448&gt;=75%), "Pass", "Fail")))</f>
        <v/>
      </c>
      <c r="X1448" s="190">
        <f>IF(AND(Q1448="Pass", W1448="Pass"), "Pass", "Fail")</f>
        <v/>
      </c>
      <c r="Y1448" s="191">
        <f>IF($X1448="Pass",$H1448, IF(H1448="L","I", IF(H1448="U","L", IF(H1448="O","U", "I"))))</f>
        <v/>
      </c>
      <c r="Z1448" s="182" t="n"/>
    </row>
    <row r="1449">
      <c r="A1449" s="185">
        <f>ROW()-2</f>
        <v/>
      </c>
      <c r="B1449" s="133" t="inlineStr">
        <is>
          <t>LN1367</t>
        </is>
      </c>
      <c r="C1449" s="148" t="inlineStr">
        <is>
          <t>DEEPA KANNAN</t>
        </is>
      </c>
      <c r="D1449" s="133" t="inlineStr">
        <is>
          <t>QUALITY CONTROL</t>
        </is>
      </c>
      <c r="E1449" s="186" t="inlineStr">
        <is>
          <t>Tire curing QA</t>
        </is>
      </c>
      <c r="F1449" s="187" t="n">
        <v>46258</v>
      </c>
      <c r="G1449" s="188">
        <f>NOW()-F1449</f>
        <v/>
      </c>
      <c r="H1449" s="189" t="inlineStr">
        <is>
          <t>L</t>
        </is>
      </c>
      <c r="I1449" s="189" t="inlineStr">
        <is>
          <t>I</t>
        </is>
      </c>
      <c r="J1449" s="189" t="n"/>
      <c r="K1449" s="189" t="n"/>
      <c r="L1449" s="189" t="n"/>
      <c r="M1449" s="189" t="n"/>
      <c r="N1449" s="189" t="n"/>
      <c r="O1449" s="189">
        <f>SUM(J1449:N1449)</f>
        <v/>
      </c>
      <c r="P1449" s="190">
        <f>O1449/IF(H1449="L",20,IF(H1449="U",30,IF(H1449="O",40,IF(H1449="I",20,""))))</f>
        <v/>
      </c>
      <c r="Q1449" s="190">
        <f>IF(AND(H1449="L", P1449&gt;=50%), "Pass", IF(AND(H1449="U", P1449&gt;=60%), "Pass", IF(AND(H1449="O", P1449&gt;=75%), "Pass", "Fail")))</f>
        <v/>
      </c>
      <c r="R1449" s="189" t="n"/>
      <c r="S1449" s="189" t="n"/>
      <c r="T1449" s="189" t="n"/>
      <c r="U1449" s="189">
        <f>SUM(S1449:T1449)</f>
        <v/>
      </c>
      <c r="V1449" s="190">
        <f>U1449/IF(H1449="L",35,IF(H1449="U",35,IF(H1449="O",35,IF(H1449="I",35,""))))</f>
        <v/>
      </c>
      <c r="W1449" s="190">
        <f>IF(AND(H1449="L", V1449&gt;=50%), "Pass", IF(AND(H1449="U", V1449&gt;=60%), "Pass", IF(AND(H1449="O", V1449&gt;=75%), "Pass", "Fail")))</f>
        <v/>
      </c>
      <c r="X1449" s="190">
        <f>IF(AND(Q1449="Pass", W1449="Pass"), "Pass", "Fail")</f>
        <v/>
      </c>
      <c r="Y1449" s="191">
        <f>IF($X1449="Pass",$H1449, IF(H1449="L","I", IF(H1449="U","L", IF(H1449="O","U", "I"))))</f>
        <v/>
      </c>
      <c r="Z1449" s="182" t="n"/>
    </row>
    <row r="1450">
      <c r="A1450" s="185">
        <f>ROW()-2</f>
        <v/>
      </c>
      <c r="B1450" s="133" t="inlineStr">
        <is>
          <t>LN1368</t>
        </is>
      </c>
      <c r="C1450" s="148" t="inlineStr">
        <is>
          <t>PONNUTHAI C</t>
        </is>
      </c>
      <c r="D1450" s="133" t="inlineStr">
        <is>
          <t>QUALITY CONTROL</t>
        </is>
      </c>
      <c r="E1450" s="186" t="inlineStr">
        <is>
          <t>Tire curing QA</t>
        </is>
      </c>
      <c r="F1450" s="187" t="n">
        <v>46258</v>
      </c>
      <c r="G1450" s="188">
        <f>NOW()-F1450</f>
        <v/>
      </c>
      <c r="H1450" s="189" t="inlineStr">
        <is>
          <t>L</t>
        </is>
      </c>
      <c r="I1450" s="189" t="inlineStr">
        <is>
          <t>I</t>
        </is>
      </c>
      <c r="J1450" s="189" t="n"/>
      <c r="K1450" s="189" t="n"/>
      <c r="L1450" s="189" t="n"/>
      <c r="M1450" s="189" t="n"/>
      <c r="N1450" s="189" t="n"/>
      <c r="O1450" s="189">
        <f>SUM(J1450:N1450)</f>
        <v/>
      </c>
      <c r="P1450" s="190">
        <f>O1450/IF(H1450="L",20,IF(H1450="U",30,IF(H1450="O",40,IF(H1450="I",20,""))))</f>
        <v/>
      </c>
      <c r="Q1450" s="190">
        <f>IF(AND(H1450="L", P1450&gt;=50%), "Pass", IF(AND(H1450="U", P1450&gt;=60%), "Pass", IF(AND(H1450="O", P1450&gt;=75%), "Pass", "Fail")))</f>
        <v/>
      </c>
      <c r="R1450" s="189" t="n"/>
      <c r="S1450" s="189" t="n"/>
      <c r="T1450" s="189" t="n"/>
      <c r="U1450" s="189">
        <f>SUM(S1450:T1450)</f>
        <v/>
      </c>
      <c r="V1450" s="190">
        <f>U1450/IF(H1450="L",35,IF(H1450="U",35,IF(H1450="O",35,IF(H1450="I",35,""))))</f>
        <v/>
      </c>
      <c r="W1450" s="190">
        <f>IF(AND(H1450="L", V1450&gt;=50%), "Pass", IF(AND(H1450="U", V1450&gt;=60%), "Pass", IF(AND(H1450="O", V1450&gt;=75%), "Pass", "Fail")))</f>
        <v/>
      </c>
      <c r="X1450" s="190">
        <f>IF(AND(Q1450="Pass", W1450="Pass"), "Pass", "Fail")</f>
        <v/>
      </c>
      <c r="Y1450" s="191">
        <f>IF($X1450="Pass",$H1450, IF(H1450="L","I", IF(H1450="U","L", IF(H1450="O","U", "I"))))</f>
        <v/>
      </c>
      <c r="Z1450" s="182" t="n"/>
    </row>
    <row r="1451">
      <c r="A1451" s="185">
        <f>ROW()-2</f>
        <v/>
      </c>
      <c r="B1451" s="133" t="inlineStr">
        <is>
          <t>LN1369</t>
        </is>
      </c>
      <c r="C1451" s="148" t="inlineStr">
        <is>
          <t>LEETHIYA</t>
        </is>
      </c>
      <c r="D1451" s="133" t="inlineStr">
        <is>
          <t>QUALITY CONTROL</t>
        </is>
      </c>
      <c r="E1451" s="186" t="inlineStr">
        <is>
          <t>Tire curing QA</t>
        </is>
      </c>
      <c r="F1451" s="187" t="n">
        <v>46258</v>
      </c>
      <c r="G1451" s="188">
        <f>NOW()-F1451</f>
        <v/>
      </c>
      <c r="H1451" s="189" t="inlineStr">
        <is>
          <t>L</t>
        </is>
      </c>
      <c r="I1451" s="189" t="inlineStr">
        <is>
          <t>I</t>
        </is>
      </c>
      <c r="J1451" s="189" t="n"/>
      <c r="K1451" s="189" t="n"/>
      <c r="L1451" s="189" t="n"/>
      <c r="M1451" s="189" t="n"/>
      <c r="N1451" s="189" t="n"/>
      <c r="O1451" s="189">
        <f>SUM(J1451:N1451)</f>
        <v/>
      </c>
      <c r="P1451" s="190">
        <f>O1451/IF(H1451="L",20,IF(H1451="U",30,IF(H1451="O",40,IF(H1451="I",20,""))))</f>
        <v/>
      </c>
      <c r="Q1451" s="190">
        <f>IF(AND(H1451="L", P1451&gt;=50%), "Pass", IF(AND(H1451="U", P1451&gt;=60%), "Pass", IF(AND(H1451="O", P1451&gt;=75%), "Pass", "Fail")))</f>
        <v/>
      </c>
      <c r="R1451" s="189" t="n"/>
      <c r="S1451" s="189" t="n"/>
      <c r="T1451" s="189" t="n"/>
      <c r="U1451" s="189">
        <f>SUM(S1451:T1451)</f>
        <v/>
      </c>
      <c r="V1451" s="190">
        <f>U1451/IF(H1451="L",35,IF(H1451="U",35,IF(H1451="O",35,IF(H1451="I",35,""))))</f>
        <v/>
      </c>
      <c r="W1451" s="190">
        <f>IF(AND(H1451="L", V1451&gt;=50%), "Pass", IF(AND(H1451="U", V1451&gt;=60%), "Pass", IF(AND(H1451="O", V1451&gt;=75%), "Pass", "Fail")))</f>
        <v/>
      </c>
      <c r="X1451" s="190">
        <f>IF(AND(Q1451="Pass", W1451="Pass"), "Pass", "Fail")</f>
        <v/>
      </c>
      <c r="Y1451" s="191">
        <f>IF($X1451="Pass",$H1451, IF(H1451="L","I", IF(H1451="U","L", IF(H1451="O","U", "I"))))</f>
        <v/>
      </c>
      <c r="Z1451" s="182" t="n"/>
    </row>
    <row r="1452">
      <c r="A1452" s="185">
        <f>ROW()-2</f>
        <v/>
      </c>
      <c r="B1452" s="133" t="inlineStr">
        <is>
          <t>MG1055</t>
        </is>
      </c>
      <c r="C1452" s="148" t="inlineStr">
        <is>
          <t>ESAKKI S</t>
        </is>
      </c>
      <c r="D1452" s="133" t="inlineStr">
        <is>
          <t>QUALITY CONTROL</t>
        </is>
      </c>
      <c r="E1452" s="186" t="inlineStr">
        <is>
          <t>Tire curing QA</t>
        </is>
      </c>
      <c r="F1452" s="187" t="n">
        <v>42912</v>
      </c>
      <c r="G1452" s="188">
        <f>NOW()-F1452</f>
        <v/>
      </c>
      <c r="H1452" s="189" t="inlineStr">
        <is>
          <t>O</t>
        </is>
      </c>
      <c r="I1452" s="189" t="inlineStr">
        <is>
          <t>O</t>
        </is>
      </c>
      <c r="J1452" s="189" t="n">
        <v>10</v>
      </c>
      <c r="K1452" s="189" t="n">
        <v>17</v>
      </c>
      <c r="L1452" s="189" t="n">
        <v>0</v>
      </c>
      <c r="M1452" s="189" t="n">
        <v>9</v>
      </c>
      <c r="N1452" s="189" t="n"/>
      <c r="O1452" s="189">
        <f>SUM(J1452:N1452)</f>
        <v/>
      </c>
      <c r="P1452" s="190">
        <f>O1452/IF(H1452="L",20,IF(H1452="U",30,IF(H1452="O",40,IF(H1452="I",20,""))))</f>
        <v/>
      </c>
      <c r="Q1452" s="190">
        <f>IF(AND(H1452="L", P1452&gt;=50%), "Pass", IF(AND(H1452="U", P1452&gt;=60%), "Pass", IF(AND(H1452="O", P1452&gt;=75%), "Pass", "Fail")))</f>
        <v/>
      </c>
      <c r="R1452" s="189" t="n"/>
      <c r="S1452" s="189" t="n">
        <v>15</v>
      </c>
      <c r="T1452" s="189" t="n">
        <v>15</v>
      </c>
      <c r="U1452" s="189">
        <f>SUM(S1452:T1452)</f>
        <v/>
      </c>
      <c r="V1452" s="190">
        <f>U1452/IF(H1452="L",35,IF(H1452="U",35,IF(H1452="O",35,IF(H1452="I",35,""))))</f>
        <v/>
      </c>
      <c r="W1452" s="190">
        <f>IF(AND(H1452="L", V1452&gt;=50%), "Pass", IF(AND(H1452="U", V1452&gt;=60%), "Pass", IF(AND(H1452="O", V1452&gt;=75%), "Pass", "Fail")))</f>
        <v/>
      </c>
      <c r="X1452" s="190">
        <f>IF(AND(Q1452="Pass", W1452="Pass"), "Pass", "Fail")</f>
        <v/>
      </c>
      <c r="Y1452" s="191">
        <f>IF($X1452="Pass",$H1452, IF(H1452="L","I", IF(H1452="U","L", IF(H1452="O","U", "I"))))</f>
        <v/>
      </c>
      <c r="Z1452" s="182" t="n"/>
    </row>
    <row r="1453">
      <c r="A1453" s="185">
        <f>ROW()-2</f>
        <v/>
      </c>
      <c r="B1453" s="133" t="inlineStr">
        <is>
          <t>MG1322</t>
        </is>
      </c>
      <c r="C1453" s="148" t="inlineStr">
        <is>
          <t>BALASUBRAMANIAN C</t>
        </is>
      </c>
      <c r="D1453" s="133" t="inlineStr">
        <is>
          <t>QUALITY CONTROL</t>
        </is>
      </c>
      <c r="E1453" s="186" t="inlineStr">
        <is>
          <t>Tire curing QA</t>
        </is>
      </c>
      <c r="F1453" s="187" t="n">
        <v>42683</v>
      </c>
      <c r="G1453" s="188">
        <f>NOW()-F1453</f>
        <v/>
      </c>
      <c r="H1453" s="189" t="inlineStr">
        <is>
          <t>O</t>
        </is>
      </c>
      <c r="I1453" s="189" t="inlineStr">
        <is>
          <t>O</t>
        </is>
      </c>
      <c r="J1453" s="189" t="n">
        <v>10</v>
      </c>
      <c r="K1453" s="189" t="n">
        <v>16</v>
      </c>
      <c r="L1453" s="189" t="n">
        <v>0</v>
      </c>
      <c r="M1453" s="189" t="n">
        <v>9</v>
      </c>
      <c r="N1453" s="189" t="n"/>
      <c r="O1453" s="189">
        <f>SUM(J1453:N1453)</f>
        <v/>
      </c>
      <c r="P1453" s="190">
        <f>O1453/IF(H1453="L",20,IF(H1453="U",30,IF(H1453="O",40,IF(H1453="I",20,""))))</f>
        <v/>
      </c>
      <c r="Q1453" s="190">
        <f>IF(AND(H1453="L", P1453&gt;=50%), "Pass", IF(AND(H1453="U", P1453&gt;=60%), "Pass", IF(AND(H1453="O", P1453&gt;=75%), "Pass", "Fail")))</f>
        <v/>
      </c>
      <c r="R1453" s="189" t="n"/>
      <c r="S1453" s="189" t="n">
        <v>15</v>
      </c>
      <c r="T1453" s="189" t="n">
        <v>15</v>
      </c>
      <c r="U1453" s="189">
        <f>SUM(S1453:T1453)</f>
        <v/>
      </c>
      <c r="V1453" s="190">
        <f>U1453/IF(H1453="L",35,IF(H1453="U",35,IF(H1453="O",35,IF(H1453="I",35,""))))</f>
        <v/>
      </c>
      <c r="W1453" s="190">
        <f>IF(AND(H1453="L", V1453&gt;=50%), "Pass", IF(AND(H1453="U", V1453&gt;=60%), "Pass", IF(AND(H1453="O", V1453&gt;=75%), "Pass", "Fail")))</f>
        <v/>
      </c>
      <c r="X1453" s="190">
        <f>IF(AND(Q1453="Pass", W1453="Pass"), "Pass", "Fail")</f>
        <v/>
      </c>
      <c r="Y1453" s="191">
        <f>IF($X1453="Pass",$H1453, IF(H1453="L","I", IF(H1453="U","L", IF(H1453="O","U", "I"))))</f>
        <v/>
      </c>
      <c r="Z1453" s="182" t="n"/>
    </row>
    <row r="1454">
      <c r="A1454" s="185">
        <f>ROW()-2</f>
        <v/>
      </c>
      <c r="B1454" s="133" t="inlineStr">
        <is>
          <t>KK0413</t>
        </is>
      </c>
      <c r="C1454" s="148" t="inlineStr">
        <is>
          <t>SAVARI REGANRAJ R</t>
        </is>
      </c>
      <c r="D1454" s="133" t="inlineStr">
        <is>
          <t>QUALITY CONTROL</t>
        </is>
      </c>
      <c r="E1454" s="186" t="inlineStr">
        <is>
          <t>Final Finish RRO &amp; ALT QA</t>
        </is>
      </c>
      <c r="F1454" s="187" t="n">
        <v>42207</v>
      </c>
      <c r="G1454" s="188">
        <f>NOW()-F1454</f>
        <v/>
      </c>
      <c r="H1454" s="189" t="inlineStr">
        <is>
          <t>O</t>
        </is>
      </c>
      <c r="I1454" s="189" t="inlineStr">
        <is>
          <t>O</t>
        </is>
      </c>
      <c r="J1454" s="189" t="n">
        <v>10</v>
      </c>
      <c r="K1454" s="189" t="n">
        <v>15</v>
      </c>
      <c r="L1454" s="189" t="n">
        <v>0</v>
      </c>
      <c r="M1454" s="189" t="n">
        <v>9</v>
      </c>
      <c r="N1454" s="189" t="n"/>
      <c r="O1454" s="189">
        <f>SUM(J1454:N1454)</f>
        <v/>
      </c>
      <c r="P1454" s="190">
        <f>O1454/IF(H1454="L",20,IF(H1454="U",30,IF(H1454="O",40,IF(H1454="I",20,""))))</f>
        <v/>
      </c>
      <c r="Q1454" s="190">
        <f>IF(AND(H1454="L", P1454&gt;=50%), "Pass", IF(AND(H1454="U", P1454&gt;=60%), "Pass", IF(AND(H1454="O", P1454&gt;=75%), "Pass", "Fail")))</f>
        <v/>
      </c>
      <c r="R1454" s="189" t="n"/>
      <c r="S1454" s="189" t="n">
        <v>15</v>
      </c>
      <c r="T1454" s="189" t="n">
        <v>15</v>
      </c>
      <c r="U1454" s="189">
        <f>SUM(S1454:T1454)</f>
        <v/>
      </c>
      <c r="V1454" s="190">
        <f>U1454/IF(H1454="L",35,IF(H1454="U",35,IF(H1454="O",35,IF(H1454="I",35,""))))</f>
        <v/>
      </c>
      <c r="W1454" s="190">
        <f>IF(AND(H1454="L", V1454&gt;=50%), "Pass", IF(AND(H1454="U", V1454&gt;=60%), "Pass", IF(AND(H1454="O", V1454&gt;=75%), "Pass", "Fail")))</f>
        <v/>
      </c>
      <c r="X1454" s="190">
        <f>IF(AND(Q1454="Pass", W1454="Pass"), "Pass", "Fail")</f>
        <v/>
      </c>
      <c r="Y1454" s="191">
        <f>IF($X1454="Pass",$H1454, IF(H1454="L","I", IF(H1454="U","L", IF(H1454="O","U", "I"))))</f>
        <v/>
      </c>
      <c r="Z1454" s="182" t="n"/>
    </row>
    <row r="1455">
      <c r="A1455" s="185">
        <f>ROW()-2</f>
        <v/>
      </c>
      <c r="B1455" s="133" t="inlineStr">
        <is>
          <t>KK1176</t>
        </is>
      </c>
      <c r="C1455" s="148" t="inlineStr">
        <is>
          <t>M VENKADESH</t>
        </is>
      </c>
      <c r="D1455" s="133" t="inlineStr">
        <is>
          <t>QUALITY CONTROL</t>
        </is>
      </c>
      <c r="E1455" s="186" t="inlineStr">
        <is>
          <t>Final Finish RRO &amp; ALT QA</t>
        </is>
      </c>
      <c r="F1455" s="187" t="n">
        <v>44153</v>
      </c>
      <c r="G1455" s="188">
        <f>NOW()-F1455</f>
        <v/>
      </c>
      <c r="H1455" s="189" t="inlineStr">
        <is>
          <t>O</t>
        </is>
      </c>
      <c r="I1455" s="189" t="inlineStr">
        <is>
          <t>O</t>
        </is>
      </c>
      <c r="J1455" s="189" t="n">
        <v>10</v>
      </c>
      <c r="K1455" s="189" t="n">
        <v>16</v>
      </c>
      <c r="L1455" s="189" t="n">
        <v>0</v>
      </c>
      <c r="M1455" s="189" t="n">
        <v>9</v>
      </c>
      <c r="N1455" s="189" t="n"/>
      <c r="O1455" s="189">
        <f>SUM(J1455:N1455)</f>
        <v/>
      </c>
      <c r="P1455" s="190">
        <f>O1455/IF(H1455="L",20,IF(H1455="U",30,IF(H1455="O",40,IF(H1455="I",20,""))))</f>
        <v/>
      </c>
      <c r="Q1455" s="190">
        <f>IF(AND(H1455="L", P1455&gt;=50%), "Pass", IF(AND(H1455="U", P1455&gt;=60%), "Pass", IF(AND(H1455="O", P1455&gt;=75%), "Pass", "Fail")))</f>
        <v/>
      </c>
      <c r="R1455" s="189" t="n"/>
      <c r="S1455" s="189" t="n">
        <v>15</v>
      </c>
      <c r="T1455" s="189" t="n">
        <v>15</v>
      </c>
      <c r="U1455" s="189">
        <f>SUM(S1455:T1455)</f>
        <v/>
      </c>
      <c r="V1455" s="190">
        <f>U1455/IF(H1455="L",35,IF(H1455="U",35,IF(H1455="O",35,IF(H1455="I",35,""))))</f>
        <v/>
      </c>
      <c r="W1455" s="190">
        <f>IF(AND(H1455="L", V1455&gt;=50%), "Pass", IF(AND(H1455="U", V1455&gt;=60%), "Pass", IF(AND(H1455="O", V1455&gt;=75%), "Pass", "Fail")))</f>
        <v/>
      </c>
      <c r="X1455" s="190">
        <f>IF(AND(Q1455="Pass", W1455="Pass"), "Pass", "Fail")</f>
        <v/>
      </c>
      <c r="Y1455" s="191">
        <f>IF($X1455="Pass",$H1455, IF(H1455="L","I", IF(H1455="U","L", IF(H1455="O","U", "I"))))</f>
        <v/>
      </c>
      <c r="Z1455" s="182" t="n"/>
    </row>
    <row r="1456">
      <c r="A1456" s="185">
        <f>ROW()-2</f>
        <v/>
      </c>
      <c r="B1456" s="133" t="inlineStr">
        <is>
          <t>MG0575</t>
        </is>
      </c>
      <c r="C1456" s="148" t="inlineStr">
        <is>
          <t>GANESHA MOORTHY S</t>
        </is>
      </c>
      <c r="D1456" s="133" t="inlineStr">
        <is>
          <t>QUALITY CONTROL</t>
        </is>
      </c>
      <c r="E1456" s="186" t="inlineStr">
        <is>
          <t>Final Finish RRO &amp; ALT QA</t>
        </is>
      </c>
      <c r="F1456" s="187" t="n">
        <v>41905</v>
      </c>
      <c r="G1456" s="188">
        <f>NOW()-F1456</f>
        <v/>
      </c>
      <c r="H1456" s="189" t="inlineStr">
        <is>
          <t>O</t>
        </is>
      </c>
      <c r="I1456" s="189" t="inlineStr">
        <is>
          <t>O</t>
        </is>
      </c>
      <c r="J1456" s="189" t="n">
        <v>10</v>
      </c>
      <c r="K1456" s="189" t="n">
        <v>15</v>
      </c>
      <c r="L1456" s="189" t="n">
        <v>0</v>
      </c>
      <c r="M1456" s="189" t="n">
        <v>9</v>
      </c>
      <c r="N1456" s="189" t="n"/>
      <c r="O1456" s="189">
        <f>SUM(J1456:N1456)</f>
        <v/>
      </c>
      <c r="P1456" s="190">
        <f>O1456/IF(H1456="L",20,IF(H1456="U",30,IF(H1456="O",40,IF(H1456="I",20,""))))</f>
        <v/>
      </c>
      <c r="Q1456" s="190">
        <f>IF(AND(H1456="L", P1456&gt;=50%), "Pass", IF(AND(H1456="U", P1456&gt;=60%), "Pass", IF(AND(H1456="O", P1456&gt;=75%), "Pass", "Fail")))</f>
        <v/>
      </c>
      <c r="R1456" s="189" t="n"/>
      <c r="S1456" s="189" t="n">
        <v>15</v>
      </c>
      <c r="T1456" s="189" t="n">
        <v>15</v>
      </c>
      <c r="U1456" s="189">
        <f>SUM(S1456:T1456)</f>
        <v/>
      </c>
      <c r="V1456" s="190">
        <f>U1456/IF(H1456="L",35,IF(H1456="U",35,IF(H1456="O",35,IF(H1456="I",35,""))))</f>
        <v/>
      </c>
      <c r="W1456" s="190">
        <f>IF(AND(H1456="L", V1456&gt;=50%), "Pass", IF(AND(H1456="U", V1456&gt;=60%), "Pass", IF(AND(H1456="O", V1456&gt;=75%), "Pass", "Fail")))</f>
        <v/>
      </c>
      <c r="X1456" s="190">
        <f>IF(AND(Q1456="Pass", W1456="Pass"), "Pass", "Fail")</f>
        <v/>
      </c>
      <c r="Y1456" s="191">
        <f>IF($X1456="Pass",$H1456, IF(H1456="L","I", IF(H1456="U","L", IF(H1456="O","U", "I"))))</f>
        <v/>
      </c>
      <c r="Z1456" s="182" t="n"/>
    </row>
    <row r="1457">
      <c r="A1457" s="185">
        <f>ROW()-2</f>
        <v/>
      </c>
      <c r="B1457" s="133" t="inlineStr">
        <is>
          <t>MG1125</t>
        </is>
      </c>
      <c r="C1457" s="148" t="inlineStr">
        <is>
          <t>SELVAKUMAR S</t>
        </is>
      </c>
      <c r="D1457" s="133" t="inlineStr">
        <is>
          <t>QUALITY CONTROL</t>
        </is>
      </c>
      <c r="E1457" s="186" t="inlineStr">
        <is>
          <t>Final Finish RRO &amp; ALT QA</t>
        </is>
      </c>
      <c r="F1457" s="187" t="n">
        <v>43039</v>
      </c>
      <c r="G1457" s="188">
        <f>NOW()-F1457</f>
        <v/>
      </c>
      <c r="H1457" s="189" t="inlineStr">
        <is>
          <t>O</t>
        </is>
      </c>
      <c r="I1457" s="189" t="inlineStr">
        <is>
          <t>O</t>
        </is>
      </c>
      <c r="J1457" s="189" t="n">
        <v>10</v>
      </c>
      <c r="K1457" s="189" t="n">
        <v>17</v>
      </c>
      <c r="L1457" s="189" t="n">
        <v>0</v>
      </c>
      <c r="M1457" s="189" t="n">
        <v>9</v>
      </c>
      <c r="N1457" s="189" t="n"/>
      <c r="O1457" s="189">
        <f>SUM(J1457:N1457)</f>
        <v/>
      </c>
      <c r="P1457" s="190">
        <f>O1457/IF(H1457="L",20,IF(H1457="U",30,IF(H1457="O",40,IF(H1457="I",20,""))))</f>
        <v/>
      </c>
      <c r="Q1457" s="190">
        <f>IF(AND(H1457="L", P1457&gt;=50%), "Pass", IF(AND(H1457="U", P1457&gt;=60%), "Pass", IF(AND(H1457="O", P1457&gt;=75%), "Pass", "Fail")))</f>
        <v/>
      </c>
      <c r="R1457" s="189" t="n"/>
      <c r="S1457" s="189" t="n">
        <v>15</v>
      </c>
      <c r="T1457" s="189" t="n">
        <v>15</v>
      </c>
      <c r="U1457" s="189">
        <f>SUM(S1457:T1457)</f>
        <v/>
      </c>
      <c r="V1457" s="190">
        <f>U1457/IF(H1457="L",35,IF(H1457="U",35,IF(H1457="O",35,IF(H1457="I",35,""))))</f>
        <v/>
      </c>
      <c r="W1457" s="190">
        <f>IF(AND(H1457="L", V1457&gt;=50%), "Pass", IF(AND(H1457="U", V1457&gt;=60%), "Pass", IF(AND(H1457="O", V1457&gt;=75%), "Pass", "Fail")))</f>
        <v/>
      </c>
      <c r="X1457" s="190">
        <f>IF(AND(Q1457="Pass", W1457="Pass"), "Pass", "Fail")</f>
        <v/>
      </c>
      <c r="Y1457" s="191">
        <f>IF($X1457="Pass",$H1457, IF(H1457="L","I", IF(H1457="U","L", IF(H1457="O","U", "I"))))</f>
        <v/>
      </c>
      <c r="Z1457" s="182" t="n"/>
    </row>
    <row r="1458">
      <c r="A1458" s="185">
        <f>ROW()-2</f>
        <v/>
      </c>
      <c r="B1458" s="133" t="inlineStr">
        <is>
          <t>MG1126</t>
        </is>
      </c>
      <c r="C1458" s="148" t="inlineStr">
        <is>
          <t>MUTHU C</t>
        </is>
      </c>
      <c r="D1458" s="133" t="inlineStr">
        <is>
          <t>QUALITY CONTROL</t>
        </is>
      </c>
      <c r="E1458" s="186" t="inlineStr">
        <is>
          <t>Final Finish RRO &amp; ALT QA</t>
        </is>
      </c>
      <c r="F1458" s="187" t="n">
        <v>43039</v>
      </c>
      <c r="G1458" s="188">
        <f>NOW()-F1458</f>
        <v/>
      </c>
      <c r="H1458" s="189" t="inlineStr">
        <is>
          <t>O</t>
        </is>
      </c>
      <c r="I1458" s="189" t="inlineStr">
        <is>
          <t>O</t>
        </is>
      </c>
      <c r="J1458" s="189" t="n">
        <v>10</v>
      </c>
      <c r="K1458" s="189" t="n">
        <v>17</v>
      </c>
      <c r="L1458" s="189" t="n">
        <v>0</v>
      </c>
      <c r="M1458" s="189" t="n">
        <v>9</v>
      </c>
      <c r="N1458" s="189" t="n"/>
      <c r="O1458" s="189">
        <f>SUM(J1458:N1458)</f>
        <v/>
      </c>
      <c r="P1458" s="190">
        <f>O1458/IF(H1458="L",20,IF(H1458="U",30,IF(H1458="O",40,IF(H1458="I",20,""))))</f>
        <v/>
      </c>
      <c r="Q1458" s="190">
        <f>IF(AND(H1458="L", P1458&gt;=50%), "Pass", IF(AND(H1458="U", P1458&gt;=60%), "Pass", IF(AND(H1458="O", P1458&gt;=75%), "Pass", "Fail")))</f>
        <v/>
      </c>
      <c r="R1458" s="189" t="n"/>
      <c r="S1458" s="189" t="n">
        <v>15</v>
      </c>
      <c r="T1458" s="189" t="n">
        <v>15</v>
      </c>
      <c r="U1458" s="189">
        <f>SUM(S1458:T1458)</f>
        <v/>
      </c>
      <c r="V1458" s="190">
        <f>U1458/IF(H1458="L",35,IF(H1458="U",35,IF(H1458="O",35,IF(H1458="I",35,""))))</f>
        <v/>
      </c>
      <c r="W1458" s="190">
        <f>IF(AND(H1458="L", V1458&gt;=50%), "Pass", IF(AND(H1458="U", V1458&gt;=60%), "Pass", IF(AND(H1458="O", V1458&gt;=75%), "Pass", "Fail")))</f>
        <v/>
      </c>
      <c r="X1458" s="190">
        <f>IF(AND(Q1458="Pass", W1458="Pass"), "Pass", "Fail")</f>
        <v/>
      </c>
      <c r="Y1458" s="191">
        <f>IF($X1458="Pass",$H1458, IF(H1458="L","I", IF(H1458="U","L", IF(H1458="O","U", "I"))))</f>
        <v/>
      </c>
      <c r="Z1458" s="182" t="n"/>
    </row>
    <row r="1459">
      <c r="A1459" s="185">
        <f>ROW()-2</f>
        <v/>
      </c>
      <c r="B1459" s="133" t="inlineStr">
        <is>
          <t>MG1408</t>
        </is>
      </c>
      <c r="C1459" s="148" t="inlineStr">
        <is>
          <t>SIVAN A</t>
        </is>
      </c>
      <c r="D1459" s="133" t="inlineStr">
        <is>
          <t>QUALITY CONTROL</t>
        </is>
      </c>
      <c r="E1459" s="186" t="inlineStr">
        <is>
          <t>Final Finish RRO &amp; ALT QA</t>
        </is>
      </c>
      <c r="F1459" s="187" t="n">
        <v>44133</v>
      </c>
      <c r="G1459" s="188">
        <f>NOW()-F1459</f>
        <v/>
      </c>
      <c r="H1459" s="189" t="inlineStr">
        <is>
          <t>O</t>
        </is>
      </c>
      <c r="I1459" s="189" t="inlineStr">
        <is>
          <t>O</t>
        </is>
      </c>
      <c r="J1459" s="189" t="n">
        <v>10</v>
      </c>
      <c r="K1459" s="189" t="n">
        <v>18</v>
      </c>
      <c r="L1459" s="189" t="n">
        <v>0</v>
      </c>
      <c r="M1459" s="189" t="n">
        <v>9</v>
      </c>
      <c r="N1459" s="189" t="n"/>
      <c r="O1459" s="189">
        <f>SUM(J1459:N1459)</f>
        <v/>
      </c>
      <c r="P1459" s="190">
        <f>O1459/IF(H1459="L",20,IF(H1459="U",30,IF(H1459="O",40,IF(H1459="I",20,""))))</f>
        <v/>
      </c>
      <c r="Q1459" s="190">
        <f>IF(AND(H1459="L", P1459&gt;=50%), "Pass", IF(AND(H1459="U", P1459&gt;=60%), "Pass", IF(AND(H1459="O", P1459&gt;=75%), "Pass", "Fail")))</f>
        <v/>
      </c>
      <c r="R1459" s="189" t="n"/>
      <c r="S1459" s="189" t="n">
        <v>15</v>
      </c>
      <c r="T1459" s="189" t="n">
        <v>15</v>
      </c>
      <c r="U1459" s="189">
        <f>SUM(S1459:T1459)</f>
        <v/>
      </c>
      <c r="V1459" s="190">
        <f>U1459/IF(H1459="L",35,IF(H1459="U",35,IF(H1459="O",35,IF(H1459="I",35,""))))</f>
        <v/>
      </c>
      <c r="W1459" s="190">
        <f>IF(AND(H1459="L", V1459&gt;=50%), "Pass", IF(AND(H1459="U", V1459&gt;=60%), "Pass", IF(AND(H1459="O", V1459&gt;=75%), "Pass", "Fail")))</f>
        <v/>
      </c>
      <c r="X1459" s="190">
        <f>IF(AND(Q1459="Pass", W1459="Pass"), "Pass", "Fail")</f>
        <v/>
      </c>
      <c r="Y1459" s="191">
        <f>IF($X1459="Pass",$H1459, IF(H1459="L","I", IF(H1459="U","L", IF(H1459="O","U", "I"))))</f>
        <v/>
      </c>
      <c r="Z1459" s="182" t="n"/>
    </row>
    <row r="1460">
      <c r="A1460" s="185">
        <f>ROW()-2</f>
        <v/>
      </c>
      <c r="B1460" s="133" t="inlineStr">
        <is>
          <t>MG1473</t>
        </is>
      </c>
      <c r="C1460" s="148" t="inlineStr">
        <is>
          <t>KALLATHIYAN MARIAPPAN</t>
        </is>
      </c>
      <c r="D1460" s="133" t="inlineStr">
        <is>
          <t>QUALITY CONTROL</t>
        </is>
      </c>
      <c r="E1460" s="186" t="inlineStr">
        <is>
          <t>Final Finish RRO &amp; ALT QA</t>
        </is>
      </c>
      <c r="F1460" s="187" t="n">
        <v>44518</v>
      </c>
      <c r="G1460" s="188">
        <f>NOW()-F1460</f>
        <v/>
      </c>
      <c r="H1460" s="189" t="inlineStr">
        <is>
          <t>O</t>
        </is>
      </c>
      <c r="I1460" s="189" t="inlineStr">
        <is>
          <t>O</t>
        </is>
      </c>
      <c r="J1460" s="189" t="n">
        <v>10</v>
      </c>
      <c r="K1460" s="189" t="n">
        <v>15</v>
      </c>
      <c r="L1460" s="189" t="n">
        <v>0</v>
      </c>
      <c r="M1460" s="189" t="n">
        <v>9</v>
      </c>
      <c r="N1460" s="189" t="n"/>
      <c r="O1460" s="189">
        <f>SUM(J1460:N1460)</f>
        <v/>
      </c>
      <c r="P1460" s="190">
        <f>O1460/IF(H1460="L",20,IF(H1460="U",30,IF(H1460="O",40,IF(H1460="I",20,""))))</f>
        <v/>
      </c>
      <c r="Q1460" s="190">
        <f>IF(AND(H1460="L", P1460&gt;=50%), "Pass", IF(AND(H1460="U", P1460&gt;=60%), "Pass", IF(AND(H1460="O", P1460&gt;=75%), "Pass", "Fail")))</f>
        <v/>
      </c>
      <c r="R1460" s="189" t="n"/>
      <c r="S1460" s="189" t="n">
        <v>15</v>
      </c>
      <c r="T1460" s="189" t="n">
        <v>15</v>
      </c>
      <c r="U1460" s="189">
        <f>SUM(S1460:T1460)</f>
        <v/>
      </c>
      <c r="V1460" s="190">
        <f>U1460/IF(H1460="L",35,IF(H1460="U",35,IF(H1460="O",35,IF(H1460="I",35,""))))</f>
        <v/>
      </c>
      <c r="W1460" s="190">
        <f>IF(AND(H1460="L", V1460&gt;=50%), "Pass", IF(AND(H1460="U", V1460&gt;=60%), "Pass", IF(AND(H1460="O", V1460&gt;=75%), "Pass", "Fail")))</f>
        <v/>
      </c>
      <c r="X1460" s="190">
        <f>IF(AND(Q1460="Pass", W1460="Pass"), "Pass", "Fail")</f>
        <v/>
      </c>
      <c r="Y1460" s="191">
        <f>IF($X1460="Pass",$H1460, IF(H1460="L","I", IF(H1460="U","L", IF(H1460="O","U", "I"))))</f>
        <v/>
      </c>
      <c r="Z1460" s="182" t="n"/>
    </row>
    <row r="1461">
      <c r="A1461" s="185">
        <f>ROW()-2</f>
        <v/>
      </c>
      <c r="B1461" s="133" t="inlineStr">
        <is>
          <t>MG1502</t>
        </is>
      </c>
      <c r="C1461" s="148" t="inlineStr">
        <is>
          <t>ONESIMU MUTHUKUMAR</t>
        </is>
      </c>
      <c r="D1461" s="133" t="inlineStr">
        <is>
          <t>QUALITY CONTROL</t>
        </is>
      </c>
      <c r="E1461" s="186" t="inlineStr">
        <is>
          <t>Final Finish RRO &amp; ALT QA</t>
        </is>
      </c>
      <c r="F1461" s="187" t="n">
        <v>44691</v>
      </c>
      <c r="G1461" s="188">
        <f>NOW()-F1461</f>
        <v/>
      </c>
      <c r="H1461" s="189" t="inlineStr">
        <is>
          <t>O</t>
        </is>
      </c>
      <c r="I1461" s="189" t="inlineStr">
        <is>
          <t>O</t>
        </is>
      </c>
      <c r="J1461" s="189" t="n">
        <v>10</v>
      </c>
      <c r="K1461" s="189" t="n">
        <v>15</v>
      </c>
      <c r="L1461" s="189" t="n">
        <v>0</v>
      </c>
      <c r="M1461" s="189" t="n">
        <v>9</v>
      </c>
      <c r="N1461" s="189" t="n"/>
      <c r="O1461" s="189">
        <f>SUM(J1461:N1461)</f>
        <v/>
      </c>
      <c r="P1461" s="190">
        <f>O1461/IF(H1461="L",20,IF(H1461="U",30,IF(H1461="O",40,IF(H1461="I",20,""))))</f>
        <v/>
      </c>
      <c r="Q1461" s="190">
        <f>IF(AND(H1461="L", P1461&gt;=50%), "Pass", IF(AND(H1461="U", P1461&gt;=60%), "Pass", IF(AND(H1461="O", P1461&gt;=75%), "Pass", "Fail")))</f>
        <v/>
      </c>
      <c r="R1461" s="189" t="n"/>
      <c r="S1461" s="189" t="n">
        <v>15</v>
      </c>
      <c r="T1461" s="189" t="n">
        <v>15</v>
      </c>
      <c r="U1461" s="189">
        <f>SUM(S1461:T1461)</f>
        <v/>
      </c>
      <c r="V1461" s="190">
        <f>U1461/IF(H1461="L",35,IF(H1461="U",35,IF(H1461="O",35,IF(H1461="I",35,""))))</f>
        <v/>
      </c>
      <c r="W1461" s="190">
        <f>IF(AND(H1461="L", V1461&gt;=50%), "Pass", IF(AND(H1461="U", V1461&gt;=60%), "Pass", IF(AND(H1461="O", V1461&gt;=75%), "Pass", "Fail")))</f>
        <v/>
      </c>
      <c r="X1461" s="190">
        <f>IF(AND(Q1461="Pass", W1461="Pass"), "Pass", "Fail")</f>
        <v/>
      </c>
      <c r="Y1461" s="191">
        <f>IF($X1461="Pass",$H1461, IF(H1461="L","I", IF(H1461="U","L", IF(H1461="O","U", "I"))))</f>
        <v/>
      </c>
      <c r="Z1461" s="182" t="n"/>
    </row>
    <row r="1462">
      <c r="A1462" s="185">
        <f>ROW()-2</f>
        <v/>
      </c>
      <c r="B1462" s="133" t="inlineStr">
        <is>
          <t>SK1403</t>
        </is>
      </c>
      <c r="C1462" s="148" t="inlineStr">
        <is>
          <t>SURYA C</t>
        </is>
      </c>
      <c r="D1462" s="133" t="inlineStr">
        <is>
          <t>QUALITY CONTROL</t>
        </is>
      </c>
      <c r="E1462" s="186" t="inlineStr">
        <is>
          <t>Final Finish RRO &amp; ALT QA</t>
        </is>
      </c>
      <c r="F1462" s="187" t="n">
        <v>41828</v>
      </c>
      <c r="G1462" s="188">
        <f>NOW()-F1462</f>
        <v/>
      </c>
      <c r="H1462" s="189" t="inlineStr">
        <is>
          <t>O</t>
        </is>
      </c>
      <c r="I1462" s="189" t="inlineStr">
        <is>
          <t>O</t>
        </is>
      </c>
      <c r="J1462" s="189" t="n">
        <v>10</v>
      </c>
      <c r="K1462" s="189" t="n">
        <v>17</v>
      </c>
      <c r="L1462" s="189" t="n">
        <v>0</v>
      </c>
      <c r="M1462" s="189" t="n">
        <v>9</v>
      </c>
      <c r="N1462" s="189" t="n"/>
      <c r="O1462" s="189">
        <f>SUM(J1462:N1462)</f>
        <v/>
      </c>
      <c r="P1462" s="190">
        <f>O1462/IF(H1462="L",20,IF(H1462="U",30,IF(H1462="O",40,IF(H1462="I",20,""))))</f>
        <v/>
      </c>
      <c r="Q1462" s="190">
        <f>IF(AND(H1462="L", P1462&gt;=50%), "Pass", IF(AND(H1462="U", P1462&gt;=60%), "Pass", IF(AND(H1462="O", P1462&gt;=75%), "Pass", "Fail")))</f>
        <v/>
      </c>
      <c r="R1462" s="189" t="n"/>
      <c r="S1462" s="189" t="n">
        <v>15</v>
      </c>
      <c r="T1462" s="189" t="n">
        <v>15</v>
      </c>
      <c r="U1462" s="189">
        <f>SUM(S1462:T1462)</f>
        <v/>
      </c>
      <c r="V1462" s="190">
        <f>U1462/IF(H1462="L",35,IF(H1462="U",35,IF(H1462="O",35,IF(H1462="I",35,""))))</f>
        <v/>
      </c>
      <c r="W1462" s="190">
        <f>IF(AND(H1462="L", V1462&gt;=50%), "Pass", IF(AND(H1462="U", V1462&gt;=60%), "Pass", IF(AND(H1462="O", V1462&gt;=75%), "Pass", "Fail")))</f>
        <v/>
      </c>
      <c r="X1462" s="190">
        <f>IF(AND(Q1462="Pass", W1462="Pass"), "Pass", "Fail")</f>
        <v/>
      </c>
      <c r="Y1462" s="191">
        <f>IF($X1462="Pass",$H1462, IF(H1462="L","I", IF(H1462="U","L", IF(H1462="O","U", "I"))))</f>
        <v/>
      </c>
      <c r="Z1462" s="182" t="n"/>
    </row>
    <row r="1463">
      <c r="A1463" s="185">
        <f>ROW()-2</f>
        <v/>
      </c>
      <c r="B1463" s="133" t="inlineStr">
        <is>
          <t>SR1111</t>
        </is>
      </c>
      <c r="C1463" s="148" t="inlineStr">
        <is>
          <t>SURESH M</t>
        </is>
      </c>
      <c r="D1463" s="133" t="inlineStr">
        <is>
          <t>QUALITY CONTROL</t>
        </is>
      </c>
      <c r="E1463" s="186" t="inlineStr">
        <is>
          <t>Final Finish RRO &amp; ALT QA</t>
        </is>
      </c>
      <c r="F1463" s="187" t="n">
        <v>44218</v>
      </c>
      <c r="G1463" s="188">
        <f>NOW()-F1463</f>
        <v/>
      </c>
      <c r="H1463" s="189" t="inlineStr">
        <is>
          <t>O</t>
        </is>
      </c>
      <c r="I1463" s="189" t="inlineStr">
        <is>
          <t>O</t>
        </is>
      </c>
      <c r="J1463" s="189" t="n">
        <v>10</v>
      </c>
      <c r="K1463" s="189" t="n">
        <v>15</v>
      </c>
      <c r="L1463" s="189" t="n">
        <v>0</v>
      </c>
      <c r="M1463" s="189" t="n">
        <v>9</v>
      </c>
      <c r="N1463" s="189" t="n"/>
      <c r="O1463" s="189">
        <f>SUM(J1463:N1463)</f>
        <v/>
      </c>
      <c r="P1463" s="190">
        <f>O1463/IF(H1463="L",20,IF(H1463="U",30,IF(H1463="O",40,IF(H1463="I",20,""))))</f>
        <v/>
      </c>
      <c r="Q1463" s="190">
        <f>IF(AND(H1463="L", P1463&gt;=50%), "Pass", IF(AND(H1463="U", P1463&gt;=60%), "Pass", IF(AND(H1463="O", P1463&gt;=75%), "Pass", "Fail")))</f>
        <v/>
      </c>
      <c r="R1463" s="189" t="n"/>
      <c r="S1463" s="189" t="n">
        <v>15</v>
      </c>
      <c r="T1463" s="189" t="n">
        <v>15</v>
      </c>
      <c r="U1463" s="189">
        <f>SUM(S1463:T1463)</f>
        <v/>
      </c>
      <c r="V1463" s="190">
        <f>U1463/IF(H1463="L",35,IF(H1463="U",35,IF(H1463="O",35,IF(H1463="I",35,""))))</f>
        <v/>
      </c>
      <c r="W1463" s="190">
        <f>IF(AND(H1463="L", V1463&gt;=50%), "Pass", IF(AND(H1463="U", V1463&gt;=60%), "Pass", IF(AND(H1463="O", V1463&gt;=75%), "Pass", "Fail")))</f>
        <v/>
      </c>
      <c r="X1463" s="190">
        <f>IF(AND(Q1463="Pass", W1463="Pass"), "Pass", "Fail")</f>
        <v/>
      </c>
      <c r="Y1463" s="191">
        <f>IF($X1463="Pass",$H1463, IF(H1463="L","I", IF(H1463="U","L", IF(H1463="O","U", "I"))))</f>
        <v/>
      </c>
      <c r="Z1463" s="182" t="n"/>
    </row>
    <row r="1464">
      <c r="A1464" s="185">
        <f>ROW()-2</f>
        <v/>
      </c>
      <c r="B1464" s="133" t="inlineStr">
        <is>
          <t>SR1315</t>
        </is>
      </c>
      <c r="C1464" s="148" t="inlineStr">
        <is>
          <t>SURESH</t>
        </is>
      </c>
      <c r="D1464" s="133" t="inlineStr">
        <is>
          <t>QUALITY CONTROL</t>
        </is>
      </c>
      <c r="E1464" s="186" t="inlineStr">
        <is>
          <t>Final Finish RRO &amp; ALT QA</t>
        </is>
      </c>
      <c r="F1464" s="187" t="n">
        <v>44866</v>
      </c>
      <c r="G1464" s="188">
        <f>NOW()-F1464</f>
        <v/>
      </c>
      <c r="H1464" s="189" t="inlineStr">
        <is>
          <t>O</t>
        </is>
      </c>
      <c r="I1464" s="189" t="inlineStr">
        <is>
          <t>U</t>
        </is>
      </c>
      <c r="J1464" s="189" t="n">
        <v>10</v>
      </c>
      <c r="K1464" s="189" t="n">
        <v>16</v>
      </c>
      <c r="L1464" s="189" t="n">
        <v>0</v>
      </c>
      <c r="M1464" s="189" t="n">
        <v>9</v>
      </c>
      <c r="N1464" s="189" t="n"/>
      <c r="O1464" s="189">
        <f>SUM(J1464:N1464)</f>
        <v/>
      </c>
      <c r="P1464" s="190">
        <f>O1464/IF(H1464="L",20,IF(H1464="U",30,IF(H1464="O",40,IF(H1464="I",20,""))))</f>
        <v/>
      </c>
      <c r="Q1464" s="190">
        <f>IF(AND(H1464="L", P1464&gt;=50%), "Pass", IF(AND(H1464="U", P1464&gt;=60%), "Pass", IF(AND(H1464="O", P1464&gt;=75%), "Pass", "Fail")))</f>
        <v/>
      </c>
      <c r="R1464" s="189" t="n"/>
      <c r="S1464" s="189" t="n">
        <v>15</v>
      </c>
      <c r="T1464" s="189" t="n">
        <v>15</v>
      </c>
      <c r="U1464" s="189">
        <f>SUM(S1464:T1464)</f>
        <v/>
      </c>
      <c r="V1464" s="190">
        <f>U1464/IF(H1464="L",35,IF(H1464="U",35,IF(H1464="O",35,IF(H1464="I",35,""))))</f>
        <v/>
      </c>
      <c r="W1464" s="190">
        <f>IF(AND(H1464="L", V1464&gt;=50%), "Pass", IF(AND(H1464="U", V1464&gt;=60%), "Pass", IF(AND(H1464="O", V1464&gt;=75%), "Pass", "Fail")))</f>
        <v/>
      </c>
      <c r="X1464" s="190">
        <f>IF(AND(Q1464="Pass", W1464="Pass"), "Pass", "Fail")</f>
        <v/>
      </c>
      <c r="Y1464" s="191">
        <f>IF($X1464="Pass",$H1464, IF(H1464="L","I", IF(H1464="U","L", IF(H1464="O","U", "I"))))</f>
        <v/>
      </c>
      <c r="Z1464" s="182" t="n"/>
    </row>
  </sheetData>
  <autoFilter ref="A2:Z1181"/>
  <mergeCells count="2">
    <mergeCell ref="S1:W1"/>
    <mergeCell ref="J1:Q1"/>
  </mergeCells>
  <conditionalFormatting sqref="Q3:Q1002 Q1004:Q1181 W3:X1002 W1004:X1181">
    <cfRule type="cellIs" priority="31" operator="greaterThan" dxfId="1">
      <formula>1.01</formula>
    </cfRule>
    <cfRule type="containsText" priority="28" operator="containsText" dxfId="1" text="Fail">
      <formula>NOT(ISERROR(SEARCH("Fail",Q3)))</formula>
    </cfRule>
    <cfRule type="containsText" priority="29" operator="containsText" dxfId="0" text="Pass">
      <formula>NOT(ISERROR(SEARCH("Pass",Q3)))</formula>
    </cfRule>
  </conditionalFormatting>
  <conditionalFormatting sqref="B1:B701 B703:B1002 B1004:B1048576">
    <cfRule type="duplicateValues" priority="12" dxfId="1"/>
  </conditionalFormatting>
  <conditionalFormatting sqref="Q1003 W1003:X1003">
    <cfRule type="cellIs" priority="5" operator="greaterThan" dxfId="1">
      <formula>1.01</formula>
    </cfRule>
    <cfRule type="containsText" priority="3" operator="containsText" dxfId="1" text="Fail">
      <formula>NOT(ISERROR(SEARCH("Fail",Q1003)))</formula>
    </cfRule>
    <cfRule type="containsText" priority="4" operator="containsText" dxfId="0" text="Pass">
      <formula>NOT(ISERROR(SEARCH("Pass",Q1003)))</formula>
    </cfRule>
  </conditionalFormatting>
  <conditionalFormatting sqref="B1003">
    <cfRule type="duplicateValues" priority="2" dxfId="1"/>
  </conditionalFormatting>
  <conditionalFormatting sqref="B702">
    <cfRule type="duplicateValues" priority="1" dxfId="1"/>
  </conditionalFormatting>
  <dataValidations disablePrompts="1" count="2">
    <dataValidation sqref="E747" showDropDown="0" showInputMessage="1" showErrorMessage="1" allowBlank="1" prompt="DO COPY &amp; PASTE IN SECTION NAME"/>
    <dataValidation sqref="E927 E1178 E1179:E1180" showDropDown="0" showInputMessage="1" showErrorMessage="1" allowBlank="1" prompt="DO COPY &amp; PASTE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9"/>
  <sheetViews>
    <sheetView topLeftCell="A76" workbookViewId="0">
      <selection activeCell="E224" sqref="E224"/>
    </sheetView>
  </sheetViews>
  <sheetFormatPr baseColWidth="8" defaultRowHeight="15"/>
  <cols>
    <col width="4.85546875" bestFit="1" customWidth="1" style="118" min="1" max="1"/>
    <col width="20.85546875" customWidth="1" style="27" min="3" max="3"/>
    <col width="12.140625" bestFit="1" customWidth="1" style="118" min="4" max="4"/>
    <col width="27.7109375" bestFit="1" customWidth="1" style="118" min="5" max="5"/>
    <col width="14.7109375" bestFit="1" customWidth="1" style="118" min="6" max="6"/>
    <col width="5.5703125" bestFit="1" customWidth="1" style="118" min="7" max="7"/>
    <col width="8.5703125" bestFit="1" customWidth="1" style="118" min="8" max="9"/>
    <col width="7.7109375" customWidth="1" style="118" min="10" max="10"/>
    <col width="7.140625" bestFit="1" customWidth="1" style="118" min="11" max="11"/>
    <col width="6.85546875" bestFit="1" customWidth="1" style="118" min="12" max="12"/>
    <col width="8.140625" bestFit="1" customWidth="1" style="118" min="13" max="13"/>
    <col width="6.42578125" bestFit="1" customWidth="1" style="118" min="14" max="14"/>
    <col width="5.85546875" bestFit="1" customWidth="1" style="118" min="17" max="17"/>
    <col width="1.7109375" customWidth="1" style="118" min="18" max="18"/>
    <col width="8.7109375" bestFit="1" customWidth="1" style="118" min="19" max="19"/>
    <col width="8.85546875" bestFit="1" customWidth="1" style="118" min="20" max="20"/>
    <col width="8.5703125" bestFit="1" customWidth="1" style="118" min="21" max="22"/>
    <col width="5.85546875" bestFit="1" customWidth="1" style="118" min="23" max="23"/>
    <col width="6.140625" bestFit="1" customWidth="1" style="118" min="24" max="24"/>
  </cols>
  <sheetData>
    <row r="1">
      <c r="A1" s="91" t="n"/>
      <c r="B1" s="91" t="n"/>
      <c r="H1" s="6" t="n"/>
      <c r="I1" s="6" t="n"/>
      <c r="J1" s="171" t="inlineStr">
        <is>
          <t>Quest</t>
        </is>
      </c>
      <c r="K1" s="183" t="n"/>
      <c r="L1" s="183" t="n"/>
      <c r="M1" s="183" t="n"/>
      <c r="N1" s="183" t="n"/>
      <c r="O1" s="183" t="n"/>
      <c r="P1" s="183" t="n"/>
      <c r="Q1" s="184" t="n"/>
      <c r="R1" s="172" t="n"/>
      <c r="S1" s="172" t="inlineStr">
        <is>
          <t>Gemba</t>
        </is>
      </c>
      <c r="T1" s="183" t="n"/>
      <c r="U1" s="183" t="n"/>
      <c r="V1" s="183" t="n"/>
      <c r="W1" s="184" t="n"/>
      <c r="X1" s="6" t="n"/>
    </row>
    <row r="2" ht="51" customFormat="1" customHeight="1" s="125">
      <c r="A2" s="18" t="inlineStr">
        <is>
          <t>S.NO</t>
        </is>
      </c>
      <c r="B2" s="18" t="inlineStr">
        <is>
          <t>EMP NO</t>
        </is>
      </c>
      <c r="C2" s="18" t="inlineStr">
        <is>
          <t>NAME</t>
        </is>
      </c>
      <c r="D2" s="3" t="inlineStr">
        <is>
          <t>DEPT</t>
        </is>
      </c>
      <c r="E2" s="3" t="inlineStr">
        <is>
          <t>SECTION</t>
        </is>
      </c>
      <c r="F2" s="3" t="inlineStr">
        <is>
          <t>DOJ</t>
        </is>
      </c>
      <c r="G2" s="3" t="inlineStr">
        <is>
          <t>Exp</t>
        </is>
      </c>
      <c r="H2" s="7" t="inlineStr">
        <is>
          <t>Eligible skill level</t>
        </is>
      </c>
      <c r="I2" s="7" t="inlineStr">
        <is>
          <t>Current skill level 2025</t>
        </is>
      </c>
      <c r="J2" s="13" t="inlineStr">
        <is>
          <t>Safety</t>
        </is>
      </c>
      <c r="K2" s="13" t="inlineStr">
        <is>
          <t xml:space="preserve">Process </t>
        </is>
      </c>
      <c r="L2" s="13" t="inlineStr">
        <is>
          <t>Quality</t>
        </is>
      </c>
      <c r="M2" s="13" t="inlineStr">
        <is>
          <t>CI &amp; TPM</t>
        </is>
      </c>
      <c r="N2" s="13" t="inlineStr">
        <is>
          <t>System</t>
        </is>
      </c>
      <c r="O2" s="13" t="inlineStr">
        <is>
          <t>Knowledge Mark</t>
        </is>
      </c>
      <c r="P2" s="13" t="inlineStr">
        <is>
          <t>Knowledge %</t>
        </is>
      </c>
      <c r="Q2" s="13" t="inlineStr">
        <is>
          <t>Result</t>
        </is>
      </c>
      <c r="R2" s="7" t="n"/>
      <c r="S2" s="7" t="inlineStr">
        <is>
          <t>Safety/ 5S</t>
        </is>
      </c>
      <c r="T2" s="7" t="inlineStr">
        <is>
          <t>SOP's/ WI CHECK</t>
        </is>
      </c>
      <c r="U2" s="7" t="inlineStr">
        <is>
          <t>Skill Assessment Mark</t>
        </is>
      </c>
      <c r="V2" s="7" t="inlineStr">
        <is>
          <t>Skill Assessment %</t>
        </is>
      </c>
      <c r="W2" s="7" t="inlineStr">
        <is>
          <t>Result</t>
        </is>
      </c>
      <c r="X2" s="14" t="inlineStr">
        <is>
          <t>Overall Result</t>
        </is>
      </c>
      <c r="Y2" s="14" t="inlineStr">
        <is>
          <t>After evaluation Skill level</t>
        </is>
      </c>
    </row>
    <row r="3">
      <c r="A3" s="1">
        <f>ROW()-2</f>
        <v/>
      </c>
      <c r="B3" s="28" t="inlineStr">
        <is>
          <t>LN0242</t>
        </is>
      </c>
      <c r="C3" s="23" t="inlineStr">
        <is>
          <t>MUTHU KUTTI A</t>
        </is>
      </c>
      <c r="D3" s="23" t="inlineStr">
        <is>
          <t>PRODUCTION</t>
        </is>
      </c>
      <c r="E3" s="24" t="inlineStr">
        <is>
          <t>TYRE CURING</t>
        </is>
      </c>
      <c r="F3" s="29" t="n">
        <v>45369</v>
      </c>
      <c r="G3" s="30">
        <f>NOW()-F3</f>
        <v/>
      </c>
      <c r="H3" s="144" t="inlineStr">
        <is>
          <t>U</t>
        </is>
      </c>
      <c r="I3" s="144" t="inlineStr">
        <is>
          <t>L</t>
        </is>
      </c>
      <c r="J3" s="144" t="n">
        <v>5</v>
      </c>
      <c r="K3" s="144" t="n">
        <v>4</v>
      </c>
      <c r="L3" s="144" t="n">
        <v>5</v>
      </c>
      <c r="M3" s="144" t="n">
        <v>5</v>
      </c>
      <c r="N3" s="144" t="n">
        <v>4</v>
      </c>
      <c r="O3" s="104">
        <f>SUM(J3:N3)</f>
        <v/>
      </c>
      <c r="P3" s="12">
        <f>O3/IF(H3="L",20,IF(H3="U",30,IF(H3="O",40,IF(H3="I",20,""))))</f>
        <v/>
      </c>
      <c r="Q3" s="145">
        <f>IF(AND(H3="L", P3&gt;=50%), "Pass",
 IF(AND(H3="U", P3&gt;=60%), "Pass",
 IF(AND(H3="O", P3&gt;=75%), "Pass", "Fail")))</f>
        <v/>
      </c>
      <c r="R3" s="146" t="n"/>
      <c r="S3" s="146" t="n">
        <v>17</v>
      </c>
      <c r="T3" s="146" t="n">
        <v>13</v>
      </c>
      <c r="U3" s="104">
        <f>SUM(S3:T3)</f>
        <v/>
      </c>
      <c r="V3" s="12">
        <f>U3/IF(H3="L",35,IF(H3="U",35,IF(H3="O",35,IF(H3="I",35,""))))</f>
        <v/>
      </c>
      <c r="W3" s="145">
        <f>IF(AND(H3="L", V3&gt;=50%), "Pass",
 IF(AND(H3="U", V3&gt;=60%), "Pass",
 IF(AND(H3="O", V3&gt;=75%), "Pass", "Fail")))</f>
        <v/>
      </c>
      <c r="X3" s="145">
        <f>IF(AND(Q3="Pass", W3="Pass"), "Pass", "Fail")</f>
        <v/>
      </c>
      <c r="Y3" s="15">
        <f>IF($X3="Pass",$H3,
IF(H3="L","I",
IF(H3="U","L",
IF(H3="O","U",
"I"))))</f>
        <v/>
      </c>
      <c r="AA3">
        <f>VLOOKUP($B3,[1]Sheet1!$B:$B,1,0)</f>
        <v/>
      </c>
      <c r="AB3">
        <f>VLOOKUP($B3,'[2]Left Employee Report'!$D$5:$D$277,1,0)</f>
        <v/>
      </c>
    </row>
    <row r="4">
      <c r="A4" s="1">
        <f>ROW()-2</f>
        <v/>
      </c>
      <c r="B4" s="28" t="inlineStr">
        <is>
          <t>AK0426</t>
        </is>
      </c>
      <c r="C4" s="23" t="inlineStr">
        <is>
          <t>GOPI U</t>
        </is>
      </c>
      <c r="D4" s="23" t="inlineStr">
        <is>
          <t>PRODUCTION</t>
        </is>
      </c>
      <c r="E4" s="24" t="inlineStr">
        <is>
          <t>TYRE BUILDING-P2</t>
        </is>
      </c>
      <c r="F4" s="29" t="n">
        <v>42493</v>
      </c>
      <c r="G4" s="30">
        <f>NOW()-F4</f>
        <v/>
      </c>
      <c r="H4" s="144" t="inlineStr">
        <is>
          <t>O</t>
        </is>
      </c>
      <c r="I4" s="144" t="inlineStr">
        <is>
          <t>U</t>
        </is>
      </c>
      <c r="J4" s="144" t="n"/>
      <c r="K4" s="144" t="n"/>
      <c r="L4" s="144" t="n"/>
      <c r="M4" s="144" t="n"/>
      <c r="N4" s="144" t="n"/>
      <c r="O4" s="104">
        <f>SUM(J4:N4)</f>
        <v/>
      </c>
      <c r="P4" s="12">
        <f>O4/IF(H4="L",20,IF(H4="U",30,IF(H4="O",40,IF(H4="I",20,""))))</f>
        <v/>
      </c>
      <c r="Q4" s="145">
        <f>IF(AND(H4="L", P4&gt;=50%), "Pass",
IF(AND(H4="U", P4&gt;=60%), "Pass",
IF(AND(H4="O", P4&gt;=75%), "Pass", "Fail")))</f>
        <v/>
      </c>
      <c r="R4" s="146" t="n"/>
      <c r="S4" s="146" t="n"/>
      <c r="T4" s="146" t="n"/>
      <c r="U4" s="104">
        <f>SUM(S4:T4)</f>
        <v/>
      </c>
      <c r="V4" s="12">
        <f>U4/IF(H4="L",35,IF(H4="U",35,IF(H4="O",35,IF(H4="I",35,""))))</f>
        <v/>
      </c>
      <c r="W4" s="145">
        <f>IF(AND(H4="L", V4&gt;=50%), "Pass",
IF(AND(H4="U", V4&gt;=60%), "Pass",
IF(AND(H4="O", V4&gt;=75%), "Pass", "Fail")))</f>
        <v/>
      </c>
      <c r="X4" s="145">
        <f>IF(AND(Q4="Pass", W4="Pass"), "Pass", "Fail")</f>
        <v/>
      </c>
      <c r="Y4" s="15">
        <f>IF($X4="Pass",$H4,
IF(H4="L","I",
IF(H4="U","L",
IF(H4="O","U",
"I"))))</f>
        <v/>
      </c>
      <c r="AA4">
        <f>VLOOKUP($B4,[1]Sheet1!$B:$B,1,0)</f>
        <v/>
      </c>
      <c r="AB4">
        <f>VLOOKUP($B4,'[3]Left Employee Report'!$D:$D,1,0)</f>
        <v/>
      </c>
    </row>
    <row r="5">
      <c r="A5" s="1">
        <f>ROW()-2</f>
        <v/>
      </c>
      <c r="B5" s="28" t="inlineStr">
        <is>
          <t>AK0640</t>
        </is>
      </c>
      <c r="C5" s="23" t="inlineStr">
        <is>
          <t>KARUPPASAMY P</t>
        </is>
      </c>
      <c r="D5" s="23" t="inlineStr">
        <is>
          <t>PRODUCTION</t>
        </is>
      </c>
      <c r="E5" s="24" t="inlineStr">
        <is>
          <t>TYRE CURING</t>
        </is>
      </c>
      <c r="F5" s="29" t="n">
        <v>41324</v>
      </c>
      <c r="G5" s="30">
        <f>NOW()-F5</f>
        <v/>
      </c>
      <c r="H5" s="144" t="inlineStr">
        <is>
          <t>O</t>
        </is>
      </c>
      <c r="I5" s="144" t="inlineStr">
        <is>
          <t>O</t>
        </is>
      </c>
      <c r="J5" s="144" t="n"/>
      <c r="K5" s="144" t="n"/>
      <c r="L5" s="144" t="n"/>
      <c r="M5" s="144" t="n"/>
      <c r="N5" s="144" t="n"/>
      <c r="O5" s="104">
        <f>SUM(J5:N5)</f>
        <v/>
      </c>
      <c r="P5" s="12">
        <f>O5/IF(H5="L",20,IF(H5="U",30,IF(H5="O",40,IF(H5="I",20,""))))</f>
        <v/>
      </c>
      <c r="Q5" s="145">
        <f>IF(AND(H5="L", P5&gt;=50%), "Pass",
IF(AND(H5="U", P5&gt;=60%), "Pass",
IF(AND(H5="O", P5&gt;=75%), "Pass", "Fail")))</f>
        <v/>
      </c>
      <c r="R5" s="146" t="n"/>
      <c r="S5" s="146" t="n"/>
      <c r="T5" s="146" t="n"/>
      <c r="U5" s="104">
        <f>SUM(S5:T5)</f>
        <v/>
      </c>
      <c r="V5" s="12">
        <f>U5/IF(H5="L",35,IF(H5="U",35,IF(H5="O",35,IF(H5="I",35,""))))</f>
        <v/>
      </c>
      <c r="W5" s="145">
        <f>IF(AND(H5="L", V5&gt;=50%), "Pass",
IF(AND(H5="U", V5&gt;=60%), "Pass",
IF(AND(H5="O", V5&gt;=75%), "Pass", "Fail")))</f>
        <v/>
      </c>
      <c r="X5" s="145">
        <f>IF(AND(Q5="Pass", W5="Pass"), "Pass", "Fail")</f>
        <v/>
      </c>
      <c r="Y5" s="15">
        <f>IF($X5="Pass",$H5,
IF(H5="L","I",
IF(H5="U","L",
IF(H5="O","U",
"I"))))</f>
        <v/>
      </c>
      <c r="AA5">
        <f>VLOOKUP($B5,[1]Sheet1!$B:$B,1,0)</f>
        <v/>
      </c>
      <c r="AB5">
        <f>VLOOKUP($B5,'[3]Left Employee Report'!$D:$D,1,0)</f>
        <v/>
      </c>
    </row>
    <row r="6">
      <c r="A6" s="1">
        <f>ROW()-2</f>
        <v/>
      </c>
      <c r="B6" s="28" t="inlineStr">
        <is>
          <t>AK0696</t>
        </is>
      </c>
      <c r="C6" s="23" t="inlineStr">
        <is>
          <t>SIMAN TAMILARASAN</t>
        </is>
      </c>
      <c r="D6" s="23" t="inlineStr">
        <is>
          <t>PRODUCTION</t>
        </is>
      </c>
      <c r="E6" s="24" t="inlineStr">
        <is>
          <t>TYRE BUILDING-P2</t>
        </is>
      </c>
      <c r="F6" s="29" t="n">
        <v>43042</v>
      </c>
      <c r="G6" s="30">
        <f>NOW()-F6</f>
        <v/>
      </c>
      <c r="H6" s="144" t="inlineStr">
        <is>
          <t>O</t>
        </is>
      </c>
      <c r="I6" s="144" t="inlineStr">
        <is>
          <t>U</t>
        </is>
      </c>
      <c r="J6" s="144" t="n"/>
      <c r="K6" s="144" t="n"/>
      <c r="L6" s="144" t="n"/>
      <c r="M6" s="144" t="n"/>
      <c r="N6" s="144" t="n"/>
      <c r="O6" s="104">
        <f>SUM(J6:N6)</f>
        <v/>
      </c>
      <c r="P6" s="12">
        <f>O6/IF(H6="L",20,IF(H6="U",30,IF(H6="O",40,IF(H6="I",20,""))))</f>
        <v/>
      </c>
      <c r="Q6" s="145">
        <f>IF(AND(H6="L", P6&gt;=50%), "Pass",
IF(AND(H6="U", P6&gt;=60%), "Pass",
IF(AND(H6="O", P6&gt;=75%), "Pass", "Fail")))</f>
        <v/>
      </c>
      <c r="R6" s="146" t="n"/>
      <c r="S6" s="146" t="n"/>
      <c r="T6" s="146" t="n"/>
      <c r="U6" s="104">
        <f>SUM(S6:T6)</f>
        <v/>
      </c>
      <c r="V6" s="12">
        <f>U6/IF(H6="L",35,IF(H6="U",35,IF(H6="O",35,IF(H6="I",35,""))))</f>
        <v/>
      </c>
      <c r="W6" s="145">
        <f>IF(AND(H6="L", V6&gt;=50%), "Pass",
IF(AND(H6="U", V6&gt;=60%), "Pass",
IF(AND(H6="O", V6&gt;=75%), "Pass", "Fail")))</f>
        <v/>
      </c>
      <c r="X6" s="145">
        <f>IF(AND(Q6="Pass", W6="Pass"), "Pass", "Fail")</f>
        <v/>
      </c>
      <c r="Y6" s="15">
        <f>IF($X6="Pass",$H6,
IF(H6="L","I",
IF(H6="U","L",
IF(H6="O","U",
"I"))))</f>
        <v/>
      </c>
      <c r="AA6">
        <f>VLOOKUP($B6,[1]Sheet1!$B:$B,1,0)</f>
        <v/>
      </c>
      <c r="AB6">
        <f>VLOOKUP($B6,'[3]Left Employee Report'!$D:$D,1,0)</f>
        <v/>
      </c>
    </row>
    <row r="7">
      <c r="A7" s="1">
        <f>ROW()-2</f>
        <v/>
      </c>
      <c r="B7" s="28" t="inlineStr">
        <is>
          <t>AK0736</t>
        </is>
      </c>
      <c r="C7" s="23" t="inlineStr">
        <is>
          <t>RAMABALAN RAJA</t>
        </is>
      </c>
      <c r="D7" s="23" t="inlineStr">
        <is>
          <t>PRODUCTION</t>
        </is>
      </c>
      <c r="E7" s="24" t="inlineStr">
        <is>
          <t>TYRE CURING</t>
        </is>
      </c>
      <c r="F7" s="29" t="n">
        <v>43084</v>
      </c>
      <c r="G7" s="30">
        <f>NOW()-F7</f>
        <v/>
      </c>
      <c r="H7" s="144" t="inlineStr">
        <is>
          <t>O</t>
        </is>
      </c>
      <c r="I7" s="144" t="inlineStr">
        <is>
          <t>O</t>
        </is>
      </c>
      <c r="J7" s="144" t="n"/>
      <c r="K7" s="144" t="n"/>
      <c r="L7" s="144" t="n"/>
      <c r="M7" s="144" t="n"/>
      <c r="N7" s="144" t="n"/>
      <c r="O7" s="104">
        <f>SUM(J7:N7)</f>
        <v/>
      </c>
      <c r="P7" s="12">
        <f>O7/IF(H7="L",20,IF(H7="U",30,IF(H7="O",40,IF(H7="I",20,""))))</f>
        <v/>
      </c>
      <c r="Q7" s="145">
        <f>IF(AND(H7="L", P7&gt;=50%), "Pass",
IF(AND(H7="U", P7&gt;=60%), "Pass",
IF(AND(H7="O", P7&gt;=75%), "Pass", "Fail")))</f>
        <v/>
      </c>
      <c r="R7" s="146" t="n"/>
      <c r="S7" s="146" t="n"/>
      <c r="T7" s="146" t="n"/>
      <c r="U7" s="104">
        <f>SUM(S7:T7)</f>
        <v/>
      </c>
      <c r="V7" s="12">
        <f>U7/IF(H7="L",35,IF(H7="U",35,IF(H7="O",35,IF(H7="I",35,""))))</f>
        <v/>
      </c>
      <c r="W7" s="145">
        <f>IF(AND(H7="L", V7&gt;=50%), "Pass",
IF(AND(H7="U", V7&gt;=60%), "Pass",
IF(AND(H7="O", V7&gt;=75%), "Pass", "Fail")))</f>
        <v/>
      </c>
      <c r="X7" s="145">
        <f>IF(AND(Q7="Pass", W7="Pass"), "Pass", "Fail")</f>
        <v/>
      </c>
      <c r="Y7" s="15">
        <f>IF($X7="Pass",$H7,
IF(H7="L","I",
IF(H7="U","L",
IF(H7="O","U",
"I"))))</f>
        <v/>
      </c>
      <c r="AA7">
        <f>VLOOKUP($B7,[1]Sheet1!$B:$B,1,0)</f>
        <v/>
      </c>
      <c r="AB7">
        <f>VLOOKUP($B7,'[3]Left Employee Report'!$D:$D,1,0)</f>
        <v/>
      </c>
    </row>
    <row r="8">
      <c r="A8" s="1">
        <f>ROW()-2</f>
        <v/>
      </c>
      <c r="B8" s="28" t="inlineStr">
        <is>
          <t>AK0739</t>
        </is>
      </c>
      <c r="C8" s="23" t="inlineStr">
        <is>
          <t>VIGNESH VELU</t>
        </is>
      </c>
      <c r="D8" s="23" t="inlineStr">
        <is>
          <t>PRODUCTION</t>
        </is>
      </c>
      <c r="E8" s="24" t="inlineStr">
        <is>
          <t>TYRE CURING</t>
        </is>
      </c>
      <c r="F8" s="29" t="n">
        <v>43085</v>
      </c>
      <c r="G8" s="30">
        <f>NOW()-F8</f>
        <v/>
      </c>
      <c r="H8" s="144" t="inlineStr">
        <is>
          <t>O</t>
        </is>
      </c>
      <c r="I8" s="144" t="inlineStr">
        <is>
          <t>O</t>
        </is>
      </c>
      <c r="J8" s="144" t="n"/>
      <c r="K8" s="144" t="n"/>
      <c r="L8" s="144" t="n"/>
      <c r="M8" s="144" t="n"/>
      <c r="N8" s="144" t="n"/>
      <c r="O8" s="104">
        <f>SUM(J8:N8)</f>
        <v/>
      </c>
      <c r="P8" s="12">
        <f>O8/IF(H8="L",20,IF(H8="U",30,IF(H8="O",40,IF(H8="I",20,""))))</f>
        <v/>
      </c>
      <c r="Q8" s="145">
        <f>IF(AND(H8="L", P8&gt;=50%), "Pass",
IF(AND(H8="U", P8&gt;=60%), "Pass",
IF(AND(H8="O", P8&gt;=75%), "Pass", "Fail")))</f>
        <v/>
      </c>
      <c r="R8" s="146" t="n"/>
      <c r="S8" s="146" t="n"/>
      <c r="T8" s="146" t="n"/>
      <c r="U8" s="104">
        <f>SUM(S8:T8)</f>
        <v/>
      </c>
      <c r="V8" s="12">
        <f>U8/IF(H8="L",35,IF(H8="U",35,IF(H8="O",35,IF(H8="I",35,""))))</f>
        <v/>
      </c>
      <c r="W8" s="145">
        <f>IF(AND(H8="L", V8&gt;=50%), "Pass",
IF(AND(H8="U", V8&gt;=60%), "Pass",
IF(AND(H8="O", V8&gt;=75%), "Pass", "Fail")))</f>
        <v/>
      </c>
      <c r="X8" s="145">
        <f>IF(AND(Q8="Pass", W8="Pass"), "Pass", "Fail")</f>
        <v/>
      </c>
      <c r="Y8" s="15">
        <f>IF($X8="Pass",$H8,
IF(H8="L","I",
IF(H8="U","L",
IF(H8="O","U",
"I"))))</f>
        <v/>
      </c>
      <c r="AA8">
        <f>VLOOKUP($B8,[1]Sheet1!$B:$B,1,0)</f>
        <v/>
      </c>
      <c r="AB8">
        <f>VLOOKUP($B8,'[3]Left Employee Report'!$D:$D,1,0)</f>
        <v/>
      </c>
    </row>
    <row r="9">
      <c r="A9" s="1">
        <f>ROW()-2</f>
        <v/>
      </c>
      <c r="B9" s="28" t="inlineStr">
        <is>
          <t>AK0810</t>
        </is>
      </c>
      <c r="C9" s="23" t="inlineStr">
        <is>
          <t>DURAI MURUGAN R</t>
        </is>
      </c>
      <c r="D9" s="23" t="inlineStr">
        <is>
          <t>PRODUCTION</t>
        </is>
      </c>
      <c r="E9" s="24" t="inlineStr">
        <is>
          <t>BEAD WINDING</t>
        </is>
      </c>
      <c r="F9" s="29" t="n">
        <v>43288</v>
      </c>
      <c r="G9" s="30">
        <f>NOW()-F9</f>
        <v/>
      </c>
      <c r="H9" s="144" t="inlineStr">
        <is>
          <t>O</t>
        </is>
      </c>
      <c r="I9" s="144" t="inlineStr">
        <is>
          <t>U</t>
        </is>
      </c>
      <c r="J9" s="144" t="n"/>
      <c r="K9" s="144" t="n"/>
      <c r="L9" s="144" t="n"/>
      <c r="M9" s="144" t="n"/>
      <c r="N9" s="144" t="n"/>
      <c r="O9" s="104">
        <f>SUM(J9:N9)</f>
        <v/>
      </c>
      <c r="P9" s="12">
        <f>O9/IF(H9="L",20,IF(H9="U",30,IF(H9="O",40,IF(H9="I",20,""))))</f>
        <v/>
      </c>
      <c r="Q9" s="145">
        <f>IF(AND(H9="L", P9&gt;=50%), "Pass",
IF(AND(H9="U", P9&gt;=60%), "Pass",
IF(AND(H9="O", P9&gt;=75%), "Pass", "Fail")))</f>
        <v/>
      </c>
      <c r="R9" s="146" t="n"/>
      <c r="S9" s="146" t="n"/>
      <c r="T9" s="146" t="n"/>
      <c r="U9" s="104">
        <f>SUM(S9:T9)</f>
        <v/>
      </c>
      <c r="V9" s="12">
        <f>U9/IF(H9="L",35,IF(H9="U",35,IF(H9="O",35,IF(H9="I",35,""))))</f>
        <v/>
      </c>
      <c r="W9" s="145">
        <f>IF(AND(H9="L", V9&gt;=50%), "Pass",
IF(AND(H9="U", V9&gt;=60%), "Pass",
IF(AND(H9="O", V9&gt;=75%), "Pass", "Fail")))</f>
        <v/>
      </c>
      <c r="X9" s="145">
        <f>IF(AND(Q9="Pass", W9="Pass"), "Pass", "Fail")</f>
        <v/>
      </c>
      <c r="Y9" s="15">
        <f>IF($X9="Pass",$H9,
IF(H9="L","I",
IF(H9="U","L",
IF(H9="O","U",
"I"))))</f>
        <v/>
      </c>
      <c r="AA9">
        <f>VLOOKUP($B9,[1]Sheet1!$B:$B,1,0)</f>
        <v/>
      </c>
      <c r="AB9">
        <f>VLOOKUP($B9,'[3]Left Employee Report'!$D:$D,1,0)</f>
        <v/>
      </c>
    </row>
    <row r="10">
      <c r="A10" s="1">
        <f>ROW()-2</f>
        <v/>
      </c>
      <c r="B10" s="28" t="inlineStr">
        <is>
          <t>AK0825</t>
        </is>
      </c>
      <c r="C10" s="23" t="inlineStr">
        <is>
          <t>KARUPPASAMY P</t>
        </is>
      </c>
      <c r="D10" s="23" t="inlineStr">
        <is>
          <t>PRODUCTION</t>
        </is>
      </c>
      <c r="E10" s="24" t="inlineStr">
        <is>
          <t>TYRE CURING</t>
        </is>
      </c>
      <c r="F10" s="29" t="n">
        <v>43413</v>
      </c>
      <c r="G10" s="30">
        <f>NOW()-F10</f>
        <v/>
      </c>
      <c r="H10" s="144" t="inlineStr">
        <is>
          <t>O</t>
        </is>
      </c>
      <c r="I10" s="144" t="inlineStr">
        <is>
          <t>O</t>
        </is>
      </c>
      <c r="J10" s="144" t="n"/>
      <c r="K10" s="144" t="n"/>
      <c r="L10" s="144" t="n"/>
      <c r="M10" s="144" t="n"/>
      <c r="N10" s="144" t="n"/>
      <c r="O10" s="104">
        <f>SUM(J10:N10)</f>
        <v/>
      </c>
      <c r="P10" s="12">
        <f>O10/IF(H10="L",20,IF(H10="U",30,IF(H10="O",40,IF(H10="I",20,""))))</f>
        <v/>
      </c>
      <c r="Q10" s="145">
        <f>IF(AND(H10="L", P10&gt;=50%), "Pass",
IF(AND(H10="U", P10&gt;=60%), "Pass",
IF(AND(H10="O", P10&gt;=75%), "Pass", "Fail")))</f>
        <v/>
      </c>
      <c r="R10" s="146" t="n"/>
      <c r="S10" s="146" t="n"/>
      <c r="T10" s="146" t="n"/>
      <c r="U10" s="104">
        <f>SUM(S10:T10)</f>
        <v/>
      </c>
      <c r="V10" s="12">
        <f>U10/IF(H10="L",35,IF(H10="U",35,IF(H10="O",35,IF(H10="I",35,""))))</f>
        <v/>
      </c>
      <c r="W10" s="145">
        <f>IF(AND(H10="L", V10&gt;=50%), "Pass",
IF(AND(H10="U", V10&gt;=60%), "Pass",
IF(AND(H10="O", V10&gt;=75%), "Pass", "Fail")))</f>
        <v/>
      </c>
      <c r="X10" s="145">
        <f>IF(AND(Q10="Pass", W10="Pass"), "Pass", "Fail")</f>
        <v/>
      </c>
      <c r="Y10" s="15">
        <f>IF($X10="Pass",$H10,
IF(H10="L","I",
IF(H10="U","L",
IF(H10="O","U",
"I"))))</f>
        <v/>
      </c>
      <c r="AA10">
        <f>VLOOKUP($B10,[1]Sheet1!$B:$B,1,0)</f>
        <v/>
      </c>
      <c r="AB10">
        <f>VLOOKUP($B10,'[3]Left Employee Report'!$D:$D,1,0)</f>
        <v/>
      </c>
    </row>
    <row r="11">
      <c r="A11" s="1">
        <f>ROW()-2</f>
        <v/>
      </c>
      <c r="B11" s="28" t="inlineStr">
        <is>
          <t>AK1178</t>
        </is>
      </c>
      <c r="C11" s="23" t="inlineStr">
        <is>
          <t>VEYILU MUTHU</t>
        </is>
      </c>
      <c r="D11" s="23" t="inlineStr">
        <is>
          <t>PRODUCTION</t>
        </is>
      </c>
      <c r="E11" s="24" t="inlineStr">
        <is>
          <t>TYRE CURING</t>
        </is>
      </c>
      <c r="F11" s="29" t="n">
        <v>45678</v>
      </c>
      <c r="G11" s="30">
        <f>NOW()-F11</f>
        <v/>
      </c>
      <c r="H11" s="144" t="inlineStr">
        <is>
          <t>L</t>
        </is>
      </c>
      <c r="I11" s="144" t="inlineStr">
        <is>
          <t>L</t>
        </is>
      </c>
      <c r="J11" s="144" t="n"/>
      <c r="K11" s="144" t="n"/>
      <c r="L11" s="144" t="n"/>
      <c r="M11" s="144" t="n"/>
      <c r="N11" s="144" t="n"/>
      <c r="O11" s="104">
        <f>SUM(J11:N11)</f>
        <v/>
      </c>
      <c r="P11" s="12">
        <f>O11/IF(H11="L",20,IF(H11="U",30,IF(H11="O",40,IF(H11="I",20,""))))</f>
        <v/>
      </c>
      <c r="Q11" s="145">
        <f>IF(AND(H11="L", P11&gt;=50%), "Pass",
IF(AND(H11="U", P11&gt;=60%), "Pass",
IF(AND(H11="O", P11&gt;=75%), "Pass", "Fail")))</f>
        <v/>
      </c>
      <c r="R11" s="146" t="n"/>
      <c r="S11" s="146" t="n"/>
      <c r="T11" s="146" t="n"/>
      <c r="U11" s="104">
        <f>SUM(S11:T11)</f>
        <v/>
      </c>
      <c r="V11" s="12">
        <f>U11/IF(H11="L",35,IF(H11="U",35,IF(H11="O",35,IF(H11="I",35,""))))</f>
        <v/>
      </c>
      <c r="W11" s="145">
        <f>IF(AND(H11="L", V11&gt;=50%), "Pass",
IF(AND(H11="U", V11&gt;=60%), "Pass",
IF(AND(H11="O", V11&gt;=75%), "Pass", "Fail")))</f>
        <v/>
      </c>
      <c r="X11" s="145">
        <f>IF(AND(Q11="Pass", W11="Pass"), "Pass", "Fail")</f>
        <v/>
      </c>
      <c r="Y11" s="15">
        <f>IF($X11="Pass",$H11,
IF(H11="L","I",
IF(H11="U","L",
IF(H11="O","U",
"I"))))</f>
        <v/>
      </c>
      <c r="AA11">
        <f>VLOOKUP($B11,[1]Sheet1!$B:$B,1,0)</f>
        <v/>
      </c>
      <c r="AB11">
        <f>VLOOKUP($B11,'[3]Left Employee Report'!$D:$D,1,0)</f>
        <v/>
      </c>
    </row>
    <row r="12">
      <c r="A12" s="1">
        <f>ROW()-2</f>
        <v/>
      </c>
      <c r="B12" s="28" t="inlineStr">
        <is>
          <t>AK1184</t>
        </is>
      </c>
      <c r="C12" s="23" t="inlineStr">
        <is>
          <t>KANNAN</t>
        </is>
      </c>
      <c r="D12" s="23" t="inlineStr">
        <is>
          <t>PRODUCTION</t>
        </is>
      </c>
      <c r="E12" s="24" t="inlineStr">
        <is>
          <t>SOLID TYRE</t>
        </is>
      </c>
      <c r="F12" s="29" t="n">
        <v>45684</v>
      </c>
      <c r="G12" s="30">
        <f>NOW()-F12</f>
        <v/>
      </c>
      <c r="H12" s="144" t="inlineStr">
        <is>
          <t>L</t>
        </is>
      </c>
      <c r="I12" s="144" t="inlineStr">
        <is>
          <t>L</t>
        </is>
      </c>
      <c r="J12" s="144" t="n"/>
      <c r="K12" s="144" t="n"/>
      <c r="L12" s="144" t="n"/>
      <c r="M12" s="144" t="n"/>
      <c r="N12" s="144" t="n"/>
      <c r="O12" s="104">
        <f>SUM(J12:N12)</f>
        <v/>
      </c>
      <c r="P12" s="12">
        <f>O12/IF(H12="L",20,IF(H12="U",30,IF(H12="O",40,IF(H12="I",20,""))))</f>
        <v/>
      </c>
      <c r="Q12" s="145">
        <f>IF(AND(H12="L", P12&gt;=50%), "Pass",
IF(AND(H12="U", P12&gt;=60%), "Pass",
IF(AND(H12="O", P12&gt;=75%), "Pass", "Fail")))</f>
        <v/>
      </c>
      <c r="R12" s="146" t="n"/>
      <c r="S12" s="146" t="n"/>
      <c r="T12" s="146" t="n"/>
      <c r="U12" s="104">
        <f>SUM(S12:T12)</f>
        <v/>
      </c>
      <c r="V12" s="12">
        <f>U12/IF(H12="L",35,IF(H12="U",35,IF(H12="O",35,IF(H12="I",35,""))))</f>
        <v/>
      </c>
      <c r="W12" s="145">
        <f>IF(AND(H12="L", V12&gt;=50%), "Pass",
IF(AND(H12="U", V12&gt;=60%), "Pass",
IF(AND(H12="O", V12&gt;=75%), "Pass", "Fail")))</f>
        <v/>
      </c>
      <c r="X12" s="145">
        <f>IF(AND(Q12="Pass", W12="Pass"), "Pass", "Fail")</f>
        <v/>
      </c>
      <c r="Y12" s="15">
        <f>IF($X12="Pass",$H12,
IF(H12="L","I",
IF(H12="U","L",
IF(H12="O","U",
"I"))))</f>
        <v/>
      </c>
      <c r="AA12">
        <f>VLOOKUP($B12,[1]Sheet1!$B:$B,1,0)</f>
        <v/>
      </c>
      <c r="AB12">
        <f>VLOOKUP($B12,'[3]Left Employee Report'!$D:$D,1,0)</f>
        <v/>
      </c>
    </row>
    <row r="13">
      <c r="A13" s="1">
        <f>ROW()-2</f>
        <v/>
      </c>
      <c r="B13" s="28" t="inlineStr">
        <is>
          <t>KK0224</t>
        </is>
      </c>
      <c r="C13" s="23" t="inlineStr">
        <is>
          <t>ASIERVATHARAJ</t>
        </is>
      </c>
      <c r="D13" s="23" t="inlineStr">
        <is>
          <t>PRODUCTION</t>
        </is>
      </c>
      <c r="E13" s="24" t="inlineStr">
        <is>
          <t>TYRE CURING</t>
        </is>
      </c>
      <c r="F13" s="29" t="n">
        <v>41766</v>
      </c>
      <c r="G13" s="30">
        <f>NOW()-F13</f>
        <v/>
      </c>
      <c r="H13" s="144" t="inlineStr">
        <is>
          <t>O</t>
        </is>
      </c>
      <c r="I13" s="144" t="inlineStr">
        <is>
          <t>U</t>
        </is>
      </c>
      <c r="J13" s="144" t="n"/>
      <c r="K13" s="144" t="n"/>
      <c r="L13" s="144" t="n"/>
      <c r="M13" s="144" t="n"/>
      <c r="N13" s="144" t="n"/>
      <c r="O13" s="104">
        <f>SUM(J13:N13)</f>
        <v/>
      </c>
      <c r="P13" s="12">
        <f>O13/IF(H13="L",20,IF(H13="U",30,IF(H13="O",40,IF(H13="I",20,""))))</f>
        <v/>
      </c>
      <c r="Q13" s="145">
        <f>IF(AND(H13="L", P13&gt;=50%), "Pass",
IF(AND(H13="U", P13&gt;=60%), "Pass",
IF(AND(H13="O", P13&gt;=75%), "Pass", "Fail")))</f>
        <v/>
      </c>
      <c r="R13" s="146" t="n"/>
      <c r="S13" s="146" t="n"/>
      <c r="T13" s="146" t="n"/>
      <c r="U13" s="104">
        <f>SUM(S13:T13)</f>
        <v/>
      </c>
      <c r="V13" s="12">
        <f>U13/IF(H13="L",35,IF(H13="U",35,IF(H13="O",35,IF(H13="I",35,""))))</f>
        <v/>
      </c>
      <c r="W13" s="145">
        <f>IF(AND(H13="L", V13&gt;=50%), "Pass",
IF(AND(H13="U", V13&gt;=60%), "Pass",
IF(AND(H13="O", V13&gt;=75%), "Pass", "Fail")))</f>
        <v/>
      </c>
      <c r="X13" s="145">
        <f>IF(AND(Q13="Pass", W13="Pass"), "Pass", "Fail")</f>
        <v/>
      </c>
      <c r="Y13" s="15">
        <f>IF($X13="Pass",$H13,
IF(H13="L","I",
IF(H13="U","L",
IF(H13="O","U",
"I"))))</f>
        <v/>
      </c>
      <c r="AA13">
        <f>VLOOKUP($B13,[1]Sheet1!$B:$B,1,0)</f>
        <v/>
      </c>
      <c r="AB13">
        <f>VLOOKUP($B13,'[3]Left Employee Report'!$D:$D,1,0)</f>
        <v/>
      </c>
    </row>
    <row r="14">
      <c r="A14" s="1">
        <f>ROW()-2</f>
        <v/>
      </c>
      <c r="B14" s="28" t="inlineStr">
        <is>
          <t>KK0352</t>
        </is>
      </c>
      <c r="C14" s="23" t="inlineStr">
        <is>
          <t>IYAPPAN B</t>
        </is>
      </c>
      <c r="D14" s="23" t="inlineStr">
        <is>
          <t>PRODUCTION</t>
        </is>
      </c>
      <c r="E14" s="24" t="inlineStr">
        <is>
          <t>TYRE CURING</t>
        </is>
      </c>
      <c r="F14" s="29" t="n">
        <v>42073</v>
      </c>
      <c r="G14" s="30">
        <f>NOW()-F14</f>
        <v/>
      </c>
      <c r="H14" s="144" t="inlineStr">
        <is>
          <t>O</t>
        </is>
      </c>
      <c r="I14" s="144" t="inlineStr">
        <is>
          <t>O</t>
        </is>
      </c>
      <c r="J14" s="144" t="n"/>
      <c r="K14" s="144" t="n"/>
      <c r="L14" s="144" t="n"/>
      <c r="M14" s="144" t="n"/>
      <c r="N14" s="144" t="n"/>
      <c r="O14" s="104">
        <f>SUM(J14:N14)</f>
        <v/>
      </c>
      <c r="P14" s="12">
        <f>O14/IF(H14="L",20,IF(H14="U",30,IF(H14="O",40,IF(H14="I",20,""))))</f>
        <v/>
      </c>
      <c r="Q14" s="145">
        <f>IF(AND(H14="L", P14&gt;=50%), "Pass",
IF(AND(H14="U", P14&gt;=60%), "Pass",
IF(AND(H14="O", P14&gt;=75%), "Pass", "Fail")))</f>
        <v/>
      </c>
      <c r="R14" s="146" t="n"/>
      <c r="S14" s="146" t="n"/>
      <c r="T14" s="146" t="n"/>
      <c r="U14" s="104">
        <f>SUM(S14:T14)</f>
        <v/>
      </c>
      <c r="V14" s="12">
        <f>U14/IF(H14="L",35,IF(H14="U",35,IF(H14="O",35,IF(H14="I",35,""))))</f>
        <v/>
      </c>
      <c r="W14" s="145">
        <f>IF(AND(H14="L", V14&gt;=50%), "Pass",
IF(AND(H14="U", V14&gt;=60%), "Pass",
IF(AND(H14="O", V14&gt;=75%), "Pass", "Fail")))</f>
        <v/>
      </c>
      <c r="X14" s="145">
        <f>IF(AND(Q14="Pass", W14="Pass"), "Pass", "Fail")</f>
        <v/>
      </c>
      <c r="Y14" s="15">
        <f>IF($X14="Pass",$H14,
IF(H14="L","I",
IF(H14="U","L",
IF(H14="O","U",
"I"))))</f>
        <v/>
      </c>
      <c r="AA14">
        <f>VLOOKUP($B14,[1]Sheet1!$B:$B,1,0)</f>
        <v/>
      </c>
      <c r="AB14">
        <f>VLOOKUP($B14,'[3]Left Employee Report'!$D:$D,1,0)</f>
        <v/>
      </c>
    </row>
    <row r="15">
      <c r="A15" s="1">
        <f>ROW()-2</f>
        <v/>
      </c>
      <c r="B15" s="28" t="inlineStr">
        <is>
          <t>KK0361</t>
        </is>
      </c>
      <c r="C15" s="23" t="inlineStr">
        <is>
          <t>AANDI S</t>
        </is>
      </c>
      <c r="D15" s="23" t="inlineStr">
        <is>
          <t>PRODUCTION</t>
        </is>
      </c>
      <c r="E15" s="24" t="inlineStr">
        <is>
          <t>TYRE BUILDING-P1</t>
        </is>
      </c>
      <c r="F15" s="29" t="n">
        <v>42108</v>
      </c>
      <c r="G15" s="30">
        <f>NOW()-F15</f>
        <v/>
      </c>
      <c r="H15" s="144" t="inlineStr">
        <is>
          <t>O</t>
        </is>
      </c>
      <c r="I15" s="144" t="inlineStr">
        <is>
          <t>O</t>
        </is>
      </c>
      <c r="J15" s="144" t="n"/>
      <c r="K15" s="144" t="n"/>
      <c r="L15" s="144" t="n"/>
      <c r="M15" s="144" t="n"/>
      <c r="N15" s="144" t="n"/>
      <c r="O15" s="104">
        <f>SUM(J15:N15)</f>
        <v/>
      </c>
      <c r="P15" s="12">
        <f>O15/IF(H15="L",20,IF(H15="U",30,IF(H15="O",40,IF(H15="I",20,""))))</f>
        <v/>
      </c>
      <c r="Q15" s="145">
        <f>IF(AND(H15="L", P15&gt;=50%), "Pass",
IF(AND(H15="U", P15&gt;=60%), "Pass",
IF(AND(H15="O", P15&gt;=75%), "Pass", "Fail")))</f>
        <v/>
      </c>
      <c r="R15" s="146" t="n"/>
      <c r="S15" s="146" t="n"/>
      <c r="T15" s="146" t="n"/>
      <c r="U15" s="104">
        <f>SUM(S15:T15)</f>
        <v/>
      </c>
      <c r="V15" s="12">
        <f>U15/IF(H15="L",35,IF(H15="U",35,IF(H15="O",35,IF(H15="I",35,""))))</f>
        <v/>
      </c>
      <c r="W15" s="145">
        <f>IF(AND(H15="L", V15&gt;=50%), "Pass",
IF(AND(H15="U", V15&gt;=60%), "Pass",
IF(AND(H15="O", V15&gt;=75%), "Pass", "Fail")))</f>
        <v/>
      </c>
      <c r="X15" s="145">
        <f>IF(AND(Q15="Pass", W15="Pass"), "Pass", "Fail")</f>
        <v/>
      </c>
      <c r="Y15" s="15">
        <f>IF($X15="Pass",$H15,
IF(H15="L","I",
IF(H15="U","L",
IF(H15="O","U",
"I"))))</f>
        <v/>
      </c>
      <c r="AA15">
        <f>VLOOKUP($B15,[1]Sheet1!$B:$B,1,0)</f>
        <v/>
      </c>
      <c r="AB15">
        <f>VLOOKUP($B15,'[3]Left Employee Report'!$D:$D,1,0)</f>
        <v/>
      </c>
    </row>
    <row r="16">
      <c r="A16" s="1">
        <f>ROW()-2</f>
        <v/>
      </c>
      <c r="B16" s="28" t="inlineStr">
        <is>
          <t>KK0964</t>
        </is>
      </c>
      <c r="C16" s="23" t="inlineStr">
        <is>
          <t>MANIKANDAN</t>
        </is>
      </c>
      <c r="D16" s="23" t="inlineStr">
        <is>
          <t>PRODUCTION</t>
        </is>
      </c>
      <c r="E16" s="24" t="inlineStr">
        <is>
          <t>TYRE BUILDING-P3</t>
        </is>
      </c>
      <c r="F16" s="29" t="n">
        <v>43405</v>
      </c>
      <c r="G16" s="30">
        <f>NOW()-F16</f>
        <v/>
      </c>
      <c r="H16" s="144" t="inlineStr">
        <is>
          <t>O</t>
        </is>
      </c>
      <c r="I16" s="144" t="inlineStr">
        <is>
          <t>O</t>
        </is>
      </c>
      <c r="J16" s="144" t="n"/>
      <c r="K16" s="144" t="n"/>
      <c r="L16" s="144" t="n"/>
      <c r="M16" s="144" t="n"/>
      <c r="N16" s="144" t="n"/>
      <c r="O16" s="104">
        <f>SUM(J16:N16)</f>
        <v/>
      </c>
      <c r="P16" s="12">
        <f>O16/IF(H16="L",20,IF(H16="U",30,IF(H16="O",40,IF(H16="I",20,""))))</f>
        <v/>
      </c>
      <c r="Q16" s="145">
        <f>IF(AND(H16="L", P16&gt;=50%), "Pass",
IF(AND(H16="U", P16&gt;=60%), "Pass",
IF(AND(H16="O", P16&gt;=75%), "Pass", "Fail")))</f>
        <v/>
      </c>
      <c r="R16" s="146" t="n"/>
      <c r="S16" s="146" t="n"/>
      <c r="T16" s="146" t="n"/>
      <c r="U16" s="104">
        <f>SUM(S16:T16)</f>
        <v/>
      </c>
      <c r="V16" s="12">
        <f>U16/IF(H16="L",35,IF(H16="U",35,IF(H16="O",35,IF(H16="I",35,""))))</f>
        <v/>
      </c>
      <c r="W16" s="145">
        <f>IF(AND(H16="L", V16&gt;=50%), "Pass",
IF(AND(H16="U", V16&gt;=60%), "Pass",
IF(AND(H16="O", V16&gt;=75%), "Pass", "Fail")))</f>
        <v/>
      </c>
      <c r="X16" s="145">
        <f>IF(AND(Q16="Pass", W16="Pass"), "Pass", "Fail")</f>
        <v/>
      </c>
      <c r="Y16" s="15">
        <f>IF($X16="Pass",$H16,
IF(H16="L","I",
IF(H16="U","L",
IF(H16="O","U",
"I"))))</f>
        <v/>
      </c>
      <c r="AA16">
        <f>VLOOKUP($B16,[1]Sheet1!$B:$B,1,0)</f>
        <v/>
      </c>
      <c r="AB16">
        <f>VLOOKUP($B16,'[3]Left Employee Report'!$D:$D,1,0)</f>
        <v/>
      </c>
    </row>
    <row r="17">
      <c r="A17" s="1">
        <f>ROW()-2</f>
        <v/>
      </c>
      <c r="B17" s="28" t="inlineStr">
        <is>
          <t>KK0967</t>
        </is>
      </c>
      <c r="C17" s="23" t="inlineStr">
        <is>
          <t>THANGADURAI CHELLADURAI</t>
        </is>
      </c>
      <c r="D17" s="23" t="inlineStr">
        <is>
          <t>PRODUCTION</t>
        </is>
      </c>
      <c r="E17" s="24" t="inlineStr">
        <is>
          <t>TYRE BUILDING-P3</t>
        </is>
      </c>
      <c r="F17" s="29" t="n">
        <v>43405</v>
      </c>
      <c r="G17" s="30">
        <f>NOW()-F17</f>
        <v/>
      </c>
      <c r="H17" s="144" t="inlineStr">
        <is>
          <t>O</t>
        </is>
      </c>
      <c r="I17" s="144" t="inlineStr">
        <is>
          <t>O</t>
        </is>
      </c>
      <c r="J17" s="144" t="n"/>
      <c r="K17" s="144" t="n"/>
      <c r="L17" s="144" t="n"/>
      <c r="M17" s="144" t="n"/>
      <c r="N17" s="144" t="n"/>
      <c r="O17" s="104">
        <f>SUM(J17:N17)</f>
        <v/>
      </c>
      <c r="P17" s="12">
        <f>O17/IF(H17="L",20,IF(H17="U",30,IF(H17="O",40,IF(H17="I",20,""))))</f>
        <v/>
      </c>
      <c r="Q17" s="145">
        <f>IF(AND(H17="L", P17&gt;=50%), "Pass",
IF(AND(H17="U", P17&gt;=60%), "Pass",
IF(AND(H17="O", P17&gt;=75%), "Pass", "Fail")))</f>
        <v/>
      </c>
      <c r="R17" s="146" t="n"/>
      <c r="S17" s="146" t="n"/>
      <c r="T17" s="146" t="n"/>
      <c r="U17" s="104">
        <f>SUM(S17:T17)</f>
        <v/>
      </c>
      <c r="V17" s="12">
        <f>U17/IF(H17="L",35,IF(H17="U",35,IF(H17="O",35,IF(H17="I",35,""))))</f>
        <v/>
      </c>
      <c r="W17" s="145">
        <f>IF(AND(H17="L", V17&gt;=50%), "Pass",
IF(AND(H17="U", V17&gt;=60%), "Pass",
IF(AND(H17="O", V17&gt;=75%), "Pass", "Fail")))</f>
        <v/>
      </c>
      <c r="X17" s="145">
        <f>IF(AND(Q17="Pass", W17="Pass"), "Pass", "Fail")</f>
        <v/>
      </c>
      <c r="Y17" s="15">
        <f>IF($X17="Pass",$H17,
IF(H17="L","I",
IF(H17="U","L",
IF(H17="O","U",
"I"))))</f>
        <v/>
      </c>
      <c r="AA17">
        <f>VLOOKUP($B17,[1]Sheet1!$B:$B,1,0)</f>
        <v/>
      </c>
      <c r="AB17">
        <f>VLOOKUP($B17,'[3]Left Employee Report'!$D:$D,1,0)</f>
        <v/>
      </c>
    </row>
    <row r="18">
      <c r="A18" s="1">
        <f>ROW()-2</f>
        <v/>
      </c>
      <c r="B18" s="28" t="inlineStr">
        <is>
          <t>KK0970</t>
        </is>
      </c>
      <c r="C18" s="23" t="inlineStr">
        <is>
          <t>KARAN</t>
        </is>
      </c>
      <c r="D18" s="23" t="inlineStr">
        <is>
          <t>PRODUCTION</t>
        </is>
      </c>
      <c r="E18" s="24" t="inlineStr">
        <is>
          <t>TYRE BUILDING-P1</t>
        </is>
      </c>
      <c r="F18" s="29" t="n">
        <v>43407</v>
      </c>
      <c r="G18" s="30">
        <f>NOW()-F18</f>
        <v/>
      </c>
      <c r="H18" s="144" t="inlineStr">
        <is>
          <t>O</t>
        </is>
      </c>
      <c r="I18" s="144" t="inlineStr">
        <is>
          <t>U</t>
        </is>
      </c>
      <c r="J18" s="144" t="n"/>
      <c r="K18" s="144" t="n"/>
      <c r="L18" s="144" t="n"/>
      <c r="M18" s="144" t="n"/>
      <c r="N18" s="144" t="n"/>
      <c r="O18" s="104">
        <f>SUM(J18:N18)</f>
        <v/>
      </c>
      <c r="P18" s="12">
        <f>O18/IF(H18="L",20,IF(H18="U",30,IF(H18="O",40,IF(H18="I",20,""))))</f>
        <v/>
      </c>
      <c r="Q18" s="145">
        <f>IF(AND(H18="L", P18&gt;=50%), "Pass",
IF(AND(H18="U", P18&gt;=60%), "Pass",
IF(AND(H18="O", P18&gt;=75%), "Pass", "Fail")))</f>
        <v/>
      </c>
      <c r="R18" s="146" t="n"/>
      <c r="S18" s="146" t="n"/>
      <c r="T18" s="146" t="n"/>
      <c r="U18" s="104">
        <f>SUM(S18:T18)</f>
        <v/>
      </c>
      <c r="V18" s="12">
        <f>U18/IF(H18="L",35,IF(H18="U",35,IF(H18="O",35,IF(H18="I",35,""))))</f>
        <v/>
      </c>
      <c r="W18" s="145">
        <f>IF(AND(H18="L", V18&gt;=50%), "Pass",
IF(AND(H18="U", V18&gt;=60%), "Pass",
IF(AND(H18="O", V18&gt;=75%), "Pass", "Fail")))</f>
        <v/>
      </c>
      <c r="X18" s="145">
        <f>IF(AND(Q18="Pass", W18="Pass"), "Pass", "Fail")</f>
        <v/>
      </c>
      <c r="Y18" s="15">
        <f>IF($X18="Pass",$H18,
IF(H18="L","I",
IF(H18="U","L",
IF(H18="O","U",
"I"))))</f>
        <v/>
      </c>
      <c r="AA18">
        <f>VLOOKUP($B18,[1]Sheet1!$B:$B,1,0)</f>
        <v/>
      </c>
      <c r="AB18">
        <f>VLOOKUP($B18,'[3]Left Employee Report'!$D:$D,1,0)</f>
        <v/>
      </c>
    </row>
    <row r="19">
      <c r="A19" s="1">
        <f>ROW()-2</f>
        <v/>
      </c>
      <c r="B19" s="28" t="inlineStr">
        <is>
          <t>KK1171</t>
        </is>
      </c>
      <c r="C19" s="23" t="inlineStr">
        <is>
          <t>R SENTHIL KUMAR</t>
        </is>
      </c>
      <c r="D19" s="23" t="inlineStr">
        <is>
          <t>PRODUCTION</t>
        </is>
      </c>
      <c r="E19" s="24" t="inlineStr">
        <is>
          <t>TYRE BUILDING-P2</t>
        </is>
      </c>
      <c r="F19" s="29" t="n">
        <v>44145</v>
      </c>
      <c r="G19" s="30">
        <f>NOW()-F19</f>
        <v/>
      </c>
      <c r="H19" s="144" t="inlineStr">
        <is>
          <t>O</t>
        </is>
      </c>
      <c r="I19" s="144" t="inlineStr">
        <is>
          <t>U</t>
        </is>
      </c>
      <c r="J19" s="144" t="n"/>
      <c r="K19" s="144" t="n"/>
      <c r="L19" s="144" t="n"/>
      <c r="M19" s="144" t="n"/>
      <c r="N19" s="144" t="n"/>
      <c r="O19" s="104">
        <f>SUM(J19:N19)</f>
        <v/>
      </c>
      <c r="P19" s="12">
        <f>O19/IF(H19="L",20,IF(H19="U",30,IF(H19="O",40,IF(H19="I",20,""))))</f>
        <v/>
      </c>
      <c r="Q19" s="145">
        <f>IF(AND(H19="L", P19&gt;=50%), "Pass",
IF(AND(H19="U", P19&gt;=60%), "Pass",
IF(AND(H19="O", P19&gt;=75%), "Pass", "Fail")))</f>
        <v/>
      </c>
      <c r="R19" s="146" t="n"/>
      <c r="S19" s="146" t="n"/>
      <c r="T19" s="146" t="n"/>
      <c r="U19" s="104">
        <f>SUM(S19:T19)</f>
        <v/>
      </c>
      <c r="V19" s="12">
        <f>U19/IF(H19="L",35,IF(H19="U",35,IF(H19="O",35,IF(H19="I",35,""))))</f>
        <v/>
      </c>
      <c r="W19" s="145">
        <f>IF(AND(H19="L", V19&gt;=50%), "Pass",
IF(AND(H19="U", V19&gt;=60%), "Pass",
IF(AND(H19="O", V19&gt;=75%), "Pass", "Fail")))</f>
        <v/>
      </c>
      <c r="X19" s="145">
        <f>IF(AND(Q19="Pass", W19="Pass"), "Pass", "Fail")</f>
        <v/>
      </c>
      <c r="Y19" s="15">
        <f>IF($X19="Pass",$H19,
IF(H19="L","I",
IF(H19="U","L",
IF(H19="O","U",
"I"))))</f>
        <v/>
      </c>
      <c r="AA19">
        <f>VLOOKUP($B19,[1]Sheet1!$B:$B,1,0)</f>
        <v/>
      </c>
      <c r="AB19">
        <f>VLOOKUP($B19,'[3]Left Employee Report'!$D:$D,1,0)</f>
        <v/>
      </c>
    </row>
    <row r="20">
      <c r="A20" s="1">
        <f>ROW()-2</f>
        <v/>
      </c>
      <c r="B20" s="28" t="inlineStr">
        <is>
          <t>KK1200</t>
        </is>
      </c>
      <c r="C20" s="23" t="inlineStr">
        <is>
          <t>ASHOK KUMAR B</t>
        </is>
      </c>
      <c r="D20" s="23" t="inlineStr">
        <is>
          <t>PRODUCTION</t>
        </is>
      </c>
      <c r="E20" s="24" t="inlineStr">
        <is>
          <t>BIAS CUTTING-4</t>
        </is>
      </c>
      <c r="F20" s="29" t="n">
        <v>44217</v>
      </c>
      <c r="G20" s="30">
        <f>NOW()-F20</f>
        <v/>
      </c>
      <c r="H20" s="144" t="inlineStr">
        <is>
          <t>O</t>
        </is>
      </c>
      <c r="I20" s="144" t="inlineStr">
        <is>
          <t>U</t>
        </is>
      </c>
      <c r="J20" s="144" t="n"/>
      <c r="K20" s="144" t="n"/>
      <c r="L20" s="144" t="n"/>
      <c r="M20" s="144" t="n"/>
      <c r="N20" s="144" t="n"/>
      <c r="O20" s="104">
        <f>SUM(J20:N20)</f>
        <v/>
      </c>
      <c r="P20" s="12">
        <f>O20/IF(H20="L",20,IF(H20="U",30,IF(H20="O",40,IF(H20="I",20,""))))</f>
        <v/>
      </c>
      <c r="Q20" s="145">
        <f>IF(AND(H20="L", P20&gt;=50%), "Pass",
IF(AND(H20="U", P20&gt;=60%), "Pass",
IF(AND(H20="O", P20&gt;=75%), "Pass", "Fail")))</f>
        <v/>
      </c>
      <c r="R20" s="146" t="n"/>
      <c r="S20" s="146" t="n"/>
      <c r="T20" s="146" t="n"/>
      <c r="U20" s="104">
        <f>SUM(S20:T20)</f>
        <v/>
      </c>
      <c r="V20" s="12">
        <f>U20/IF(H20="L",35,IF(H20="U",35,IF(H20="O",35,IF(H20="I",35,""))))</f>
        <v/>
      </c>
      <c r="W20" s="145">
        <f>IF(AND(H20="L", V20&gt;=50%), "Pass",
IF(AND(H20="U", V20&gt;=60%), "Pass",
IF(AND(H20="O", V20&gt;=75%), "Pass", "Fail")))</f>
        <v/>
      </c>
      <c r="X20" s="145">
        <f>IF(AND(Q20="Pass", W20="Pass"), "Pass", "Fail")</f>
        <v/>
      </c>
      <c r="Y20" s="15">
        <f>IF($X20="Pass",$H20,
IF(H20="L","I",
IF(H20="U","L",
IF(H20="O","U",
"I"))))</f>
        <v/>
      </c>
      <c r="AA20">
        <f>VLOOKUP($B20,[1]Sheet1!$B:$B,1,0)</f>
        <v/>
      </c>
      <c r="AB20">
        <f>VLOOKUP($B20,'[3]Left Employee Report'!$D:$D,1,0)</f>
        <v/>
      </c>
    </row>
    <row r="21">
      <c r="A21" s="1">
        <f>ROW()-2</f>
        <v/>
      </c>
      <c r="B21" s="28" t="inlineStr">
        <is>
          <t>KK1222</t>
        </is>
      </c>
      <c r="C21" s="23" t="inlineStr">
        <is>
          <t>ESAKKIMUTHU M</t>
        </is>
      </c>
      <c r="D21" s="23" t="inlineStr">
        <is>
          <t>PRODUCTION</t>
        </is>
      </c>
      <c r="E21" s="24" t="inlineStr">
        <is>
          <t>TYRE BUILDING-P3</t>
        </is>
      </c>
      <c r="F21" s="29" t="n">
        <v>44287</v>
      </c>
      <c r="G21" s="30">
        <f>NOW()-F21</f>
        <v/>
      </c>
      <c r="H21" s="144" t="inlineStr">
        <is>
          <t>O</t>
        </is>
      </c>
      <c r="I21" s="144" t="inlineStr">
        <is>
          <t>U</t>
        </is>
      </c>
      <c r="J21" s="144" t="n"/>
      <c r="K21" s="144" t="n"/>
      <c r="L21" s="144" t="n"/>
      <c r="M21" s="144" t="n"/>
      <c r="N21" s="144" t="n"/>
      <c r="O21" s="104">
        <f>SUM(J21:N21)</f>
        <v/>
      </c>
      <c r="P21" s="12">
        <f>O21/IF(H21="L",20,IF(H21="U",30,IF(H21="O",40,IF(H21="I",20,""))))</f>
        <v/>
      </c>
      <c r="Q21" s="145">
        <f>IF(AND(H21="L", P21&gt;=50%), "Pass",
IF(AND(H21="U", P21&gt;=60%), "Pass",
IF(AND(H21="O", P21&gt;=75%), "Pass", "Fail")))</f>
        <v/>
      </c>
      <c r="R21" s="146" t="n"/>
      <c r="S21" s="146" t="n"/>
      <c r="T21" s="146" t="n"/>
      <c r="U21" s="104">
        <f>SUM(S21:T21)</f>
        <v/>
      </c>
      <c r="V21" s="12">
        <f>U21/IF(H21="L",35,IF(H21="U",35,IF(H21="O",35,IF(H21="I",35,""))))</f>
        <v/>
      </c>
      <c r="W21" s="145">
        <f>IF(AND(H21="L", V21&gt;=50%), "Pass",
IF(AND(H21="U", V21&gt;=60%), "Pass",
IF(AND(H21="O", V21&gt;=75%), "Pass", "Fail")))</f>
        <v/>
      </c>
      <c r="X21" s="145">
        <f>IF(AND(Q21="Pass", W21="Pass"), "Pass", "Fail")</f>
        <v/>
      </c>
      <c r="Y21" s="15">
        <f>IF($X21="Pass",$H21,
IF(H21="L","I",
IF(H21="U","L",
IF(H21="O","U",
"I"))))</f>
        <v/>
      </c>
      <c r="AA21">
        <f>VLOOKUP($B21,[1]Sheet1!$B:$B,1,0)</f>
        <v/>
      </c>
      <c r="AB21">
        <f>VLOOKUP($B21,'[3]Left Employee Report'!$D:$D,1,0)</f>
        <v/>
      </c>
    </row>
    <row r="22">
      <c r="A22" s="1">
        <f>ROW()-2</f>
        <v/>
      </c>
      <c r="B22" s="28" t="inlineStr">
        <is>
          <t>KK1305</t>
        </is>
      </c>
      <c r="C22" s="23" t="inlineStr">
        <is>
          <t>DHEIVANAYAGAM A</t>
        </is>
      </c>
      <c r="D22" s="23" t="inlineStr">
        <is>
          <t>PRODUCTION</t>
        </is>
      </c>
      <c r="E22" s="24" t="inlineStr">
        <is>
          <t>TYRE BUILDING-P3</t>
        </is>
      </c>
      <c r="F22" s="29" t="n">
        <v>44477</v>
      </c>
      <c r="G22" s="30">
        <f>NOW()-F22</f>
        <v/>
      </c>
      <c r="H22" s="144" t="inlineStr">
        <is>
          <t>U</t>
        </is>
      </c>
      <c r="I22" s="144" t="inlineStr">
        <is>
          <t>U</t>
        </is>
      </c>
      <c r="J22" s="144" t="n"/>
      <c r="K22" s="144" t="n"/>
      <c r="L22" s="144" t="n"/>
      <c r="M22" s="144" t="n"/>
      <c r="N22" s="144" t="n"/>
      <c r="O22" s="104">
        <f>SUM(J22:N22)</f>
        <v/>
      </c>
      <c r="P22" s="12">
        <f>O22/IF(H22="L",20,IF(H22="U",30,IF(H22="O",40,IF(H22="I",20,""))))</f>
        <v/>
      </c>
      <c r="Q22" s="145">
        <f>IF(AND(H22="L", P22&gt;=50%), "Pass",
IF(AND(H22="U", P22&gt;=60%), "Pass",
IF(AND(H22="O", P22&gt;=75%), "Pass", "Fail")))</f>
        <v/>
      </c>
      <c r="R22" s="146" t="n"/>
      <c r="S22" s="146" t="n"/>
      <c r="T22" s="146" t="n"/>
      <c r="U22" s="104">
        <f>SUM(S22:T22)</f>
        <v/>
      </c>
      <c r="V22" s="12">
        <f>U22/IF(H22="L",35,IF(H22="U",35,IF(H22="O",35,IF(H22="I",35,""))))</f>
        <v/>
      </c>
      <c r="W22" s="145">
        <f>IF(AND(H22="L", V22&gt;=50%), "Pass",
IF(AND(H22="U", V22&gt;=60%), "Pass",
IF(AND(H22="O", V22&gt;=75%), "Pass", "Fail")))</f>
        <v/>
      </c>
      <c r="X22" s="145">
        <f>IF(AND(Q22="Pass", W22="Pass"), "Pass", "Fail")</f>
        <v/>
      </c>
      <c r="Y22" s="15">
        <f>IF($X22="Pass",$H22,
IF(H22="L","I",
IF(H22="U","L",
IF(H22="O","U",
"I"))))</f>
        <v/>
      </c>
      <c r="AA22">
        <f>VLOOKUP($B22,[1]Sheet1!$B:$B,1,0)</f>
        <v/>
      </c>
      <c r="AB22">
        <f>VLOOKUP($B22,'[3]Left Employee Report'!$D:$D,1,0)</f>
        <v/>
      </c>
    </row>
    <row r="23">
      <c r="A23" s="1">
        <f>ROW()-2</f>
        <v/>
      </c>
      <c r="B23" s="28" t="inlineStr">
        <is>
          <t>KK1440</t>
        </is>
      </c>
      <c r="C23" s="23" t="inlineStr">
        <is>
          <t>SUDALAI</t>
        </is>
      </c>
      <c r="D23" s="23" t="inlineStr">
        <is>
          <t>PRODUCTION</t>
        </is>
      </c>
      <c r="E23" s="24" t="inlineStr">
        <is>
          <t>SOLID TYRE</t>
        </is>
      </c>
      <c r="F23" s="29" t="n">
        <v>45044</v>
      </c>
      <c r="G23" s="30">
        <f>NOW()-F23</f>
        <v/>
      </c>
      <c r="H23" s="144" t="inlineStr">
        <is>
          <t>U</t>
        </is>
      </c>
      <c r="I23" s="144" t="inlineStr">
        <is>
          <t>U</t>
        </is>
      </c>
      <c r="J23" s="144" t="n"/>
      <c r="K23" s="144" t="n"/>
      <c r="L23" s="144" t="n"/>
      <c r="M23" s="144" t="n"/>
      <c r="N23" s="144" t="n"/>
      <c r="O23" s="104">
        <f>SUM(J23:N23)</f>
        <v/>
      </c>
      <c r="P23" s="12">
        <f>O23/IF(H23="L",20,IF(H23="U",30,IF(H23="O",40,IF(H23="I",20,""))))</f>
        <v/>
      </c>
      <c r="Q23" s="145">
        <f>IF(AND(H23="L", P23&gt;=50%), "Pass",
IF(AND(H23="U", P23&gt;=60%), "Pass",
IF(AND(H23="O", P23&gt;=75%), "Pass", "Fail")))</f>
        <v/>
      </c>
      <c r="R23" s="146" t="n"/>
      <c r="S23" s="146" t="n"/>
      <c r="T23" s="146" t="n"/>
      <c r="U23" s="104">
        <f>SUM(S23:T23)</f>
        <v/>
      </c>
      <c r="V23" s="12">
        <f>U23/IF(H23="L",35,IF(H23="U",35,IF(H23="O",35,IF(H23="I",35,""))))</f>
        <v/>
      </c>
      <c r="W23" s="145">
        <f>IF(AND(H23="L", V23&gt;=50%), "Pass",
IF(AND(H23="U", V23&gt;=60%), "Pass",
IF(AND(H23="O", V23&gt;=75%), "Pass", "Fail")))</f>
        <v/>
      </c>
      <c r="X23" s="145">
        <f>IF(AND(Q23="Pass", W23="Pass"), "Pass", "Fail")</f>
        <v/>
      </c>
      <c r="Y23" s="15">
        <f>IF($X23="Pass",$H23,
IF(H23="L","I",
IF(H23="U","L",
IF(H23="O","U",
"I"))))</f>
        <v/>
      </c>
      <c r="AA23">
        <f>VLOOKUP($B23,[1]Sheet1!$B:$B,1,0)</f>
        <v/>
      </c>
      <c r="AB23">
        <f>VLOOKUP($B23,'[3]Left Employee Report'!$D:$D,1,0)</f>
        <v/>
      </c>
    </row>
    <row r="24">
      <c r="A24" s="1">
        <f>ROW()-2</f>
        <v/>
      </c>
      <c r="B24" s="28" t="inlineStr">
        <is>
          <t>KK1453</t>
        </is>
      </c>
      <c r="C24" s="23" t="inlineStr">
        <is>
          <t>PETCHI</t>
        </is>
      </c>
      <c r="D24" s="23" t="inlineStr">
        <is>
          <t>PRODUCTION</t>
        </is>
      </c>
      <c r="E24" s="24" t="inlineStr">
        <is>
          <t>BEAD WINDING</t>
        </is>
      </c>
      <c r="F24" s="29" t="n">
        <v>45089</v>
      </c>
      <c r="G24" s="30">
        <f>NOW()-F24</f>
        <v/>
      </c>
      <c r="H24" s="144" t="inlineStr">
        <is>
          <t>L</t>
        </is>
      </c>
      <c r="I24" s="144" t="inlineStr">
        <is>
          <t>L</t>
        </is>
      </c>
      <c r="J24" s="144" t="n"/>
      <c r="K24" s="144" t="n"/>
      <c r="L24" s="144" t="n"/>
      <c r="M24" s="144" t="n"/>
      <c r="N24" s="144" t="n"/>
      <c r="O24" s="104">
        <f>SUM(J24:N24)</f>
        <v/>
      </c>
      <c r="P24" s="12">
        <f>O24/IF(H24="L",20,IF(H24="U",30,IF(H24="O",40,IF(H24="I",20,""))))</f>
        <v/>
      </c>
      <c r="Q24" s="145">
        <f>IF(AND(H24="L", P24&gt;=50%), "Pass",
IF(AND(H24="U", P24&gt;=60%), "Pass",
IF(AND(H24="O", P24&gt;=75%), "Pass", "Fail")))</f>
        <v/>
      </c>
      <c r="R24" s="146" t="n"/>
      <c r="S24" s="146" t="n"/>
      <c r="T24" s="146" t="n"/>
      <c r="U24" s="104">
        <f>SUM(S24:T24)</f>
        <v/>
      </c>
      <c r="V24" s="12">
        <f>U24/IF(H24="L",35,IF(H24="U",35,IF(H24="O",35,IF(H24="I",35,""))))</f>
        <v/>
      </c>
      <c r="W24" s="145">
        <f>IF(AND(H24="L", V24&gt;=50%), "Pass",
IF(AND(H24="U", V24&gt;=60%), "Pass",
IF(AND(H24="O", V24&gt;=75%), "Pass", "Fail")))</f>
        <v/>
      </c>
      <c r="X24" s="145">
        <f>IF(AND(Q24="Pass", W24="Pass"), "Pass", "Fail")</f>
        <v/>
      </c>
      <c r="Y24" s="15">
        <f>IF($X24="Pass",$H24,
IF(H24="L","I",
IF(H24="U","L",
IF(H24="O","U",
"I"))))</f>
        <v/>
      </c>
      <c r="AA24">
        <f>VLOOKUP($B24,[1]Sheet1!$B:$B,1,0)</f>
        <v/>
      </c>
      <c r="AB24">
        <f>VLOOKUP($B24,'[3]Left Employee Report'!$D:$D,1,0)</f>
        <v/>
      </c>
    </row>
    <row r="25">
      <c r="A25" s="1">
        <f>ROW()-2</f>
        <v/>
      </c>
      <c r="B25" s="28" t="inlineStr">
        <is>
          <t>KK1497</t>
        </is>
      </c>
      <c r="C25" s="23" t="inlineStr">
        <is>
          <t>CHANDRA KARUPPASAMY T</t>
        </is>
      </c>
      <c r="D25" s="23" t="inlineStr">
        <is>
          <t>PRODUCTION</t>
        </is>
      </c>
      <c r="E25" s="24" t="inlineStr">
        <is>
          <t>BAND BUILDING-P3</t>
        </is>
      </c>
      <c r="F25" s="29" t="n">
        <v>45796</v>
      </c>
      <c r="G25" s="30">
        <f>NOW()-F25</f>
        <v/>
      </c>
      <c r="H25" s="144" t="inlineStr">
        <is>
          <t>I</t>
        </is>
      </c>
      <c r="I25" s="144" t="inlineStr">
        <is>
          <t>I</t>
        </is>
      </c>
      <c r="J25" s="144" t="n"/>
      <c r="K25" s="144" t="n"/>
      <c r="L25" s="144" t="n"/>
      <c r="M25" s="144" t="n"/>
      <c r="N25" s="144" t="n"/>
      <c r="O25" s="104">
        <f>SUM(J25:N25)</f>
        <v/>
      </c>
      <c r="P25" s="12">
        <f>O25/IF(H25="L",20,IF(H25="U",30,IF(H25="O",40,IF(H25="I",20,""))))</f>
        <v/>
      </c>
      <c r="Q25" s="145">
        <f>IF(AND(H25="L", P25&gt;=50%), "Pass",
IF(AND(H25="U", P25&gt;=60%), "Pass",
IF(AND(H25="O", P25&gt;=75%), "Pass", "Fail")))</f>
        <v/>
      </c>
      <c r="R25" s="146" t="n"/>
      <c r="S25" s="146" t="n"/>
      <c r="T25" s="146" t="n"/>
      <c r="U25" s="104">
        <f>SUM(S25:T25)</f>
        <v/>
      </c>
      <c r="V25" s="12">
        <f>U25/IF(H25="L",35,IF(H25="U",35,IF(H25="O",35,IF(H25="I",35,""))))</f>
        <v/>
      </c>
      <c r="W25" s="145">
        <f>IF(AND(H25="L", V25&gt;=50%), "Pass",
IF(AND(H25="U", V25&gt;=60%), "Pass",
IF(AND(H25="O", V25&gt;=75%), "Pass", "Fail")))</f>
        <v/>
      </c>
      <c r="X25" s="145">
        <f>IF(AND(Q25="Pass", W25="Pass"), "Pass", "Fail")</f>
        <v/>
      </c>
      <c r="Y25" s="15">
        <f>IF($X25="Pass",$H25,
IF(H25="L","I",
IF(H25="U","L",
IF(H25="O","U",
"I"))))</f>
        <v/>
      </c>
      <c r="AA25">
        <f>VLOOKUP($B25,[1]Sheet1!$B:$B,1,0)</f>
        <v/>
      </c>
      <c r="AB25">
        <f>VLOOKUP($B25,'[3]Left Employee Report'!$D:$D,1,0)</f>
        <v/>
      </c>
    </row>
    <row r="26">
      <c r="A26" s="1">
        <f>ROW()-2</f>
        <v/>
      </c>
      <c r="B26" s="28" t="inlineStr">
        <is>
          <t>KK1506</t>
        </is>
      </c>
      <c r="C26" s="23" t="inlineStr">
        <is>
          <t>CHELLA DURAI L</t>
        </is>
      </c>
      <c r="D26" s="23" t="inlineStr">
        <is>
          <t>PRODUCTION</t>
        </is>
      </c>
      <c r="E26" s="24" t="inlineStr">
        <is>
          <t>TYRE CURING</t>
        </is>
      </c>
      <c r="F26" s="29" t="n">
        <v>45831</v>
      </c>
      <c r="G26" s="30">
        <f>NOW()-F26</f>
        <v/>
      </c>
      <c r="H26" s="144" t="inlineStr">
        <is>
          <t>I</t>
        </is>
      </c>
      <c r="I26" s="144" t="inlineStr">
        <is>
          <t>I</t>
        </is>
      </c>
      <c r="J26" s="144" t="n"/>
      <c r="K26" s="144" t="n"/>
      <c r="L26" s="144" t="n"/>
      <c r="M26" s="144" t="n"/>
      <c r="N26" s="144" t="n"/>
      <c r="O26" s="104">
        <f>SUM(J26:N26)</f>
        <v/>
      </c>
      <c r="P26" s="12">
        <f>O26/IF(H26="L",20,IF(H26="U",30,IF(H26="O",40,IF(H26="I",20,""))))</f>
        <v/>
      </c>
      <c r="Q26" s="145">
        <f>IF(AND(H26="L", P26&gt;=50%), "Pass",
IF(AND(H26="U", P26&gt;=60%), "Pass",
IF(AND(H26="O", P26&gt;=75%), "Pass", "Fail")))</f>
        <v/>
      </c>
      <c r="R26" s="146" t="n"/>
      <c r="S26" s="146" t="n"/>
      <c r="T26" s="146" t="n"/>
      <c r="U26" s="104">
        <f>SUM(S26:T26)</f>
        <v/>
      </c>
      <c r="V26" s="12">
        <f>U26/IF(H26="L",35,IF(H26="U",35,IF(H26="O",35,IF(H26="I",35,""))))</f>
        <v/>
      </c>
      <c r="W26" s="145">
        <f>IF(AND(H26="L", V26&gt;=50%), "Pass",
IF(AND(H26="U", V26&gt;=60%), "Pass",
IF(AND(H26="O", V26&gt;=75%), "Pass", "Fail")))</f>
        <v/>
      </c>
      <c r="X26" s="145">
        <f>IF(AND(Q26="Pass", W26="Pass"), "Pass", "Fail")</f>
        <v/>
      </c>
      <c r="Y26" s="15">
        <f>IF($X26="Pass",$H26,
IF(H26="L","I",
IF(H26="U","L",
IF(H26="O","U",
"I"))))</f>
        <v/>
      </c>
      <c r="AA26">
        <f>VLOOKUP($B26,[1]Sheet1!$B:$B,1,0)</f>
        <v/>
      </c>
      <c r="AB26">
        <f>VLOOKUP($B26,'[3]Left Employee Report'!$D:$D,1,0)</f>
        <v/>
      </c>
    </row>
    <row r="27">
      <c r="A27" s="1">
        <f>ROW()-2</f>
        <v/>
      </c>
      <c r="B27" s="28" t="inlineStr">
        <is>
          <t>LN0080</t>
        </is>
      </c>
      <c r="C27" s="23" t="inlineStr">
        <is>
          <t>MANO G</t>
        </is>
      </c>
      <c r="D27" s="23" t="inlineStr">
        <is>
          <t>PRODUCTION</t>
        </is>
      </c>
      <c r="E27" s="24" t="inlineStr">
        <is>
          <t>TYRE BUILDING-P3</t>
        </is>
      </c>
      <c r="F27" s="29" t="n">
        <v>45281</v>
      </c>
      <c r="G27" s="30">
        <f>NOW()-F27</f>
        <v/>
      </c>
      <c r="H27" s="144" t="inlineStr">
        <is>
          <t>L</t>
        </is>
      </c>
      <c r="I27" s="144" t="inlineStr">
        <is>
          <t>L</t>
        </is>
      </c>
      <c r="J27" s="144" t="n"/>
      <c r="K27" s="144" t="n"/>
      <c r="L27" s="144" t="n"/>
      <c r="M27" s="144" t="n"/>
      <c r="N27" s="144" t="n"/>
      <c r="O27" s="104">
        <f>SUM(J27:N27)</f>
        <v/>
      </c>
      <c r="P27" s="12">
        <f>O27/IF(H27="L",20,IF(H27="U",30,IF(H27="O",40,IF(H27="I",20,""))))</f>
        <v/>
      </c>
      <c r="Q27" s="145">
        <f>IF(AND(H27="L", P27&gt;=50%), "Pass",
IF(AND(H27="U", P27&gt;=60%), "Pass",
IF(AND(H27="O", P27&gt;=75%), "Pass", "Fail")))</f>
        <v/>
      </c>
      <c r="R27" s="146" t="n"/>
      <c r="S27" s="146" t="n"/>
      <c r="T27" s="146" t="n"/>
      <c r="U27" s="104">
        <f>SUM(S27:T27)</f>
        <v/>
      </c>
      <c r="V27" s="12">
        <f>U27/IF(H27="L",35,IF(H27="U",35,IF(H27="O",35,IF(H27="I",35,""))))</f>
        <v/>
      </c>
      <c r="W27" s="145">
        <f>IF(AND(H27="L", V27&gt;=50%), "Pass",
IF(AND(H27="U", V27&gt;=60%), "Pass",
IF(AND(H27="O", V27&gt;=75%), "Pass", "Fail")))</f>
        <v/>
      </c>
      <c r="X27" s="145">
        <f>IF(AND(Q27="Pass", W27="Pass"), "Pass", "Fail")</f>
        <v/>
      </c>
      <c r="Y27" s="15">
        <f>IF($X27="Pass",$H27,
IF(H27="L","I",
IF(H27="U","L",
IF(H27="O","U",
"I"))))</f>
        <v/>
      </c>
      <c r="AA27">
        <f>VLOOKUP($B27,[1]Sheet1!$B:$B,1,0)</f>
        <v/>
      </c>
      <c r="AB27">
        <f>VLOOKUP($B27,'[3]Left Employee Report'!$D:$D,1,0)</f>
        <v/>
      </c>
    </row>
    <row r="28">
      <c r="A28" s="1">
        <f>ROW()-2</f>
        <v/>
      </c>
      <c r="B28" s="28" t="inlineStr">
        <is>
          <t>LN0213</t>
        </is>
      </c>
      <c r="C28" s="23" t="inlineStr">
        <is>
          <t>KALEESWARAN L</t>
        </is>
      </c>
      <c r="D28" s="23" t="inlineStr">
        <is>
          <t>PRODUCTION</t>
        </is>
      </c>
      <c r="E28" s="24" t="inlineStr">
        <is>
          <t>TYRE BUILDING-P2</t>
        </is>
      </c>
      <c r="F28" s="29" t="n">
        <v>45355</v>
      </c>
      <c r="G28" s="30">
        <f>NOW()-F28</f>
        <v/>
      </c>
      <c r="H28" s="144" t="inlineStr">
        <is>
          <t>L</t>
        </is>
      </c>
      <c r="I28" s="144" t="inlineStr">
        <is>
          <t>L</t>
        </is>
      </c>
      <c r="J28" s="144" t="n"/>
      <c r="K28" s="144" t="n"/>
      <c r="L28" s="144" t="n"/>
      <c r="M28" s="144" t="n"/>
      <c r="N28" s="144" t="n"/>
      <c r="O28" s="104">
        <f>SUM(J28:N28)</f>
        <v/>
      </c>
      <c r="P28" s="12">
        <f>O28/IF(H28="L",20,IF(H28="U",30,IF(H28="O",40,IF(H28="I",20,""))))</f>
        <v/>
      </c>
      <c r="Q28" s="145">
        <f>IF(AND(H28="L", P28&gt;=50%), "Pass",
IF(AND(H28="U", P28&gt;=60%), "Pass",
IF(AND(H28="O", P28&gt;=75%), "Pass", "Fail")))</f>
        <v/>
      </c>
      <c r="R28" s="146" t="n"/>
      <c r="S28" s="146" t="n"/>
      <c r="T28" s="146" t="n"/>
      <c r="U28" s="104">
        <f>SUM(S28:T28)</f>
        <v/>
      </c>
      <c r="V28" s="12">
        <f>U28/IF(H28="L",35,IF(H28="U",35,IF(H28="O",35,IF(H28="I",35,""))))</f>
        <v/>
      </c>
      <c r="W28" s="145">
        <f>IF(AND(H28="L", V28&gt;=50%), "Pass",
IF(AND(H28="U", V28&gt;=60%), "Pass",
IF(AND(H28="O", V28&gt;=75%), "Pass", "Fail")))</f>
        <v/>
      </c>
      <c r="X28" s="145">
        <f>IF(AND(Q28="Pass", W28="Pass"), "Pass", "Fail")</f>
        <v/>
      </c>
      <c r="Y28" s="15">
        <f>IF($X28="Pass",$H28,
IF(H28="L","I",
IF(H28="U","L",
IF(H28="O","U",
"I"))))</f>
        <v/>
      </c>
      <c r="AA28">
        <f>VLOOKUP($B28,[1]Sheet1!$B:$B,1,0)</f>
        <v/>
      </c>
      <c r="AB28">
        <f>VLOOKUP($B28,'[3]Left Employee Report'!$D:$D,1,0)</f>
        <v/>
      </c>
    </row>
    <row r="29">
      <c r="A29" s="1">
        <f>ROW()-2</f>
        <v/>
      </c>
      <c r="B29" s="28" t="inlineStr">
        <is>
          <t>LN0279</t>
        </is>
      </c>
      <c r="C29" s="23" t="inlineStr">
        <is>
          <t>SENTHIL KUMAR M</t>
        </is>
      </c>
      <c r="D29" s="23" t="inlineStr">
        <is>
          <t>PRODUCTION</t>
        </is>
      </c>
      <c r="E29" s="24" t="inlineStr">
        <is>
          <t>BEAD WINDING</t>
        </is>
      </c>
      <c r="F29" s="29" t="n">
        <v>45393</v>
      </c>
      <c r="G29" s="30">
        <f>NOW()-F29</f>
        <v/>
      </c>
      <c r="H29" s="144" t="inlineStr">
        <is>
          <t>L</t>
        </is>
      </c>
      <c r="I29" s="144" t="inlineStr">
        <is>
          <t>L</t>
        </is>
      </c>
      <c r="J29" s="144" t="n"/>
      <c r="K29" s="144" t="n"/>
      <c r="L29" s="144" t="n"/>
      <c r="M29" s="144" t="n"/>
      <c r="N29" s="144" t="n"/>
      <c r="O29" s="104">
        <f>SUM(J29:N29)</f>
        <v/>
      </c>
      <c r="P29" s="12">
        <f>O29/IF(H29="L",20,IF(H29="U",30,IF(H29="O",40,IF(H29="I",20,""))))</f>
        <v/>
      </c>
      <c r="Q29" s="145">
        <f>IF(AND(H29="L", P29&gt;=50%), "Pass",
IF(AND(H29="U", P29&gt;=60%), "Pass",
IF(AND(H29="O", P29&gt;=75%), "Pass", "Fail")))</f>
        <v/>
      </c>
      <c r="R29" s="146" t="n"/>
      <c r="S29" s="146" t="n"/>
      <c r="T29" s="146" t="n"/>
      <c r="U29" s="104">
        <f>SUM(S29:T29)</f>
        <v/>
      </c>
      <c r="V29" s="12">
        <f>U29/IF(H29="L",35,IF(H29="U",35,IF(H29="O",35,IF(H29="I",35,""))))</f>
        <v/>
      </c>
      <c r="W29" s="145">
        <f>IF(AND(H29="L", V29&gt;=50%), "Pass",
IF(AND(H29="U", V29&gt;=60%), "Pass",
IF(AND(H29="O", V29&gt;=75%), "Pass", "Fail")))</f>
        <v/>
      </c>
      <c r="X29" s="145">
        <f>IF(AND(Q29="Pass", W29="Pass"), "Pass", "Fail")</f>
        <v/>
      </c>
      <c r="Y29" s="15">
        <f>IF($X29="Pass",$H29,
IF(H29="L","I",
IF(H29="U","L",
IF(H29="O","U",
"I"))))</f>
        <v/>
      </c>
      <c r="AA29">
        <f>VLOOKUP($B29,[1]Sheet1!$B:$B,1,0)</f>
        <v/>
      </c>
      <c r="AB29">
        <f>VLOOKUP($B29,'[3]Left Employee Report'!$D:$D,1,0)</f>
        <v/>
      </c>
    </row>
    <row r="30">
      <c r="A30" s="1">
        <f>ROW()-2</f>
        <v/>
      </c>
      <c r="B30" s="28" t="inlineStr">
        <is>
          <t>LN0488</t>
        </is>
      </c>
      <c r="C30" s="23" t="inlineStr">
        <is>
          <t>GANESH M</t>
        </is>
      </c>
      <c r="D30" s="23" t="inlineStr">
        <is>
          <t>PRODUCTION</t>
        </is>
      </c>
      <c r="E30" s="24" t="inlineStr">
        <is>
          <t>TYRE CURING</t>
        </is>
      </c>
      <c r="F30" s="29" t="n">
        <v>45603</v>
      </c>
      <c r="G30" s="30">
        <f>NOW()-F30</f>
        <v/>
      </c>
      <c r="H30" s="144" t="inlineStr">
        <is>
          <t>L</t>
        </is>
      </c>
      <c r="I30" s="144" t="inlineStr">
        <is>
          <t>I</t>
        </is>
      </c>
      <c r="J30" s="144" t="n"/>
      <c r="K30" s="144" t="n"/>
      <c r="L30" s="144" t="n"/>
      <c r="M30" s="144" t="n"/>
      <c r="N30" s="144" t="n"/>
      <c r="O30" s="104">
        <f>SUM(J30:N30)</f>
        <v/>
      </c>
      <c r="P30" s="12">
        <f>O30/IF(H30="L",20,IF(H30="U",30,IF(H30="O",40,IF(H30="I",20,""))))</f>
        <v/>
      </c>
      <c r="Q30" s="145">
        <f>IF(AND(H30="L", P30&gt;=50%), "Pass",
IF(AND(H30="U", P30&gt;=60%), "Pass",
IF(AND(H30="O", P30&gt;=75%), "Pass", "Fail")))</f>
        <v/>
      </c>
      <c r="R30" s="146" t="n"/>
      <c r="S30" s="146" t="n"/>
      <c r="T30" s="146" t="n"/>
      <c r="U30" s="104">
        <f>SUM(S30:T30)</f>
        <v/>
      </c>
      <c r="V30" s="12">
        <f>U30/IF(H30="L",35,IF(H30="U",35,IF(H30="O",35,IF(H30="I",35,""))))</f>
        <v/>
      </c>
      <c r="W30" s="145">
        <f>IF(AND(H30="L", V30&gt;=50%), "Pass",
IF(AND(H30="U", V30&gt;=60%), "Pass",
IF(AND(H30="O", V30&gt;=75%), "Pass", "Fail")))</f>
        <v/>
      </c>
      <c r="X30" s="145">
        <f>IF(AND(Q30="Pass", W30="Pass"), "Pass", "Fail")</f>
        <v/>
      </c>
      <c r="Y30" s="15">
        <f>IF($X30="Pass",$H30,
IF(H30="L","I",
IF(H30="U","L",
IF(H30="O","U",
"I"))))</f>
        <v/>
      </c>
      <c r="AA30">
        <f>VLOOKUP($B30,[1]Sheet1!$B:$B,1,0)</f>
        <v/>
      </c>
      <c r="AB30">
        <f>VLOOKUP($B30,'[3]Left Employee Report'!$D:$D,1,0)</f>
        <v/>
      </c>
    </row>
    <row r="31">
      <c r="A31" s="1">
        <f>ROW()-2</f>
        <v/>
      </c>
      <c r="B31" s="28" t="inlineStr">
        <is>
          <t>LN0517</t>
        </is>
      </c>
      <c r="C31" s="23" t="inlineStr">
        <is>
          <t>SABARIKRISH S</t>
        </is>
      </c>
      <c r="D31" s="23" t="inlineStr">
        <is>
          <t>PRODUCTION</t>
        </is>
      </c>
      <c r="E31" s="24" t="inlineStr">
        <is>
          <t>BIAS MARANGONI&amp;BESTRY</t>
        </is>
      </c>
      <c r="F31" s="29" t="n">
        <v>45608</v>
      </c>
      <c r="G31" s="30">
        <f>NOW()-F31</f>
        <v/>
      </c>
      <c r="H31" s="144" t="inlineStr">
        <is>
          <t>L</t>
        </is>
      </c>
      <c r="I31" s="144" t="inlineStr">
        <is>
          <t>L</t>
        </is>
      </c>
      <c r="J31" s="144" t="n"/>
      <c r="K31" s="144" t="n"/>
      <c r="L31" s="144" t="n"/>
      <c r="M31" s="144" t="n"/>
      <c r="N31" s="144" t="n"/>
      <c r="O31" s="104">
        <f>SUM(J31:N31)</f>
        <v/>
      </c>
      <c r="P31" s="12">
        <f>O31/IF(H31="L",20,IF(H31="U",30,IF(H31="O",40,IF(H31="I",20,""))))</f>
        <v/>
      </c>
      <c r="Q31" s="145">
        <f>IF(AND(H31="L", P31&gt;=50%), "Pass",
IF(AND(H31="U", P31&gt;=60%), "Pass",
IF(AND(H31="O", P31&gt;=75%), "Pass", "Fail")))</f>
        <v/>
      </c>
      <c r="R31" s="146" t="n"/>
      <c r="S31" s="146" t="n"/>
      <c r="T31" s="146" t="n"/>
      <c r="U31" s="104">
        <f>SUM(S31:T31)</f>
        <v/>
      </c>
      <c r="V31" s="12">
        <f>U31/IF(H31="L",35,IF(H31="U",35,IF(H31="O",35,IF(H31="I",35,""))))</f>
        <v/>
      </c>
      <c r="W31" s="145">
        <f>IF(AND(H31="L", V31&gt;=50%), "Pass",
IF(AND(H31="U", V31&gt;=60%), "Pass",
IF(AND(H31="O", V31&gt;=75%), "Pass", "Fail")))</f>
        <v/>
      </c>
      <c r="X31" s="145">
        <f>IF(AND(Q31="Pass", W31="Pass"), "Pass", "Fail")</f>
        <v/>
      </c>
      <c r="Y31" s="15">
        <f>IF($X31="Pass",$H31,
IF(H31="L","I",
IF(H31="U","L",
IF(H31="O","U",
"I"))))</f>
        <v/>
      </c>
      <c r="AA31">
        <f>VLOOKUP($B31,[1]Sheet1!$B:$B,1,0)</f>
        <v/>
      </c>
      <c r="AB31">
        <f>VLOOKUP($B31,'[3]Left Employee Report'!$D:$D,1,0)</f>
        <v/>
      </c>
    </row>
    <row r="32">
      <c r="A32" s="1">
        <f>ROW()-2</f>
        <v/>
      </c>
      <c r="B32" s="28" t="inlineStr">
        <is>
          <t>LN0534</t>
        </is>
      </c>
      <c r="C32" s="23" t="inlineStr">
        <is>
          <t>VIGNESHKUMAR K</t>
        </is>
      </c>
      <c r="D32" s="23" t="inlineStr">
        <is>
          <t>PRODUCTION</t>
        </is>
      </c>
      <c r="E32" s="24" t="inlineStr">
        <is>
          <t>TYRE BUILDING-P3</t>
        </is>
      </c>
      <c r="F32" s="29" t="n">
        <v>45608</v>
      </c>
      <c r="G32" s="30">
        <f>NOW()-F32</f>
        <v/>
      </c>
      <c r="H32" s="144" t="inlineStr">
        <is>
          <t>L</t>
        </is>
      </c>
      <c r="I32" s="144" t="inlineStr">
        <is>
          <t>L</t>
        </is>
      </c>
      <c r="J32" s="144" t="n"/>
      <c r="K32" s="144" t="n"/>
      <c r="L32" s="144" t="n"/>
      <c r="M32" s="144" t="n"/>
      <c r="N32" s="144" t="n"/>
      <c r="O32" s="104">
        <f>SUM(J32:N32)</f>
        <v/>
      </c>
      <c r="P32" s="12">
        <f>O32/IF(H32="L",20,IF(H32="U",30,IF(H32="O",40,IF(H32="I",20,""))))</f>
        <v/>
      </c>
      <c r="Q32" s="145">
        <f>IF(AND(H32="L", P32&gt;=50%), "Pass",
IF(AND(H32="U", P32&gt;=60%), "Pass",
IF(AND(H32="O", P32&gt;=75%), "Pass", "Fail")))</f>
        <v/>
      </c>
      <c r="R32" s="146" t="n"/>
      <c r="S32" s="146" t="n"/>
      <c r="T32" s="146" t="n"/>
      <c r="U32" s="104">
        <f>SUM(S32:T32)</f>
        <v/>
      </c>
      <c r="V32" s="12">
        <f>U32/IF(H32="L",35,IF(H32="U",35,IF(H32="O",35,IF(H32="I",35,""))))</f>
        <v/>
      </c>
      <c r="W32" s="145">
        <f>IF(AND(H32="L", V32&gt;=50%), "Pass",
IF(AND(H32="U", V32&gt;=60%), "Pass",
IF(AND(H32="O", V32&gt;=75%), "Pass", "Fail")))</f>
        <v/>
      </c>
      <c r="X32" s="145">
        <f>IF(AND(Q32="Pass", W32="Pass"), "Pass", "Fail")</f>
        <v/>
      </c>
      <c r="Y32" s="15">
        <f>IF($X32="Pass",$H32,
IF(H32="L","I",
IF(H32="U","L",
IF(H32="O","U",
"I"))))</f>
        <v/>
      </c>
      <c r="AA32">
        <f>VLOOKUP($B32,[1]Sheet1!$B:$B,1,0)</f>
        <v/>
      </c>
      <c r="AB32">
        <f>VLOOKUP($B32,'[3]Left Employee Report'!$D:$D,1,0)</f>
        <v/>
      </c>
    </row>
    <row r="33">
      <c r="A33" s="1">
        <f>ROW()-2</f>
        <v/>
      </c>
      <c r="B33" s="28" t="inlineStr">
        <is>
          <t>LN0535</t>
        </is>
      </c>
      <c r="C33" s="23" t="inlineStr">
        <is>
          <t>MANIKKAVEL A</t>
        </is>
      </c>
      <c r="D33" s="23" t="inlineStr">
        <is>
          <t>PRODUCTION</t>
        </is>
      </c>
      <c r="E33" s="24" t="inlineStr">
        <is>
          <t>BIAS MARANGONI&amp;BESTRY</t>
        </is>
      </c>
      <c r="F33" s="29" t="n">
        <v>45608</v>
      </c>
      <c r="G33" s="30">
        <f>NOW()-F33</f>
        <v/>
      </c>
      <c r="H33" s="144" t="inlineStr">
        <is>
          <t>L</t>
        </is>
      </c>
      <c r="I33" s="144" t="inlineStr">
        <is>
          <t>L</t>
        </is>
      </c>
      <c r="J33" s="144" t="n"/>
      <c r="K33" s="144" t="n"/>
      <c r="L33" s="144" t="n"/>
      <c r="M33" s="144" t="n"/>
      <c r="N33" s="144" t="n"/>
      <c r="O33" s="104">
        <f>SUM(J33:N33)</f>
        <v/>
      </c>
      <c r="P33" s="12">
        <f>O33/IF(H33="L",20,IF(H33="U",30,IF(H33="O",40,IF(H33="I",20,""))))</f>
        <v/>
      </c>
      <c r="Q33" s="145">
        <f>IF(AND(H33="L", P33&gt;=50%), "Pass",
IF(AND(H33="U", P33&gt;=60%), "Pass",
IF(AND(H33="O", P33&gt;=75%), "Pass", "Fail")))</f>
        <v/>
      </c>
      <c r="R33" s="146" t="n"/>
      <c r="S33" s="146" t="n"/>
      <c r="T33" s="146" t="n"/>
      <c r="U33" s="104">
        <f>SUM(S33:T33)</f>
        <v/>
      </c>
      <c r="V33" s="12">
        <f>U33/IF(H33="L",35,IF(H33="U",35,IF(H33="O",35,IF(H33="I",35,""))))</f>
        <v/>
      </c>
      <c r="W33" s="145">
        <f>IF(AND(H33="L", V33&gt;=50%), "Pass",
IF(AND(H33="U", V33&gt;=60%), "Pass",
IF(AND(H33="O", V33&gt;=75%), "Pass", "Fail")))</f>
        <v/>
      </c>
      <c r="X33" s="145">
        <f>IF(AND(Q33="Pass", W33="Pass"), "Pass", "Fail")</f>
        <v/>
      </c>
      <c r="Y33" s="15">
        <f>IF($X33="Pass",$H33,
IF(H33="L","I",
IF(H33="U","L",
IF(H33="O","U",
"I"))))</f>
        <v/>
      </c>
      <c r="AA33">
        <f>VLOOKUP($B33,[1]Sheet1!$B:$B,1,0)</f>
        <v/>
      </c>
      <c r="AB33">
        <f>VLOOKUP($B33,'[3]Left Employee Report'!$D:$D,1,0)</f>
        <v/>
      </c>
    </row>
    <row r="34">
      <c r="A34" s="1">
        <f>ROW()-2</f>
        <v/>
      </c>
      <c r="B34" s="28" t="inlineStr">
        <is>
          <t>LN0590</t>
        </is>
      </c>
      <c r="C34" s="23" t="inlineStr">
        <is>
          <t>MAHINDRA POOBATHI M</t>
        </is>
      </c>
      <c r="D34" s="23" t="inlineStr">
        <is>
          <t>PRODUCTION</t>
        </is>
      </c>
      <c r="E34" s="24" t="inlineStr">
        <is>
          <t>TYRE BUILDING-P2</t>
        </is>
      </c>
      <c r="F34" s="29" t="n">
        <v>45618</v>
      </c>
      <c r="G34" s="30">
        <f>NOW()-F34</f>
        <v/>
      </c>
      <c r="H34" s="144" t="inlineStr">
        <is>
          <t>L</t>
        </is>
      </c>
      <c r="I34" s="144" t="inlineStr">
        <is>
          <t>L</t>
        </is>
      </c>
      <c r="J34" s="144" t="n"/>
      <c r="K34" s="144" t="n"/>
      <c r="L34" s="144" t="n"/>
      <c r="M34" s="144" t="n"/>
      <c r="N34" s="144" t="n"/>
      <c r="O34" s="104">
        <f>SUM(J34:N34)</f>
        <v/>
      </c>
      <c r="P34" s="12">
        <f>O34/IF(H34="L",20,IF(H34="U",30,IF(H34="O",40,IF(H34="I",20,""))))</f>
        <v/>
      </c>
      <c r="Q34" s="145">
        <f>IF(AND(H34="L", P34&gt;=50%), "Pass",
IF(AND(H34="U", P34&gt;=60%), "Pass",
IF(AND(H34="O", P34&gt;=75%), "Pass", "Fail")))</f>
        <v/>
      </c>
      <c r="R34" s="146" t="n"/>
      <c r="S34" s="146" t="n"/>
      <c r="T34" s="146" t="n"/>
      <c r="U34" s="104">
        <f>SUM(S34:T34)</f>
        <v/>
      </c>
      <c r="V34" s="12">
        <f>U34/IF(H34="L",35,IF(H34="U",35,IF(H34="O",35,IF(H34="I",35,""))))</f>
        <v/>
      </c>
      <c r="W34" s="145">
        <f>IF(AND(H34="L", V34&gt;=50%), "Pass",
IF(AND(H34="U", V34&gt;=60%), "Pass",
IF(AND(H34="O", V34&gt;=75%), "Pass", "Fail")))</f>
        <v/>
      </c>
      <c r="X34" s="145">
        <f>IF(AND(Q34="Pass", W34="Pass"), "Pass", "Fail")</f>
        <v/>
      </c>
      <c r="Y34" s="15">
        <f>IF($X34="Pass",$H34,
IF(H34="L","I",
IF(H34="U","L",
IF(H34="O","U",
"I"))))</f>
        <v/>
      </c>
      <c r="AA34">
        <f>VLOOKUP($B34,[1]Sheet1!$B:$B,1,0)</f>
        <v/>
      </c>
      <c r="AB34">
        <f>VLOOKUP($B34,'[3]Left Employee Report'!$D:$D,1,0)</f>
        <v/>
      </c>
    </row>
    <row r="35">
      <c r="A35" s="1">
        <f>ROW()-2</f>
        <v/>
      </c>
      <c r="B35" s="28" t="inlineStr">
        <is>
          <t>LN0591</t>
        </is>
      </c>
      <c r="C35" s="23" t="inlineStr">
        <is>
          <t>MARISELVAM R</t>
        </is>
      </c>
      <c r="D35" s="23" t="inlineStr">
        <is>
          <t>PRODUCTION</t>
        </is>
      </c>
      <c r="E35" s="24" t="inlineStr">
        <is>
          <t>TYRE BUILDING-P3</t>
        </is>
      </c>
      <c r="F35" s="29" t="n">
        <v>45618</v>
      </c>
      <c r="G35" s="30">
        <f>NOW()-F35</f>
        <v/>
      </c>
      <c r="H35" s="144" t="inlineStr">
        <is>
          <t>L</t>
        </is>
      </c>
      <c r="I35" s="144" t="inlineStr">
        <is>
          <t>L</t>
        </is>
      </c>
      <c r="J35" s="144" t="n"/>
      <c r="K35" s="144" t="n"/>
      <c r="L35" s="144" t="n"/>
      <c r="M35" s="144" t="n"/>
      <c r="N35" s="144" t="n"/>
      <c r="O35" s="104">
        <f>SUM(J35:N35)</f>
        <v/>
      </c>
      <c r="P35" s="12">
        <f>O35/IF(H35="L",20,IF(H35="U",30,IF(H35="O",40,IF(H35="I",20,""))))</f>
        <v/>
      </c>
      <c r="Q35" s="145">
        <f>IF(AND(H35="L", P35&gt;=50%), "Pass",
 IF(AND(H35="U", P35&gt;=60%), "Pass",
 IF(AND(H35="O", P35&gt;=75%), "Pass", "Fail")))</f>
        <v/>
      </c>
      <c r="R35" s="146" t="n"/>
      <c r="S35" s="146" t="n"/>
      <c r="T35" s="146" t="n"/>
      <c r="U35" s="104">
        <f>SUM(S35:T35)</f>
        <v/>
      </c>
      <c r="V35" s="12">
        <f>U35/IF(H35="L",35,IF(H35="U",35,IF(H35="O",35,IF(H35="I",35,""))))</f>
        <v/>
      </c>
      <c r="W35" s="145">
        <f>IF(AND(H35="L", V35&gt;=50%), "Pass",
 IF(AND(H35="U", V35&gt;=60%), "Pass",
 IF(AND(H35="O", V35&gt;=75%), "Pass", "Fail")))</f>
        <v/>
      </c>
      <c r="X35" s="145">
        <f>IF(AND(Q35="Pass", W35="Pass"), "Pass", "Fail")</f>
        <v/>
      </c>
      <c r="Y35" s="15">
        <f>IF($X35="Pass",$H35,
IF(H35="L","I",
IF(H35="U","L",
IF(H35="O","U",
"I"))))</f>
        <v/>
      </c>
      <c r="AA35">
        <f>VLOOKUP($B35,[1]Sheet1!$B:$B,1,0)</f>
        <v/>
      </c>
      <c r="AB35">
        <f>VLOOKUP($B35,'[3]Left Employee Report'!$D:$D,1,0)</f>
        <v/>
      </c>
    </row>
    <row r="36">
      <c r="A36" s="1">
        <f>ROW()-2</f>
        <v/>
      </c>
      <c r="B36" s="28" t="inlineStr">
        <is>
          <t>LN0610</t>
        </is>
      </c>
      <c r="C36" s="23" t="inlineStr">
        <is>
          <t>JOSEPH MARTIN</t>
        </is>
      </c>
      <c r="D36" s="23" t="inlineStr">
        <is>
          <t>PRODUCTION</t>
        </is>
      </c>
      <c r="E36" s="24" t="inlineStr">
        <is>
          <t>TYRE CURING</t>
        </is>
      </c>
      <c r="F36" s="29" t="n">
        <v>45624</v>
      </c>
      <c r="G36" s="30">
        <f>NOW()-F36</f>
        <v/>
      </c>
      <c r="H36" s="144" t="inlineStr">
        <is>
          <t>L</t>
        </is>
      </c>
      <c r="I36" s="144" t="inlineStr">
        <is>
          <t>I</t>
        </is>
      </c>
      <c r="J36" s="144" t="n"/>
      <c r="K36" s="144" t="n"/>
      <c r="L36" s="144" t="n"/>
      <c r="M36" s="144" t="n"/>
      <c r="N36" s="144" t="n"/>
      <c r="O36" s="104">
        <f>SUM(J36:N36)</f>
        <v/>
      </c>
      <c r="P36" s="12">
        <f>O36/IF(H36="L",20,IF(H36="U",30,IF(H36="O",40,IF(H36="I",20,""))))</f>
        <v/>
      </c>
      <c r="Q36" s="145">
        <f>IF(AND(H36="L", P36&gt;=50%), "Pass",
IF(AND(H36="U", P36&gt;=60%), "Pass",
IF(AND(H36="O", P36&gt;=75%), "Pass", "Fail")))</f>
        <v/>
      </c>
      <c r="R36" s="146" t="n"/>
      <c r="S36" s="146" t="n"/>
      <c r="T36" s="146" t="n"/>
      <c r="U36" s="104">
        <f>SUM(S36:T36)</f>
        <v/>
      </c>
      <c r="V36" s="12">
        <f>U36/IF(H36="L",35,IF(H36="U",35,IF(H36="O",35,IF(H36="I",35,""))))</f>
        <v/>
      </c>
      <c r="W36" s="145">
        <f>IF(AND(H36="L", V36&gt;=50%), "Pass",
IF(AND(H36="U", V36&gt;=60%), "Pass",
IF(AND(H36="O", V36&gt;=75%), "Pass", "Fail")))</f>
        <v/>
      </c>
      <c r="X36" s="145">
        <f>IF(AND(Q36="Pass", W36="Pass"), "Pass", "Fail")</f>
        <v/>
      </c>
      <c r="Y36" s="15">
        <f>IF($X36="Pass",$H36,
IF(H36="L","I",
IF(H36="U","L",
IF(H36="O","U",
"I"))))</f>
        <v/>
      </c>
      <c r="AA36">
        <f>VLOOKUP($B36,[1]Sheet1!$B:$B,1,0)</f>
        <v/>
      </c>
      <c r="AB36">
        <f>VLOOKUP($B36,'[3]Left Employee Report'!$D:$D,1,0)</f>
        <v/>
      </c>
    </row>
    <row r="37">
      <c r="A37" s="1">
        <f>ROW()-2</f>
        <v/>
      </c>
      <c r="B37" s="28" t="inlineStr">
        <is>
          <t>LN0627</t>
        </is>
      </c>
      <c r="C37" s="23" t="inlineStr">
        <is>
          <t>VELMURUGAN P</t>
        </is>
      </c>
      <c r="D37" s="23" t="inlineStr">
        <is>
          <t>PRODUCTION</t>
        </is>
      </c>
      <c r="E37" s="24" t="inlineStr">
        <is>
          <t>TYRE CURING</t>
        </is>
      </c>
      <c r="F37" s="29" t="n">
        <v>45631</v>
      </c>
      <c r="G37" s="30">
        <f>NOW()-F37</f>
        <v/>
      </c>
      <c r="H37" s="144" t="inlineStr">
        <is>
          <t>L</t>
        </is>
      </c>
      <c r="I37" s="144" t="inlineStr">
        <is>
          <t>L</t>
        </is>
      </c>
      <c r="J37" s="144" t="n"/>
      <c r="K37" s="144" t="n"/>
      <c r="L37" s="144" t="n"/>
      <c r="M37" s="144" t="n"/>
      <c r="N37" s="144" t="n"/>
      <c r="O37" s="104">
        <f>SUM(J37:N37)</f>
        <v/>
      </c>
      <c r="P37" s="12">
        <f>O37/IF(H37="L",20,IF(H37="U",30,IF(H37="O",40,IF(H37="I",20,""))))</f>
        <v/>
      </c>
      <c r="Q37" s="145">
        <f>IF(AND(H37="L", P37&gt;=50%), "Pass",
IF(AND(H37="U", P37&gt;=60%), "Pass",
IF(AND(H37="O", P37&gt;=75%), "Pass", "Fail")))</f>
        <v/>
      </c>
      <c r="R37" s="146" t="n"/>
      <c r="S37" s="146" t="n"/>
      <c r="T37" s="146" t="n"/>
      <c r="U37" s="104">
        <f>SUM(S37:T37)</f>
        <v/>
      </c>
      <c r="V37" s="12">
        <f>U37/IF(H37="L",35,IF(H37="U",35,IF(H37="O",35,IF(H37="I",35,""))))</f>
        <v/>
      </c>
      <c r="W37" s="145">
        <f>IF(AND(H37="L", V37&gt;=50%), "Pass",
IF(AND(H37="U", V37&gt;=60%), "Pass",
IF(AND(H37="O", V37&gt;=75%), "Pass", "Fail")))</f>
        <v/>
      </c>
      <c r="X37" s="145">
        <f>IF(AND(Q37="Pass", W37="Pass"), "Pass", "Fail")</f>
        <v/>
      </c>
      <c r="Y37" s="15">
        <f>IF($X37="Pass",$H37,
IF(H37="L","I",
IF(H37="U","L",
IF(H37="O","U",
"I"))))</f>
        <v/>
      </c>
      <c r="AA37">
        <f>VLOOKUP($B37,[1]Sheet1!$B:$B,1,0)</f>
        <v/>
      </c>
      <c r="AB37">
        <f>VLOOKUP($B37,'[3]Left Employee Report'!$D:$D,1,0)</f>
        <v/>
      </c>
    </row>
    <row r="38">
      <c r="A38" s="1">
        <f>ROW()-2</f>
        <v/>
      </c>
      <c r="B38" s="28" t="inlineStr">
        <is>
          <t>LN0636</t>
        </is>
      </c>
      <c r="C38" s="23" t="inlineStr">
        <is>
          <t>MURUGAN P</t>
        </is>
      </c>
      <c r="D38" s="23" t="inlineStr">
        <is>
          <t>PRODUCTION</t>
        </is>
      </c>
      <c r="E38" s="24" t="inlineStr">
        <is>
          <t>TYRE BUILDING-P3</t>
        </is>
      </c>
      <c r="F38" s="29" t="n">
        <v>45631</v>
      </c>
      <c r="G38" s="30">
        <f>NOW()-F38</f>
        <v/>
      </c>
      <c r="H38" s="144" t="inlineStr">
        <is>
          <t>L</t>
        </is>
      </c>
      <c r="I38" s="144" t="inlineStr">
        <is>
          <t>L</t>
        </is>
      </c>
      <c r="J38" s="144" t="n"/>
      <c r="K38" s="144" t="n"/>
      <c r="L38" s="144" t="n"/>
      <c r="M38" s="144" t="n"/>
      <c r="N38" s="144" t="n"/>
      <c r="O38" s="104">
        <f>SUM(J38:N38)</f>
        <v/>
      </c>
      <c r="P38" s="12">
        <f>O38/IF(H38="L",20,IF(H38="U",30,IF(H38="O",40,IF(H38="I",20,""))))</f>
        <v/>
      </c>
      <c r="Q38" s="145">
        <f>IF(AND(H38="L", P38&gt;=50%), "Pass",
IF(AND(H38="U", P38&gt;=60%), "Pass",
IF(AND(H38="O", P38&gt;=75%), "Pass", "Fail")))</f>
        <v/>
      </c>
      <c r="R38" s="146" t="n"/>
      <c r="S38" s="146" t="n"/>
      <c r="T38" s="146" t="n"/>
      <c r="U38" s="104">
        <f>SUM(S38:T38)</f>
        <v/>
      </c>
      <c r="V38" s="12">
        <f>U38/IF(H38="L",35,IF(H38="U",35,IF(H38="O",35,IF(H38="I",35,""))))</f>
        <v/>
      </c>
      <c r="W38" s="145">
        <f>IF(AND(H38="L", V38&gt;=50%), "Pass",
IF(AND(H38="U", V38&gt;=60%), "Pass",
IF(AND(H38="O", V38&gt;=75%), "Pass", "Fail")))</f>
        <v/>
      </c>
      <c r="X38" s="145">
        <f>IF(AND(Q38="Pass", W38="Pass"), "Pass", "Fail")</f>
        <v/>
      </c>
      <c r="Y38" s="15">
        <f>IF($X38="Pass",$H38,
IF(H38="L","I",
IF(H38="U","L",
IF(H38="O","U",
"I"))))</f>
        <v/>
      </c>
      <c r="AA38">
        <f>VLOOKUP($B38,[1]Sheet1!$B:$B,1,0)</f>
        <v/>
      </c>
      <c r="AB38">
        <f>VLOOKUP($B38,'[3]Left Employee Report'!$D:$D,1,0)</f>
        <v/>
      </c>
    </row>
    <row r="39">
      <c r="A39" s="1">
        <f>ROW()-2</f>
        <v/>
      </c>
      <c r="B39" s="28" t="inlineStr">
        <is>
          <t>LN0640</t>
        </is>
      </c>
      <c r="C39" s="23" t="inlineStr">
        <is>
          <t>SELVA KRISHNAN V</t>
        </is>
      </c>
      <c r="D39" s="23" t="inlineStr">
        <is>
          <t>PRODUCTION</t>
        </is>
      </c>
      <c r="E39" s="24" t="inlineStr">
        <is>
          <t>TYRE BUILDING-P2</t>
        </is>
      </c>
      <c r="F39" s="29" t="n">
        <v>45631</v>
      </c>
      <c r="G39" s="30">
        <f>NOW()-F39</f>
        <v/>
      </c>
      <c r="H39" s="144" t="inlineStr">
        <is>
          <t>L</t>
        </is>
      </c>
      <c r="I39" s="144" t="inlineStr">
        <is>
          <t>I</t>
        </is>
      </c>
      <c r="J39" s="144" t="n"/>
      <c r="K39" s="144" t="n"/>
      <c r="L39" s="144" t="n"/>
      <c r="M39" s="144" t="n"/>
      <c r="N39" s="144" t="n"/>
      <c r="O39" s="104">
        <f>SUM(J39:N39)</f>
        <v/>
      </c>
      <c r="P39" s="12">
        <f>O39/IF(H39="L",20,IF(H39="U",30,IF(H39="O",40,IF(H39="I",20,""))))</f>
        <v/>
      </c>
      <c r="Q39" s="145">
        <f>IF(AND(H39="L", P39&gt;=50%), "Pass",
IF(AND(H39="U", P39&gt;=60%), "Pass",
IF(AND(H39="O", P39&gt;=75%), "Pass", "Fail")))</f>
        <v/>
      </c>
      <c r="R39" s="146" t="n"/>
      <c r="S39" s="146" t="n"/>
      <c r="T39" s="146" t="n"/>
      <c r="U39" s="104">
        <f>SUM(S39:T39)</f>
        <v/>
      </c>
      <c r="V39" s="12">
        <f>U39/IF(H39="L",35,IF(H39="U",35,IF(H39="O",35,IF(H39="I",35,""))))</f>
        <v/>
      </c>
      <c r="W39" s="145">
        <f>IF(AND(H39="L", V39&gt;=50%), "Pass",
IF(AND(H39="U", V39&gt;=60%), "Pass",
IF(AND(H39="O", V39&gt;=75%), "Pass", "Fail")))</f>
        <v/>
      </c>
      <c r="X39" s="145">
        <f>IF(AND(Q39="Pass", W39="Pass"), "Pass", "Fail")</f>
        <v/>
      </c>
      <c r="Y39" s="15">
        <f>IF($X39="Pass",$H39,
IF(H39="L","I",
IF(H39="U","L",
IF(H39="O","U",
"I"))))</f>
        <v/>
      </c>
      <c r="AA39">
        <f>VLOOKUP($B39,[1]Sheet1!$B:$B,1,0)</f>
        <v/>
      </c>
      <c r="AB39">
        <f>VLOOKUP($B39,'[3]Left Employee Report'!$D:$D,1,0)</f>
        <v/>
      </c>
    </row>
    <row r="40">
      <c r="A40" s="1">
        <f>ROW()-2</f>
        <v/>
      </c>
      <c r="B40" s="28" t="inlineStr">
        <is>
          <t>LN0641</t>
        </is>
      </c>
      <c r="C40" s="23" t="inlineStr">
        <is>
          <t>ARUMUGAM S</t>
        </is>
      </c>
      <c r="D40" s="23" t="inlineStr">
        <is>
          <t>PRODUCTION</t>
        </is>
      </c>
      <c r="E40" s="24" t="inlineStr">
        <is>
          <t>TYRE CURING</t>
        </is>
      </c>
      <c r="F40" s="29" t="n">
        <v>45631</v>
      </c>
      <c r="G40" s="30">
        <f>NOW()-F40</f>
        <v/>
      </c>
      <c r="H40" s="144" t="inlineStr">
        <is>
          <t>L</t>
        </is>
      </c>
      <c r="I40" s="144" t="inlineStr">
        <is>
          <t>L</t>
        </is>
      </c>
      <c r="J40" s="144" t="n"/>
      <c r="K40" s="144" t="n"/>
      <c r="L40" s="144" t="n"/>
      <c r="M40" s="144" t="n"/>
      <c r="N40" s="144" t="n"/>
      <c r="O40" s="104">
        <f>SUM(J40:N40)</f>
        <v/>
      </c>
      <c r="P40" s="12">
        <f>O40/IF(H40="L",20,IF(H40="U",30,IF(H40="O",40,IF(H40="I",20,""))))</f>
        <v/>
      </c>
      <c r="Q40" s="145">
        <f>IF(AND(H40="L", P40&gt;=50%), "Pass",
IF(AND(H40="U", P40&gt;=60%), "Pass",
IF(AND(H40="O", P40&gt;=75%), "Pass", "Fail")))</f>
        <v/>
      </c>
      <c r="R40" s="146" t="n"/>
      <c r="S40" s="146" t="n"/>
      <c r="T40" s="146" t="n"/>
      <c r="U40" s="104">
        <f>SUM(S40:T40)</f>
        <v/>
      </c>
      <c r="V40" s="12">
        <f>U40/IF(H40="L",35,IF(H40="U",35,IF(H40="O",35,IF(H40="I",35,""))))</f>
        <v/>
      </c>
      <c r="W40" s="145">
        <f>IF(AND(H40="L", V40&gt;=50%), "Pass",
IF(AND(H40="U", V40&gt;=60%), "Pass",
IF(AND(H40="O", V40&gt;=75%), "Pass", "Fail")))</f>
        <v/>
      </c>
      <c r="X40" s="145">
        <f>IF(AND(Q40="Pass", W40="Pass"), "Pass", "Fail")</f>
        <v/>
      </c>
      <c r="Y40" s="15">
        <f>IF($X40="Pass",$H40,
IF(H40="L","I",
IF(H40="U","L",
IF(H40="O","U",
"I"))))</f>
        <v/>
      </c>
      <c r="AA40">
        <f>VLOOKUP($B40,[1]Sheet1!$B:$B,1,0)</f>
        <v/>
      </c>
      <c r="AB40">
        <f>VLOOKUP($B40,'[3]Left Employee Report'!$D:$D,1,0)</f>
        <v/>
      </c>
    </row>
    <row r="41">
      <c r="A41" s="1">
        <f>ROW()-2</f>
        <v/>
      </c>
      <c r="B41" s="28" t="inlineStr">
        <is>
          <t>LN0732</t>
        </is>
      </c>
      <c r="C41" s="23" t="inlineStr">
        <is>
          <t>SUBBAIAH</t>
        </is>
      </c>
      <c r="D41" s="23" t="inlineStr">
        <is>
          <t>PRODUCTION</t>
        </is>
      </c>
      <c r="E41" s="24" t="inlineStr">
        <is>
          <t>TYRE BUILDING-P1</t>
        </is>
      </c>
      <c r="F41" s="29" t="n">
        <v>45674</v>
      </c>
      <c r="G41" s="30">
        <f>NOW()-F41</f>
        <v/>
      </c>
      <c r="H41" s="144" t="inlineStr">
        <is>
          <t>L</t>
        </is>
      </c>
      <c r="I41" s="144" t="inlineStr">
        <is>
          <t>I</t>
        </is>
      </c>
      <c r="J41" s="144" t="n"/>
      <c r="K41" s="144" t="n"/>
      <c r="L41" s="144" t="n"/>
      <c r="M41" s="144" t="n"/>
      <c r="N41" s="144" t="n"/>
      <c r="O41" s="104">
        <f>SUM(J41:N41)</f>
        <v/>
      </c>
      <c r="P41" s="12">
        <f>O41/IF(H41="L",20,IF(H41="U",30,IF(H41="O",40,IF(H41="I",20,""))))</f>
        <v/>
      </c>
      <c r="Q41" s="145">
        <f>IF(AND(H41="L", P41&gt;=50%), "Pass",
IF(AND(H41="U", P41&gt;=60%), "Pass",
IF(AND(H41="O", P41&gt;=75%), "Pass", "Fail")))</f>
        <v/>
      </c>
      <c r="R41" s="146" t="n"/>
      <c r="S41" s="146" t="n"/>
      <c r="T41" s="146" t="n"/>
      <c r="U41" s="104">
        <f>SUM(S41:T41)</f>
        <v/>
      </c>
      <c r="V41" s="12">
        <f>U41/IF(H41="L",35,IF(H41="U",35,IF(H41="O",35,IF(H41="I",35,""))))</f>
        <v/>
      </c>
      <c r="W41" s="145">
        <f>IF(AND(H41="L", V41&gt;=50%), "Pass",
IF(AND(H41="U", V41&gt;=60%), "Pass",
IF(AND(H41="O", V41&gt;=75%), "Pass", "Fail")))</f>
        <v/>
      </c>
      <c r="X41" s="145">
        <f>IF(AND(Q41="Pass", W41="Pass"), "Pass", "Fail")</f>
        <v/>
      </c>
      <c r="Y41" s="15">
        <f>IF($X41="Pass",$H41,
IF(H41="L","I",
IF(H41="U","L",
IF(H41="O","U",
"I"))))</f>
        <v/>
      </c>
      <c r="AA41">
        <f>VLOOKUP($B41,[1]Sheet1!$B:$B,1,0)</f>
        <v/>
      </c>
      <c r="AB41">
        <f>VLOOKUP($B41,'[3]Left Employee Report'!$D:$D,1,0)</f>
        <v/>
      </c>
    </row>
    <row r="42">
      <c r="A42" s="1">
        <f>ROW()-2</f>
        <v/>
      </c>
      <c r="B42" s="28" t="inlineStr">
        <is>
          <t>LN0742</t>
        </is>
      </c>
      <c r="C42" s="23" t="inlineStr">
        <is>
          <t>SURESH NAYINAR</t>
        </is>
      </c>
      <c r="D42" s="23" t="inlineStr">
        <is>
          <t>PRODUCTION</t>
        </is>
      </c>
      <c r="E42" s="24" t="inlineStr">
        <is>
          <t>TYRE BUILDING-P3</t>
        </is>
      </c>
      <c r="F42" s="29" t="n">
        <v>45677</v>
      </c>
      <c r="G42" s="30">
        <f>NOW()-F42</f>
        <v/>
      </c>
      <c r="H42" s="144" t="inlineStr">
        <is>
          <t>L</t>
        </is>
      </c>
      <c r="I42" s="144" t="inlineStr">
        <is>
          <t>L</t>
        </is>
      </c>
      <c r="J42" s="144" t="n"/>
      <c r="K42" s="144" t="n"/>
      <c r="L42" s="144" t="n"/>
      <c r="M42" s="144" t="n"/>
      <c r="N42" s="144" t="n"/>
      <c r="O42" s="104">
        <f>SUM(J42:N42)</f>
        <v/>
      </c>
      <c r="P42" s="12">
        <f>O42/IF(H42="L",20,IF(H42="U",30,IF(H42="O",40,IF(H42="I",20,""))))</f>
        <v/>
      </c>
      <c r="Q42" s="145">
        <f>IF(AND(H42="L", P42&gt;=50%), "Pass",
IF(AND(H42="U", P42&gt;=60%), "Pass",
IF(AND(H42="O", P42&gt;=75%), "Pass", "Fail")))</f>
        <v/>
      </c>
      <c r="R42" s="146" t="n"/>
      <c r="S42" s="146" t="n"/>
      <c r="T42" s="146" t="n"/>
      <c r="U42" s="104">
        <f>SUM(S42:T42)</f>
        <v/>
      </c>
      <c r="V42" s="12">
        <f>U42/IF(H42="L",35,IF(H42="U",35,IF(H42="O",35,IF(H42="I",35,""))))</f>
        <v/>
      </c>
      <c r="W42" s="145">
        <f>IF(AND(H42="L", V42&gt;=50%), "Pass",
IF(AND(H42="U", V42&gt;=60%), "Pass",
IF(AND(H42="O", V42&gt;=75%), "Pass", "Fail")))</f>
        <v/>
      </c>
      <c r="X42" s="145">
        <f>IF(AND(Q42="Pass", W42="Pass"), "Pass", "Fail")</f>
        <v/>
      </c>
      <c r="Y42" s="15">
        <f>IF($X42="Pass",$H42,
IF(H42="L","I",
IF(H42="U","L",
IF(H42="O","U",
"I"))))</f>
        <v/>
      </c>
      <c r="AA42">
        <f>VLOOKUP($B42,[1]Sheet1!$B:$B,1,0)</f>
        <v/>
      </c>
      <c r="AB42">
        <f>VLOOKUP($B42,'[3]Left Employee Report'!$D:$D,1,0)</f>
        <v/>
      </c>
    </row>
    <row r="43">
      <c r="A43" s="1">
        <f>ROW()-2</f>
        <v/>
      </c>
      <c r="B43" s="28" t="inlineStr">
        <is>
          <t>LN0816</t>
        </is>
      </c>
      <c r="C43" s="23" t="inlineStr">
        <is>
          <t>MUTHURAM D</t>
        </is>
      </c>
      <c r="D43" s="23" t="inlineStr">
        <is>
          <t>PRODUCTION</t>
        </is>
      </c>
      <c r="E43" s="24" t="inlineStr">
        <is>
          <t>TYRE CURING</t>
        </is>
      </c>
      <c r="F43" s="29" t="n">
        <v>45761</v>
      </c>
      <c r="G43" s="30">
        <f>NOW()-F43</f>
        <v/>
      </c>
      <c r="H43" s="144" t="inlineStr">
        <is>
          <t>I</t>
        </is>
      </c>
      <c r="I43" s="144" t="inlineStr">
        <is>
          <t>I</t>
        </is>
      </c>
      <c r="J43" s="144" t="n"/>
      <c r="K43" s="144" t="n"/>
      <c r="L43" s="144" t="n"/>
      <c r="M43" s="144" t="n"/>
      <c r="N43" s="144" t="n"/>
      <c r="O43" s="104">
        <f>SUM(J43:N43)</f>
        <v/>
      </c>
      <c r="P43" s="12">
        <f>O43/IF(H43="L",20,IF(H43="U",30,IF(H43="O",40,IF(H43="I",20,""))))</f>
        <v/>
      </c>
      <c r="Q43" s="145">
        <f>IF(AND(H43="L", P43&gt;=50%), "Pass",
IF(AND(H43="U", P43&gt;=60%), "Pass",
IF(AND(H43="O", P43&gt;=75%), "Pass", "Fail")))</f>
        <v/>
      </c>
      <c r="R43" s="146" t="n"/>
      <c r="S43" s="146" t="n"/>
      <c r="T43" s="146" t="n"/>
      <c r="U43" s="104">
        <f>SUM(S43:T43)</f>
        <v/>
      </c>
      <c r="V43" s="12">
        <f>U43/IF(H43="L",35,IF(H43="U",35,IF(H43="O",35,IF(H43="I",35,""))))</f>
        <v/>
      </c>
      <c r="W43" s="145">
        <f>IF(AND(H43="L", V43&gt;=50%), "Pass",
IF(AND(H43="U", V43&gt;=60%), "Pass",
IF(AND(H43="O", V43&gt;=75%), "Pass", "Fail")))</f>
        <v/>
      </c>
      <c r="X43" s="145">
        <f>IF(AND(Q43="Pass", W43="Pass"), "Pass", "Fail")</f>
        <v/>
      </c>
      <c r="Y43" s="15">
        <f>IF($X43="Pass",$H43,
IF(H43="L","I",
IF(H43="U","L",
IF(H43="O","U",
"I"))))</f>
        <v/>
      </c>
      <c r="AA43">
        <f>VLOOKUP($B43,[1]Sheet1!$B:$B,1,0)</f>
        <v/>
      </c>
      <c r="AB43">
        <f>VLOOKUP($B43,'[3]Left Employee Report'!$D:$D,1,0)</f>
        <v/>
      </c>
    </row>
    <row r="44">
      <c r="A44" s="1">
        <f>ROW()-2</f>
        <v/>
      </c>
      <c r="B44" s="28" t="inlineStr">
        <is>
          <t>LN0820</t>
        </is>
      </c>
      <c r="C44" s="23" t="inlineStr">
        <is>
          <t>MADASAMY A</t>
        </is>
      </c>
      <c r="D44" s="23" t="inlineStr">
        <is>
          <t>PRODUCTION</t>
        </is>
      </c>
      <c r="E44" s="24" t="inlineStr">
        <is>
          <t>STEELASTIC</t>
        </is>
      </c>
      <c r="F44" s="29" t="n">
        <v>45761</v>
      </c>
      <c r="G44" s="30">
        <f>NOW()-F44</f>
        <v/>
      </c>
      <c r="H44" s="144" t="inlineStr">
        <is>
          <t>I</t>
        </is>
      </c>
      <c r="I44" s="144" t="inlineStr">
        <is>
          <t>I</t>
        </is>
      </c>
      <c r="J44" s="144" t="n"/>
      <c r="K44" s="144" t="n"/>
      <c r="L44" s="144" t="n"/>
      <c r="M44" s="144" t="n"/>
      <c r="N44" s="144" t="n"/>
      <c r="O44" s="104">
        <f>SUM(J44:N44)</f>
        <v/>
      </c>
      <c r="P44" s="12">
        <f>O44/IF(H44="L",20,IF(H44="U",30,IF(H44="O",40,IF(H44="I",20,""))))</f>
        <v/>
      </c>
      <c r="Q44" s="145">
        <f>IF(AND(H44="L", P44&gt;=50%), "Pass",
IF(AND(H44="U", P44&gt;=60%), "Pass",
IF(AND(H44="O", P44&gt;=75%), "Pass", "Fail")))</f>
        <v/>
      </c>
      <c r="R44" s="146" t="n"/>
      <c r="S44" s="146" t="n"/>
      <c r="T44" s="146" t="n"/>
      <c r="U44" s="104">
        <f>SUM(S44:T44)</f>
        <v/>
      </c>
      <c r="V44" s="12">
        <f>U44/IF(H44="L",35,IF(H44="U",35,IF(H44="O",35,IF(H44="I",35,""))))</f>
        <v/>
      </c>
      <c r="W44" s="145">
        <f>IF(AND(H44="L", V44&gt;=50%), "Pass",
IF(AND(H44="U", V44&gt;=60%), "Pass",
IF(AND(H44="O", V44&gt;=75%), "Pass", "Fail")))</f>
        <v/>
      </c>
      <c r="X44" s="145">
        <f>IF(AND(Q44="Pass", W44="Pass"), "Pass", "Fail")</f>
        <v/>
      </c>
      <c r="Y44" s="15">
        <f>IF($X44="Pass",$H44,
IF(H44="L","I",
IF(H44="U","L",
IF(H44="O","U",
"I"))))</f>
        <v/>
      </c>
      <c r="AA44">
        <f>VLOOKUP($B44,[1]Sheet1!$B:$B,1,0)</f>
        <v/>
      </c>
      <c r="AB44">
        <f>VLOOKUP($B44,'[3]Left Employee Report'!$D:$D,1,0)</f>
        <v/>
      </c>
    </row>
    <row r="45">
      <c r="A45" s="1">
        <f>ROW()-2</f>
        <v/>
      </c>
      <c r="B45" s="28" t="inlineStr">
        <is>
          <t>LN0831</t>
        </is>
      </c>
      <c r="C45" s="23" t="inlineStr">
        <is>
          <t>JHON PRAVEEN S</t>
        </is>
      </c>
      <c r="D45" s="23" t="inlineStr">
        <is>
          <t>PRODUCTION</t>
        </is>
      </c>
      <c r="E45" s="24" t="inlineStr">
        <is>
          <t>BIAS CUTTING-2</t>
        </is>
      </c>
      <c r="F45" s="29" t="n">
        <v>45768</v>
      </c>
      <c r="G45" s="30">
        <f>NOW()-F45</f>
        <v/>
      </c>
      <c r="H45" s="144" t="inlineStr">
        <is>
          <t>I</t>
        </is>
      </c>
      <c r="I45" s="144" t="inlineStr">
        <is>
          <t>I</t>
        </is>
      </c>
      <c r="J45" s="144" t="n"/>
      <c r="K45" s="144" t="n"/>
      <c r="L45" s="144" t="n"/>
      <c r="M45" s="144" t="n"/>
      <c r="N45" s="144" t="n"/>
      <c r="O45" s="104">
        <f>SUM(J45:N45)</f>
        <v/>
      </c>
      <c r="P45" s="12">
        <f>O45/IF(H45="L",20,IF(H45="U",30,IF(H45="O",40,IF(H45="I",20,""))))</f>
        <v/>
      </c>
      <c r="Q45" s="145">
        <f>IF(AND(H45="L", P45&gt;=50%), "Pass",
IF(AND(H45="U", P45&gt;=60%), "Pass",
IF(AND(H45="O", P45&gt;=75%), "Pass", "Fail")))</f>
        <v/>
      </c>
      <c r="R45" s="146" t="n"/>
      <c r="S45" s="146" t="n"/>
      <c r="T45" s="146" t="n"/>
      <c r="U45" s="104">
        <f>SUM(S45:T45)</f>
        <v/>
      </c>
      <c r="V45" s="12">
        <f>U45/IF(H45="L",35,IF(H45="U",35,IF(H45="O",35,IF(H45="I",35,""))))</f>
        <v/>
      </c>
      <c r="W45" s="145">
        <f>IF(AND(H45="L", V45&gt;=50%), "Pass",
IF(AND(H45="U", V45&gt;=60%), "Pass",
IF(AND(H45="O", V45&gt;=75%), "Pass", "Fail")))</f>
        <v/>
      </c>
      <c r="X45" s="145">
        <f>IF(AND(Q45="Pass", W45="Pass"), "Pass", "Fail")</f>
        <v/>
      </c>
      <c r="Y45" s="15">
        <f>IF($X45="Pass",$H45,
IF(H45="L","I",
IF(H45="U","L",
IF(H45="O","U",
"I"))))</f>
        <v/>
      </c>
      <c r="AA45">
        <f>VLOOKUP($B45,[1]Sheet1!$B:$B,1,0)</f>
        <v/>
      </c>
      <c r="AB45">
        <f>VLOOKUP($B45,'[3]Left Employee Report'!$D:$D,1,0)</f>
        <v/>
      </c>
    </row>
    <row r="46">
      <c r="A46" s="1">
        <f>ROW()-2</f>
        <v/>
      </c>
      <c r="B46" s="28" t="inlineStr">
        <is>
          <t>LN0905</t>
        </is>
      </c>
      <c r="C46" s="23" t="inlineStr">
        <is>
          <t>ANTONTONY MATHAN RAJ X</t>
        </is>
      </c>
      <c r="D46" s="23" t="inlineStr">
        <is>
          <t>PRODUCTION</t>
        </is>
      </c>
      <c r="E46" s="24" t="inlineStr">
        <is>
          <t>TYRE CURING</t>
        </is>
      </c>
      <c r="F46" s="29" t="n">
        <v>45820</v>
      </c>
      <c r="G46" s="30">
        <f>NOW()-F46</f>
        <v/>
      </c>
      <c r="H46" s="144" t="inlineStr">
        <is>
          <t>I</t>
        </is>
      </c>
      <c r="I46" s="144" t="inlineStr">
        <is>
          <t>I</t>
        </is>
      </c>
      <c r="J46" s="144" t="n"/>
      <c r="K46" s="144" t="n"/>
      <c r="L46" s="144" t="n"/>
      <c r="M46" s="144" t="n"/>
      <c r="N46" s="144" t="n"/>
      <c r="O46" s="104">
        <f>SUM(J46:N46)</f>
        <v/>
      </c>
      <c r="P46" s="12">
        <f>O46/IF(H46="L",20,IF(H46="U",30,IF(H46="O",40,IF(H46="I",20,""))))</f>
        <v/>
      </c>
      <c r="Q46" s="145">
        <f>IF(AND(H46="L", P46&gt;=50%), "Pass",
IF(AND(H46="U", P46&gt;=60%), "Pass",
IF(AND(H46="O", P46&gt;=75%), "Pass", "Fail")))</f>
        <v/>
      </c>
      <c r="R46" s="146" t="n"/>
      <c r="S46" s="146" t="n"/>
      <c r="T46" s="146" t="n"/>
      <c r="U46" s="104">
        <f>SUM(S46:T46)</f>
        <v/>
      </c>
      <c r="V46" s="12">
        <f>U46/IF(H46="L",35,IF(H46="U",35,IF(H46="O",35,IF(H46="I",35,""))))</f>
        <v/>
      </c>
      <c r="W46" s="145">
        <f>IF(AND(H46="L", V46&gt;=50%), "Pass",
IF(AND(H46="U", V46&gt;=60%), "Pass",
IF(AND(H46="O", V46&gt;=75%), "Pass", "Fail")))</f>
        <v/>
      </c>
      <c r="X46" s="145">
        <f>IF(AND(Q46="Pass", W46="Pass"), "Pass", "Fail")</f>
        <v/>
      </c>
      <c r="Y46" s="15">
        <f>IF($X46="Pass",$H46,
IF(H46="L","I",
IF(H46="U","L",
IF(H46="O","U",
"I"))))</f>
        <v/>
      </c>
      <c r="AA46">
        <f>VLOOKUP($B46,[1]Sheet1!$B:$B,1,0)</f>
        <v/>
      </c>
      <c r="AB46">
        <f>VLOOKUP($B46,'[3]Left Employee Report'!$D:$D,1,0)</f>
        <v/>
      </c>
    </row>
    <row r="47">
      <c r="A47" s="1">
        <f>ROW()-2</f>
        <v/>
      </c>
      <c r="B47" s="28" t="inlineStr">
        <is>
          <t>MG1023</t>
        </is>
      </c>
      <c r="C47" s="23" t="inlineStr">
        <is>
          <t>RATHINARAJ L</t>
        </is>
      </c>
      <c r="D47" s="23" t="inlineStr">
        <is>
          <t>PRODUCTION</t>
        </is>
      </c>
      <c r="E47" s="24" t="inlineStr">
        <is>
          <t>TYRE BUILDING-P3</t>
        </is>
      </c>
      <c r="F47" s="29" t="n">
        <v>42887</v>
      </c>
      <c r="G47" s="30">
        <f>NOW()-F47</f>
        <v/>
      </c>
      <c r="H47" s="144" t="inlineStr">
        <is>
          <t>O</t>
        </is>
      </c>
      <c r="I47" s="144" t="inlineStr">
        <is>
          <t>O</t>
        </is>
      </c>
      <c r="J47" s="144" t="n"/>
      <c r="K47" s="144" t="n"/>
      <c r="L47" s="144" t="n"/>
      <c r="M47" s="144" t="n"/>
      <c r="N47" s="144" t="n"/>
      <c r="O47" s="104">
        <f>SUM(J47:N47)</f>
        <v/>
      </c>
      <c r="P47" s="12">
        <f>O47/IF(H47="L",20,IF(H47="U",30,IF(H47="O",40,IF(H47="I",20,""))))</f>
        <v/>
      </c>
      <c r="Q47" s="145">
        <f>IF(AND(H47="L", P47&gt;=50%), "Pass",
IF(AND(H47="U", P47&gt;=60%), "Pass",
IF(AND(H47="O", P47&gt;=75%), "Pass", "Fail")))</f>
        <v/>
      </c>
      <c r="R47" s="146" t="n"/>
      <c r="S47" s="146" t="n"/>
      <c r="T47" s="146" t="n"/>
      <c r="U47" s="104">
        <f>SUM(S47:T47)</f>
        <v/>
      </c>
      <c r="V47" s="12">
        <f>U47/IF(H47="L",35,IF(H47="U",35,IF(H47="O",35,IF(H47="I",35,""))))</f>
        <v/>
      </c>
      <c r="W47" s="145">
        <f>IF(AND(H47="L", V47&gt;=50%), "Pass",
IF(AND(H47="U", V47&gt;=60%), "Pass",
IF(AND(H47="O", V47&gt;=75%), "Pass", "Fail")))</f>
        <v/>
      </c>
      <c r="X47" s="145">
        <f>IF(AND(Q47="Pass", W47="Pass"), "Pass", "Fail")</f>
        <v/>
      </c>
      <c r="Y47" s="15">
        <f>IF($X47="Pass",$H47,
IF(H47="L","I",
IF(H47="U","L",
IF(H47="O","U",
"I"))))</f>
        <v/>
      </c>
      <c r="AA47">
        <f>VLOOKUP($B47,[1]Sheet1!$B:$B,1,0)</f>
        <v/>
      </c>
      <c r="AB47">
        <f>VLOOKUP($B47,'[3]Left Employee Report'!$D:$D,1,0)</f>
        <v/>
      </c>
    </row>
    <row r="48">
      <c r="A48" s="1">
        <f>ROW()-2</f>
        <v/>
      </c>
      <c r="B48" s="28" t="inlineStr">
        <is>
          <t>MG1298</t>
        </is>
      </c>
      <c r="C48" s="23" t="inlineStr">
        <is>
          <t>NAMBISANKAR</t>
        </is>
      </c>
      <c r="D48" s="23" t="inlineStr">
        <is>
          <t>PRODUCTION</t>
        </is>
      </c>
      <c r="E48" s="24" t="inlineStr">
        <is>
          <t>TYRE BUILDING-P3</t>
        </is>
      </c>
      <c r="F48" s="29" t="n">
        <v>43530</v>
      </c>
      <c r="G48" s="30">
        <f>NOW()-F48</f>
        <v/>
      </c>
      <c r="H48" s="144" t="inlineStr">
        <is>
          <t>O</t>
        </is>
      </c>
      <c r="I48" s="144" t="inlineStr">
        <is>
          <t>O</t>
        </is>
      </c>
      <c r="J48" s="144" t="n"/>
      <c r="K48" s="144" t="n"/>
      <c r="L48" s="144" t="n"/>
      <c r="M48" s="144" t="n"/>
      <c r="N48" s="144" t="n"/>
      <c r="O48" s="104">
        <f>SUM(J48:N48)</f>
        <v/>
      </c>
      <c r="P48" s="12">
        <f>O48/IF(H48="L",20,IF(H48="U",30,IF(H48="O",40,IF(H48="I",20,""))))</f>
        <v/>
      </c>
      <c r="Q48" s="145">
        <f>IF(AND(H48="L", P48&gt;=50%), "Pass",
IF(AND(H48="U", P48&gt;=60%), "Pass",
IF(AND(H48="O", P48&gt;=75%), "Pass", "Fail")))</f>
        <v/>
      </c>
      <c r="R48" s="146" t="n"/>
      <c r="S48" s="146" t="n"/>
      <c r="T48" s="146" t="n"/>
      <c r="U48" s="104">
        <f>SUM(S48:T48)</f>
        <v/>
      </c>
      <c r="V48" s="12">
        <f>U48/IF(H48="L",35,IF(H48="U",35,IF(H48="O",35,IF(H48="I",35,""))))</f>
        <v/>
      </c>
      <c r="W48" s="145">
        <f>IF(AND(H48="L", V48&gt;=50%), "Pass",
IF(AND(H48="U", V48&gt;=60%), "Pass",
IF(AND(H48="O", V48&gt;=75%), "Pass", "Fail")))</f>
        <v/>
      </c>
      <c r="X48" s="145">
        <f>IF(AND(Q48="Pass", W48="Pass"), "Pass", "Fail")</f>
        <v/>
      </c>
      <c r="Y48" s="15">
        <f>IF($X48="Pass",$H48,
IF(H48="L","I",
IF(H48="U","L",
IF(H48="O","U",
"I"))))</f>
        <v/>
      </c>
      <c r="AA48">
        <f>VLOOKUP($B48,[1]Sheet1!$B:$B,1,0)</f>
        <v/>
      </c>
      <c r="AB48">
        <f>VLOOKUP($B48,'[3]Left Employee Report'!$D:$D,1,0)</f>
        <v/>
      </c>
    </row>
    <row r="49">
      <c r="A49" s="1">
        <f>ROW()-2</f>
        <v/>
      </c>
      <c r="B49" s="28" t="inlineStr">
        <is>
          <t>MG1396</t>
        </is>
      </c>
      <c r="C49" s="23" t="inlineStr">
        <is>
          <t>ESAKKIMUTHU V</t>
        </is>
      </c>
      <c r="D49" s="23" t="inlineStr">
        <is>
          <t>PRODUCTION</t>
        </is>
      </c>
      <c r="E49" s="24" t="inlineStr">
        <is>
          <t>TYRE BUILDING-P3</t>
        </is>
      </c>
      <c r="F49" s="29" t="n">
        <v>44056</v>
      </c>
      <c r="G49" s="30">
        <f>NOW()-F49</f>
        <v/>
      </c>
      <c r="H49" s="144" t="inlineStr">
        <is>
          <t>O</t>
        </is>
      </c>
      <c r="I49" s="144" t="inlineStr">
        <is>
          <t>O</t>
        </is>
      </c>
      <c r="J49" s="144" t="n"/>
      <c r="K49" s="144" t="n"/>
      <c r="L49" s="144" t="n"/>
      <c r="M49" s="144" t="n"/>
      <c r="N49" s="144" t="n"/>
      <c r="O49" s="104">
        <f>SUM(J49:N49)</f>
        <v/>
      </c>
      <c r="P49" s="12">
        <f>O49/IF(H49="L",20,IF(H49="U",30,IF(H49="O",40,IF(H49="I",20,""))))</f>
        <v/>
      </c>
      <c r="Q49" s="145">
        <f>IF(AND(H49="L", P49&gt;=50%), "Pass",
IF(AND(H49="U", P49&gt;=60%), "Pass",
IF(AND(H49="O", P49&gt;=75%), "Pass", "Fail")))</f>
        <v/>
      </c>
      <c r="R49" s="146" t="n"/>
      <c r="S49" s="146" t="n"/>
      <c r="T49" s="146" t="n"/>
      <c r="U49" s="104">
        <f>SUM(S49:T49)</f>
        <v/>
      </c>
      <c r="V49" s="12">
        <f>U49/IF(H49="L",35,IF(H49="U",35,IF(H49="O",35,IF(H49="I",35,""))))</f>
        <v/>
      </c>
      <c r="W49" s="145">
        <f>IF(AND(H49="L", V49&gt;=50%), "Pass",
IF(AND(H49="U", V49&gt;=60%), "Pass",
IF(AND(H49="O", V49&gt;=75%), "Pass", "Fail")))</f>
        <v/>
      </c>
      <c r="X49" s="145">
        <f>IF(AND(Q49="Pass", W49="Pass"), "Pass", "Fail")</f>
        <v/>
      </c>
      <c r="Y49" s="15">
        <f>IF($X49="Pass",$H49,
IF(H49="L","I",
IF(H49="U","L",
IF(H49="O","U",
"I"))))</f>
        <v/>
      </c>
      <c r="AA49">
        <f>VLOOKUP($B49,[1]Sheet1!$B:$B,1,0)</f>
        <v/>
      </c>
      <c r="AB49">
        <f>VLOOKUP($B49,'[3]Left Employee Report'!$D:$D,1,0)</f>
        <v/>
      </c>
    </row>
    <row r="50">
      <c r="A50" s="1">
        <f>ROW()-2</f>
        <v/>
      </c>
      <c r="B50" s="28" t="inlineStr">
        <is>
          <t>MG1433</t>
        </is>
      </c>
      <c r="C50" s="23" t="inlineStr">
        <is>
          <t>KOMBAIAH</t>
        </is>
      </c>
      <c r="D50" s="23" t="inlineStr">
        <is>
          <t>PRODUCTION</t>
        </is>
      </c>
      <c r="E50" s="24" t="inlineStr">
        <is>
          <t>TYRE CURING</t>
        </is>
      </c>
      <c r="F50" s="29" t="n">
        <v>44287</v>
      </c>
      <c r="G50" s="30">
        <f>NOW()-F50</f>
        <v/>
      </c>
      <c r="H50" s="144" t="inlineStr">
        <is>
          <t>O</t>
        </is>
      </c>
      <c r="I50" s="144" t="inlineStr">
        <is>
          <t>U</t>
        </is>
      </c>
      <c r="J50" s="144" t="n"/>
      <c r="K50" s="144" t="n"/>
      <c r="L50" s="144" t="n"/>
      <c r="M50" s="144" t="n"/>
      <c r="N50" s="144" t="n"/>
      <c r="O50" s="104">
        <f>SUM(J50:N50)</f>
        <v/>
      </c>
      <c r="P50" s="12">
        <f>O50/IF(H50="L",20,IF(H50="U",30,IF(H50="O",40,IF(H50="I",20,""))))</f>
        <v/>
      </c>
      <c r="Q50" s="145">
        <f>IF(AND(H50="L", P50&gt;=50%), "Pass",
IF(AND(H50="U", P50&gt;=60%), "Pass",
IF(AND(H50="O", P50&gt;=75%), "Pass", "Fail")))</f>
        <v/>
      </c>
      <c r="R50" s="146" t="n"/>
      <c r="S50" s="146" t="n"/>
      <c r="T50" s="146" t="n"/>
      <c r="U50" s="104">
        <f>SUM(S50:T50)</f>
        <v/>
      </c>
      <c r="V50" s="12">
        <f>U50/IF(H50="L",35,IF(H50="U",35,IF(H50="O",35,IF(H50="I",35,""))))</f>
        <v/>
      </c>
      <c r="W50" s="145">
        <f>IF(AND(H50="L", V50&gt;=50%), "Pass",
IF(AND(H50="U", V50&gt;=60%), "Pass",
IF(AND(H50="O", V50&gt;=75%), "Pass", "Fail")))</f>
        <v/>
      </c>
      <c r="X50" s="145">
        <f>IF(AND(Q50="Pass", W50="Pass"), "Pass", "Fail")</f>
        <v/>
      </c>
      <c r="Y50" s="15">
        <f>IF($X50="Pass",$H50,
IF(H50="L","I",
IF(H50="U","L",
IF(H50="O","U",
"I"))))</f>
        <v/>
      </c>
      <c r="AA50">
        <f>VLOOKUP($B50,[1]Sheet1!$B:$B,1,0)</f>
        <v/>
      </c>
      <c r="AB50">
        <f>VLOOKUP($B50,'[3]Left Employee Report'!$D:$D,1,0)</f>
        <v/>
      </c>
    </row>
    <row r="51">
      <c r="A51" s="1">
        <f>ROW()-2</f>
        <v/>
      </c>
      <c r="B51" s="28" t="inlineStr">
        <is>
          <t>MG1457</t>
        </is>
      </c>
      <c r="C51" s="23" t="inlineStr">
        <is>
          <t>MANIKANDAN</t>
        </is>
      </c>
      <c r="D51" s="23" t="inlineStr">
        <is>
          <t>PRODUCTION</t>
        </is>
      </c>
      <c r="E51" s="24" t="inlineStr">
        <is>
          <t>TYRE BUILDING-P3</t>
        </is>
      </c>
      <c r="F51" s="29" t="n">
        <v>44434</v>
      </c>
      <c r="G51" s="30">
        <f>NOW()-F51</f>
        <v/>
      </c>
      <c r="H51" s="144" t="inlineStr">
        <is>
          <t>U</t>
        </is>
      </c>
      <c r="I51" s="144" t="inlineStr">
        <is>
          <t>U</t>
        </is>
      </c>
      <c r="J51" s="144" t="n"/>
      <c r="K51" s="144" t="n"/>
      <c r="L51" s="144" t="n"/>
      <c r="M51" s="144" t="n"/>
      <c r="N51" s="144" t="n"/>
      <c r="O51" s="104">
        <f>SUM(J51:N51)</f>
        <v/>
      </c>
      <c r="P51" s="12">
        <f>O51/IF(H51="L",20,IF(H51="U",30,IF(H51="O",40,IF(H51="I",20,""))))</f>
        <v/>
      </c>
      <c r="Q51" s="145">
        <f>IF(AND(H51="L", P51&gt;=50%), "Pass",
IF(AND(H51="U", P51&gt;=60%), "Pass",
IF(AND(H51="O", P51&gt;=75%), "Pass", "Fail")))</f>
        <v/>
      </c>
      <c r="R51" s="146" t="n"/>
      <c r="S51" s="146" t="n"/>
      <c r="T51" s="146" t="n"/>
      <c r="U51" s="104">
        <f>SUM(S51:T51)</f>
        <v/>
      </c>
      <c r="V51" s="12">
        <f>U51/IF(H51="L",35,IF(H51="U",35,IF(H51="O",35,IF(H51="I",35,""))))</f>
        <v/>
      </c>
      <c r="W51" s="145">
        <f>IF(AND(H51="L", V51&gt;=50%), "Pass",
IF(AND(H51="U", V51&gt;=60%), "Pass",
IF(AND(H51="O", V51&gt;=75%), "Pass", "Fail")))</f>
        <v/>
      </c>
      <c r="X51" s="145">
        <f>IF(AND(Q51="Pass", W51="Pass"), "Pass", "Fail")</f>
        <v/>
      </c>
      <c r="Y51" s="15">
        <f>IF($X51="Pass",$H51,
IF(H51="L","I",
IF(H51="U","L",
IF(H51="O","U",
"I"))))</f>
        <v/>
      </c>
      <c r="AA51">
        <f>VLOOKUP($B51,[1]Sheet1!$B:$B,1,0)</f>
        <v/>
      </c>
      <c r="AB51">
        <f>VLOOKUP($B51,'[3]Left Employee Report'!$D:$D,1,0)</f>
        <v/>
      </c>
    </row>
    <row r="52">
      <c r="A52" s="1">
        <f>ROW()-2</f>
        <v/>
      </c>
      <c r="B52" s="28" t="inlineStr">
        <is>
          <t>MG1505</t>
        </is>
      </c>
      <c r="C52" s="23" t="inlineStr">
        <is>
          <t>PATCHAMAL</t>
        </is>
      </c>
      <c r="D52" s="23" t="inlineStr">
        <is>
          <t>PRODUCTION</t>
        </is>
      </c>
      <c r="E52" s="24" t="inlineStr">
        <is>
          <t>STEELASTIC</t>
        </is>
      </c>
      <c r="F52" s="29" t="n">
        <v>44707</v>
      </c>
      <c r="G52" s="30">
        <f>NOW()-F52</f>
        <v/>
      </c>
      <c r="H52" s="144" t="inlineStr">
        <is>
          <t>U</t>
        </is>
      </c>
      <c r="I52" s="144" t="inlineStr">
        <is>
          <t>U</t>
        </is>
      </c>
      <c r="J52" s="144" t="n"/>
      <c r="K52" s="144" t="n"/>
      <c r="L52" s="144" t="n"/>
      <c r="M52" s="144" t="n"/>
      <c r="N52" s="144" t="n"/>
      <c r="O52" s="104">
        <f>SUM(J52:N52)</f>
        <v/>
      </c>
      <c r="P52" s="12">
        <f>O52/IF(H52="L",20,IF(H52="U",30,IF(H52="O",40,IF(H52="I",20,""))))</f>
        <v/>
      </c>
      <c r="Q52" s="145">
        <f>IF(AND(H52="L", P52&gt;=50%), "Pass",
IF(AND(H52="U", P52&gt;=60%), "Pass",
IF(AND(H52="O", P52&gt;=75%), "Pass", "Fail")))</f>
        <v/>
      </c>
      <c r="R52" s="146" t="n"/>
      <c r="S52" s="146" t="n"/>
      <c r="T52" s="146" t="n"/>
      <c r="U52" s="104">
        <f>SUM(S52:T52)</f>
        <v/>
      </c>
      <c r="V52" s="12">
        <f>U52/IF(H52="L",35,IF(H52="U",35,IF(H52="O",35,IF(H52="I",35,""))))</f>
        <v/>
      </c>
      <c r="W52" s="145">
        <f>IF(AND(H52="L", V52&gt;=50%), "Pass",
IF(AND(H52="U", V52&gt;=60%), "Pass",
IF(AND(H52="O", V52&gt;=75%), "Pass", "Fail")))</f>
        <v/>
      </c>
      <c r="X52" s="145">
        <f>IF(AND(Q52="Pass", W52="Pass"), "Pass", "Fail")</f>
        <v/>
      </c>
      <c r="Y52" s="15">
        <f>IF($X52="Pass",$H52,
IF(H52="L","I",
IF(H52="U","L",
IF(H52="O","U",
"I"))))</f>
        <v/>
      </c>
      <c r="AA52">
        <f>VLOOKUP($B52,[1]Sheet1!$B:$B,1,0)</f>
        <v/>
      </c>
      <c r="AB52">
        <f>VLOOKUP($B52,'[3]Left Employee Report'!$D:$D,1,0)</f>
        <v/>
      </c>
    </row>
    <row r="53">
      <c r="A53" s="1">
        <f>ROW()-2</f>
        <v/>
      </c>
      <c r="B53" s="28" t="inlineStr">
        <is>
          <t>MG1585</t>
        </is>
      </c>
      <c r="C53" s="23" t="inlineStr">
        <is>
          <t>SANJAY KUMAR</t>
        </is>
      </c>
      <c r="D53" s="23" t="inlineStr">
        <is>
          <t>PRODUCTION</t>
        </is>
      </c>
      <c r="E53" s="24" t="inlineStr">
        <is>
          <t>TYRE BUILDING-P1</t>
        </is>
      </c>
      <c r="F53" s="29" t="n">
        <v>45679</v>
      </c>
      <c r="G53" s="30">
        <f>NOW()-F53</f>
        <v/>
      </c>
      <c r="H53" s="144" t="inlineStr">
        <is>
          <t>L</t>
        </is>
      </c>
      <c r="I53" s="144" t="inlineStr">
        <is>
          <t>L</t>
        </is>
      </c>
      <c r="J53" s="144" t="n"/>
      <c r="K53" s="144" t="n"/>
      <c r="L53" s="144" t="n"/>
      <c r="M53" s="144" t="n"/>
      <c r="N53" s="144" t="n"/>
      <c r="O53" s="104">
        <f>SUM(J53:N53)</f>
        <v/>
      </c>
      <c r="P53" s="12">
        <f>O53/IF(H53="L",20,IF(H53="U",30,IF(H53="O",40,IF(H53="I",20,""))))</f>
        <v/>
      </c>
      <c r="Q53" s="145">
        <f>IF(AND(H53="L", P53&gt;=50%), "Pass",
IF(AND(H53="U", P53&gt;=60%), "Pass",
IF(AND(H53="O", P53&gt;=75%), "Pass", "Fail")))</f>
        <v/>
      </c>
      <c r="R53" s="146" t="n"/>
      <c r="S53" s="146" t="n"/>
      <c r="T53" s="146" t="n"/>
      <c r="U53" s="104">
        <f>SUM(S53:T53)</f>
        <v/>
      </c>
      <c r="V53" s="12">
        <f>U53/IF(H53="L",35,IF(H53="U",35,IF(H53="O",35,IF(H53="I",35,""))))</f>
        <v/>
      </c>
      <c r="W53" s="145">
        <f>IF(AND(H53="L", V53&gt;=50%), "Pass",
IF(AND(H53="U", V53&gt;=60%), "Pass",
IF(AND(H53="O", V53&gt;=75%), "Pass", "Fail")))</f>
        <v/>
      </c>
      <c r="X53" s="145">
        <f>IF(AND(Q53="Pass", W53="Pass"), "Pass", "Fail")</f>
        <v/>
      </c>
      <c r="Y53" s="15">
        <f>IF($X53="Pass",$H53,
IF(H53="L","I",
IF(H53="U","L",
IF(H53="O","U",
"I"))))</f>
        <v/>
      </c>
      <c r="AA53">
        <f>VLOOKUP($B53,[1]Sheet1!$B:$B,1,0)</f>
        <v/>
      </c>
      <c r="AB53">
        <f>VLOOKUP($B53,'[3]Left Employee Report'!$D:$D,1,0)</f>
        <v/>
      </c>
    </row>
    <row r="54">
      <c r="A54" s="1">
        <f>ROW()-2</f>
        <v/>
      </c>
      <c r="B54" s="28" t="inlineStr">
        <is>
          <t>MG1594</t>
        </is>
      </c>
      <c r="C54" s="23" t="inlineStr">
        <is>
          <t>SIVASUBRAMANIYAN C</t>
        </is>
      </c>
      <c r="D54" s="23" t="inlineStr">
        <is>
          <t>PRODUCTION</t>
        </is>
      </c>
      <c r="E54" s="24" t="inlineStr">
        <is>
          <t>SOLID TYRE</t>
        </is>
      </c>
      <c r="F54" s="29" t="n">
        <v>45692</v>
      </c>
      <c r="G54" s="30">
        <f>NOW()-F54</f>
        <v/>
      </c>
      <c r="H54" s="144" t="inlineStr">
        <is>
          <t>L</t>
        </is>
      </c>
      <c r="I54" s="144" t="inlineStr">
        <is>
          <t>I</t>
        </is>
      </c>
      <c r="J54" s="144" t="n"/>
      <c r="K54" s="144" t="n"/>
      <c r="L54" s="144" t="n"/>
      <c r="M54" s="144" t="n"/>
      <c r="N54" s="144" t="n"/>
      <c r="O54" s="104">
        <f>SUM(J54:N54)</f>
        <v/>
      </c>
      <c r="P54" s="12">
        <f>O54/IF(H54="L",20,IF(H54="U",30,IF(H54="O",40,IF(H54="I",20,""))))</f>
        <v/>
      </c>
      <c r="Q54" s="145">
        <f>IF(AND(H54="L", P54&gt;=50%), "Pass",
IF(AND(H54="U", P54&gt;=60%), "Pass",
IF(AND(H54="O", P54&gt;=75%), "Pass", "Fail")))</f>
        <v/>
      </c>
      <c r="R54" s="146" t="n"/>
      <c r="S54" s="146" t="n"/>
      <c r="T54" s="146" t="n"/>
      <c r="U54" s="104">
        <f>SUM(S54:T54)</f>
        <v/>
      </c>
      <c r="V54" s="12">
        <f>U54/IF(H54="L",35,IF(H54="U",35,IF(H54="O",35,IF(H54="I",35,""))))</f>
        <v/>
      </c>
      <c r="W54" s="145">
        <f>IF(AND(H54="L", V54&gt;=50%), "Pass",
IF(AND(H54="U", V54&gt;=60%), "Pass",
IF(AND(H54="O", V54&gt;=75%), "Pass", "Fail")))</f>
        <v/>
      </c>
      <c r="X54" s="145">
        <f>IF(AND(Q54="Pass", W54="Pass"), "Pass", "Fail")</f>
        <v/>
      </c>
      <c r="Y54" s="15">
        <f>IF($X54="Pass",$H54,
IF(H54="L","I",
IF(H54="U","L",
IF(H54="O","U",
"I"))))</f>
        <v/>
      </c>
      <c r="AA54">
        <f>VLOOKUP($B54,[1]Sheet1!$B:$B,1,0)</f>
        <v/>
      </c>
      <c r="AB54">
        <f>VLOOKUP($B54,'[3]Left Employee Report'!$D:$D,1,0)</f>
        <v/>
      </c>
    </row>
    <row r="55">
      <c r="A55" s="1">
        <f>ROW()-2</f>
        <v/>
      </c>
      <c r="B55" s="28" t="inlineStr">
        <is>
          <t>PK0660</t>
        </is>
      </c>
      <c r="C55" s="23" t="inlineStr">
        <is>
          <t>KANNAN V</t>
        </is>
      </c>
      <c r="D55" s="23" t="inlineStr">
        <is>
          <t>PRODUCTION</t>
        </is>
      </c>
      <c r="E55" s="24" t="inlineStr">
        <is>
          <t>TYRE BUILDING-P3</t>
        </is>
      </c>
      <c r="F55" s="29" t="n">
        <v>40956</v>
      </c>
      <c r="G55" s="30">
        <f>NOW()-F55</f>
        <v/>
      </c>
      <c r="H55" s="144" t="inlineStr">
        <is>
          <t>O</t>
        </is>
      </c>
      <c r="I55" s="144" t="inlineStr">
        <is>
          <t>U</t>
        </is>
      </c>
      <c r="J55" s="144" t="n"/>
      <c r="K55" s="144" t="n"/>
      <c r="L55" s="144" t="n"/>
      <c r="M55" s="144" t="n"/>
      <c r="N55" s="144" t="n"/>
      <c r="O55" s="104">
        <f>SUM(J55:N55)</f>
        <v/>
      </c>
      <c r="P55" s="12">
        <f>O55/IF(H55="L",20,IF(H55="U",30,IF(H55="O",40,IF(H55="I",20,""))))</f>
        <v/>
      </c>
      <c r="Q55" s="145">
        <f>IF(AND(H55="L", P55&gt;=50%), "Pass",
IF(AND(H55="U", P55&gt;=60%), "Pass",
IF(AND(H55="O", P55&gt;=75%), "Pass", "Fail")))</f>
        <v/>
      </c>
      <c r="R55" s="146" t="n"/>
      <c r="S55" s="146" t="n"/>
      <c r="T55" s="146" t="n"/>
      <c r="U55" s="104">
        <f>SUM(S55:T55)</f>
        <v/>
      </c>
      <c r="V55" s="12">
        <f>U55/IF(H55="L",35,IF(H55="U",35,IF(H55="O",35,IF(H55="I",35,""))))</f>
        <v/>
      </c>
      <c r="W55" s="145">
        <f>IF(AND(H55="L", V55&gt;=50%), "Pass",
IF(AND(H55="U", V55&gt;=60%), "Pass",
IF(AND(H55="O", V55&gt;=75%), "Pass", "Fail")))</f>
        <v/>
      </c>
      <c r="X55" s="145">
        <f>IF(AND(Q55="Pass", W55="Pass"), "Pass", "Fail")</f>
        <v/>
      </c>
      <c r="Y55" s="15">
        <f>IF($X55="Pass",$H55,
IF(H55="L","I",
IF(H55="U","L",
IF(H55="O","U",
"I"))))</f>
        <v/>
      </c>
      <c r="AA55">
        <f>VLOOKUP($B55,[1]Sheet1!$B:$B,1,0)</f>
        <v/>
      </c>
      <c r="AB55">
        <f>VLOOKUP($B55,'[3]Left Employee Report'!$D:$D,1,0)</f>
        <v/>
      </c>
    </row>
    <row r="56">
      <c r="A56" s="1">
        <f>ROW()-2</f>
        <v/>
      </c>
      <c r="B56" s="28" t="inlineStr">
        <is>
          <t>PK0685</t>
        </is>
      </c>
      <c r="C56" s="23" t="inlineStr">
        <is>
          <t>PAUL RAJ T</t>
        </is>
      </c>
      <c r="D56" s="23" t="inlineStr">
        <is>
          <t>PRODUCTION</t>
        </is>
      </c>
      <c r="E56" s="24" t="inlineStr">
        <is>
          <t>TYRE CURING</t>
        </is>
      </c>
      <c r="F56" s="29" t="n">
        <v>42108</v>
      </c>
      <c r="G56" s="30">
        <f>NOW()-F56</f>
        <v/>
      </c>
      <c r="H56" s="144" t="inlineStr">
        <is>
          <t>O</t>
        </is>
      </c>
      <c r="I56" s="144" t="inlineStr">
        <is>
          <t>O</t>
        </is>
      </c>
      <c r="J56" s="144" t="n"/>
      <c r="K56" s="144" t="n"/>
      <c r="L56" s="144" t="n"/>
      <c r="M56" s="144" t="n"/>
      <c r="N56" s="144" t="n"/>
      <c r="O56" s="104">
        <f>SUM(J56:N56)</f>
        <v/>
      </c>
      <c r="P56" s="12">
        <f>O56/IF(H56="L",20,IF(H56="U",30,IF(H56="O",40,IF(H56="I",20,""))))</f>
        <v/>
      </c>
      <c r="Q56" s="145">
        <f>IF(AND(H56="L", P56&gt;=50%), "Pass",
IF(AND(H56="U", P56&gt;=60%), "Pass",
IF(AND(H56="O", P56&gt;=75%), "Pass", "Fail")))</f>
        <v/>
      </c>
      <c r="R56" s="146" t="n"/>
      <c r="S56" s="146" t="n"/>
      <c r="T56" s="146" t="n"/>
      <c r="U56" s="104">
        <f>SUM(S56:T56)</f>
        <v/>
      </c>
      <c r="V56" s="12">
        <f>U56/IF(H56="L",35,IF(H56="U",35,IF(H56="O",35,IF(H56="I",35,""))))</f>
        <v/>
      </c>
      <c r="W56" s="145">
        <f>IF(AND(H56="L", V56&gt;=50%), "Pass",
IF(AND(H56="U", V56&gt;=60%), "Pass",
IF(AND(H56="O", V56&gt;=75%), "Pass", "Fail")))</f>
        <v/>
      </c>
      <c r="X56" s="145">
        <f>IF(AND(Q56="Pass", W56="Pass"), "Pass", "Fail")</f>
        <v/>
      </c>
      <c r="Y56" s="15">
        <f>IF($X56="Pass",$H56,
IF(H56="L","I",
IF(H56="U","L",
IF(H56="O","U",
"I"))))</f>
        <v/>
      </c>
      <c r="AA56">
        <f>VLOOKUP($B56,[1]Sheet1!$B:$B,1,0)</f>
        <v/>
      </c>
      <c r="AB56">
        <f>VLOOKUP($B56,'[3]Left Employee Report'!$D:$D,1,0)</f>
        <v/>
      </c>
    </row>
    <row r="57">
      <c r="A57" s="1">
        <f>ROW()-2</f>
        <v/>
      </c>
      <c r="B57" s="28" t="inlineStr">
        <is>
          <t>PK1001</t>
        </is>
      </c>
      <c r="C57" s="23" t="inlineStr">
        <is>
          <t>SENDHURPANDI P</t>
        </is>
      </c>
      <c r="D57" s="23" t="inlineStr">
        <is>
          <t>PRODUCTION</t>
        </is>
      </c>
      <c r="E57" s="24" t="inlineStr">
        <is>
          <t>RADIAL MARANGONI&amp;YANTHAI</t>
        </is>
      </c>
      <c r="F57" s="29" t="n">
        <v>43683</v>
      </c>
      <c r="G57" s="30">
        <f>NOW()-F57</f>
        <v/>
      </c>
      <c r="H57" s="144" t="inlineStr">
        <is>
          <t>O</t>
        </is>
      </c>
      <c r="I57" s="144" t="inlineStr">
        <is>
          <t>U</t>
        </is>
      </c>
      <c r="J57" s="144" t="n"/>
      <c r="K57" s="144" t="n"/>
      <c r="L57" s="144" t="n"/>
      <c r="M57" s="144" t="n"/>
      <c r="N57" s="144" t="n"/>
      <c r="O57" s="104">
        <f>SUM(J57:N57)</f>
        <v/>
      </c>
      <c r="P57" s="12">
        <f>O57/IF(H57="L",20,IF(H57="U",30,IF(H57="O",40,IF(H57="I",20,""))))</f>
        <v/>
      </c>
      <c r="Q57" s="145">
        <f>IF(AND(H57="L", P57&gt;=50%), "Pass",
IF(AND(H57="U", P57&gt;=60%), "Pass",
IF(AND(H57="O", P57&gt;=75%), "Pass", "Fail")))</f>
        <v/>
      </c>
      <c r="R57" s="146" t="n"/>
      <c r="S57" s="146" t="n"/>
      <c r="T57" s="146" t="n"/>
      <c r="U57" s="104">
        <f>SUM(S57:T57)</f>
        <v/>
      </c>
      <c r="V57" s="12">
        <f>U57/IF(H57="L",35,IF(H57="U",35,IF(H57="O",35,IF(H57="I",35,""))))</f>
        <v/>
      </c>
      <c r="W57" s="145">
        <f>IF(AND(H57="L", V57&gt;=50%), "Pass",
IF(AND(H57="U", V57&gt;=60%), "Pass",
IF(AND(H57="O", V57&gt;=75%), "Pass", "Fail")))</f>
        <v/>
      </c>
      <c r="X57" s="145">
        <f>IF(AND(Q57="Pass", W57="Pass"), "Pass", "Fail")</f>
        <v/>
      </c>
      <c r="Y57" s="15">
        <f>IF($X57="Pass",$H57,
IF(H57="L","I",
IF(H57="U","L",
IF(H57="O","U",
"I"))))</f>
        <v/>
      </c>
      <c r="AA57">
        <f>VLOOKUP($B57,[1]Sheet1!$B:$B,1,0)</f>
        <v/>
      </c>
      <c r="AB57">
        <f>VLOOKUP($B57,'[3]Left Employee Report'!$D:$D,1,0)</f>
        <v/>
      </c>
    </row>
    <row r="58">
      <c r="A58" s="1">
        <f>ROW()-2</f>
        <v/>
      </c>
      <c r="B58" s="28" t="inlineStr">
        <is>
          <t>PK1025</t>
        </is>
      </c>
      <c r="C58" s="23" t="inlineStr">
        <is>
          <t>CERMADURAI N</t>
        </is>
      </c>
      <c r="D58" s="23" t="inlineStr">
        <is>
          <t>PRODUCTION</t>
        </is>
      </c>
      <c r="E58" s="24" t="inlineStr">
        <is>
          <t>TYRE BUILDING-P3</t>
        </is>
      </c>
      <c r="F58" s="29" t="n">
        <v>43808</v>
      </c>
      <c r="G58" s="30">
        <f>NOW()-F58</f>
        <v/>
      </c>
      <c r="H58" s="144" t="inlineStr">
        <is>
          <t>O</t>
        </is>
      </c>
      <c r="I58" s="144" t="inlineStr">
        <is>
          <t>U</t>
        </is>
      </c>
      <c r="J58" s="144" t="n"/>
      <c r="K58" s="144" t="n"/>
      <c r="L58" s="144" t="n"/>
      <c r="M58" s="144" t="n"/>
      <c r="N58" s="144" t="n"/>
      <c r="O58" s="104">
        <f>SUM(J58:N58)</f>
        <v/>
      </c>
      <c r="P58" s="12">
        <f>O58/IF(H58="L",20,IF(H58="U",30,IF(H58="O",40,IF(H58="I",20,""))))</f>
        <v/>
      </c>
      <c r="Q58" s="145">
        <f>IF(AND(H58="L", P58&gt;=50%), "Pass",
IF(AND(H58="U", P58&gt;=60%), "Pass",
IF(AND(H58="O", P58&gt;=75%), "Pass", "Fail")))</f>
        <v/>
      </c>
      <c r="R58" s="146" t="n"/>
      <c r="S58" s="146" t="n"/>
      <c r="T58" s="146" t="n"/>
      <c r="U58" s="104">
        <f>SUM(S58:T58)</f>
        <v/>
      </c>
      <c r="V58" s="12">
        <f>U58/IF(H58="L",35,IF(H58="U",35,IF(H58="O",35,IF(H58="I",35,""))))</f>
        <v/>
      </c>
      <c r="W58" s="145">
        <f>IF(AND(H58="L", V58&gt;=50%), "Pass",
IF(AND(H58="U", V58&gt;=60%), "Pass",
IF(AND(H58="O", V58&gt;=75%), "Pass", "Fail")))</f>
        <v/>
      </c>
      <c r="X58" s="145">
        <f>IF(AND(Q58="Pass", W58="Pass"), "Pass", "Fail")</f>
        <v/>
      </c>
      <c r="Y58" s="15">
        <f>IF($X58="Pass",$H58,
IF(H58="L","I",
IF(H58="U","L",
IF(H58="O","U",
"I"))))</f>
        <v/>
      </c>
      <c r="AA58">
        <f>VLOOKUP($B58,[1]Sheet1!$B:$B,1,0)</f>
        <v/>
      </c>
      <c r="AB58">
        <f>VLOOKUP($B58,'[3]Left Employee Report'!$D:$D,1,0)</f>
        <v/>
      </c>
    </row>
    <row r="59">
      <c r="A59" s="1">
        <f>ROW()-2</f>
        <v/>
      </c>
      <c r="B59" s="28" t="inlineStr">
        <is>
          <t>PK1077</t>
        </is>
      </c>
      <c r="C59" s="23" t="inlineStr">
        <is>
          <t>M PUTHIYARAJ</t>
        </is>
      </c>
      <c r="D59" s="23" t="inlineStr">
        <is>
          <t>PRODUCTION</t>
        </is>
      </c>
      <c r="E59" s="24" t="inlineStr">
        <is>
          <t>TYRE BUILDING-P3</t>
        </is>
      </c>
      <c r="F59" s="29" t="n">
        <v>44029</v>
      </c>
      <c r="G59" s="30">
        <f>NOW()-F59</f>
        <v/>
      </c>
      <c r="H59" s="144" t="inlineStr">
        <is>
          <t>O</t>
        </is>
      </c>
      <c r="I59" s="144" t="inlineStr">
        <is>
          <t>O</t>
        </is>
      </c>
      <c r="J59" s="144" t="n"/>
      <c r="K59" s="144" t="n"/>
      <c r="L59" s="144" t="n"/>
      <c r="M59" s="144" t="n"/>
      <c r="N59" s="144" t="n"/>
      <c r="O59" s="104">
        <f>SUM(J59:N59)</f>
        <v/>
      </c>
      <c r="P59" s="12">
        <f>O59/IF(H59="L",20,IF(H59="U",30,IF(H59="O",40,IF(H59="I",20,""))))</f>
        <v/>
      </c>
      <c r="Q59" s="145">
        <f>IF(AND(H59="L", P59&gt;=50%), "Pass",
IF(AND(H59="U", P59&gt;=60%), "Pass",
IF(AND(H59="O", P59&gt;=75%), "Pass", "Fail")))</f>
        <v/>
      </c>
      <c r="R59" s="146" t="n"/>
      <c r="S59" s="146" t="n"/>
      <c r="T59" s="146" t="n"/>
      <c r="U59" s="104">
        <f>SUM(S59:T59)</f>
        <v/>
      </c>
      <c r="V59" s="12">
        <f>U59/IF(H59="L",35,IF(H59="U",35,IF(H59="O",35,IF(H59="I",35,""))))</f>
        <v/>
      </c>
      <c r="W59" s="145">
        <f>IF(AND(H59="L", V59&gt;=50%), "Pass",
IF(AND(H59="U", V59&gt;=60%), "Pass",
IF(AND(H59="O", V59&gt;=75%), "Pass", "Fail")))</f>
        <v/>
      </c>
      <c r="X59" s="145">
        <f>IF(AND(Q59="Pass", W59="Pass"), "Pass", "Fail")</f>
        <v/>
      </c>
      <c r="Y59" s="15">
        <f>IF($X59="Pass",$H59,
IF(H59="L","I",
IF(H59="U","L",
IF(H59="O","U",
"I"))))</f>
        <v/>
      </c>
      <c r="AA59">
        <f>VLOOKUP($B59,[1]Sheet1!$B:$B,1,0)</f>
        <v/>
      </c>
      <c r="AB59">
        <f>VLOOKUP($B59,'[3]Left Employee Report'!$D:$D,1,0)</f>
        <v/>
      </c>
    </row>
    <row r="60">
      <c r="A60" s="1">
        <f>ROW()-2</f>
        <v/>
      </c>
      <c r="B60" s="28" t="inlineStr">
        <is>
          <t>PK1149</t>
        </is>
      </c>
      <c r="C60" s="23" t="inlineStr">
        <is>
          <t>MAHARAJA M</t>
        </is>
      </c>
      <c r="D60" s="23" t="inlineStr">
        <is>
          <t>PRODUCTION</t>
        </is>
      </c>
      <c r="E60" s="24" t="inlineStr">
        <is>
          <t>BIAS MARANGONI&amp;BESTRY</t>
        </is>
      </c>
      <c r="F60" s="29" t="n">
        <v>44162</v>
      </c>
      <c r="G60" s="30">
        <f>NOW()-F60</f>
        <v/>
      </c>
      <c r="H60" s="144" t="inlineStr">
        <is>
          <t>O</t>
        </is>
      </c>
      <c r="I60" s="144" t="inlineStr">
        <is>
          <t>U</t>
        </is>
      </c>
      <c r="J60" s="144" t="n"/>
      <c r="K60" s="144" t="n"/>
      <c r="L60" s="144" t="n"/>
      <c r="M60" s="144" t="n"/>
      <c r="N60" s="144" t="n"/>
      <c r="O60" s="104">
        <f>SUM(J60:N60)</f>
        <v/>
      </c>
      <c r="P60" s="12">
        <f>O60/IF(H60="L",20,IF(H60="U",30,IF(H60="O",40,IF(H60="I",20,""))))</f>
        <v/>
      </c>
      <c r="Q60" s="145">
        <f>IF(AND(H60="L", P60&gt;=50%), "Pass",
IF(AND(H60="U", P60&gt;=60%), "Pass",
IF(AND(H60="O", P60&gt;=75%), "Pass", "Fail")))</f>
        <v/>
      </c>
      <c r="R60" s="146" t="n"/>
      <c r="S60" s="146" t="n"/>
      <c r="T60" s="146" t="n"/>
      <c r="U60" s="104">
        <f>SUM(S60:T60)</f>
        <v/>
      </c>
      <c r="V60" s="12">
        <f>U60/IF(H60="L",35,IF(H60="U",35,IF(H60="O",35,IF(H60="I",35,""))))</f>
        <v/>
      </c>
      <c r="W60" s="145">
        <f>IF(AND(H60="L", V60&gt;=50%), "Pass",
IF(AND(H60="U", V60&gt;=60%), "Pass",
IF(AND(H60="O", V60&gt;=75%), "Pass", "Fail")))</f>
        <v/>
      </c>
      <c r="X60" s="145">
        <f>IF(AND(Q60="Pass", W60="Pass"), "Pass", "Fail")</f>
        <v/>
      </c>
      <c r="Y60" s="15">
        <f>IF($X60="Pass",$H60,
IF(H60="L","I",
IF(H60="U","L",
IF(H60="O","U",
"I"))))</f>
        <v/>
      </c>
      <c r="AA60">
        <f>VLOOKUP($B60,[1]Sheet1!$B:$B,1,0)</f>
        <v/>
      </c>
      <c r="AB60">
        <f>VLOOKUP($B60,'[3]Left Employee Report'!$D:$D,1,0)</f>
        <v/>
      </c>
    </row>
    <row r="61">
      <c r="A61" s="1">
        <f>ROW()-2</f>
        <v/>
      </c>
      <c r="B61" s="28" t="inlineStr">
        <is>
          <t>PK1281</t>
        </is>
      </c>
      <c r="C61" s="23" t="inlineStr">
        <is>
          <t>RAKESH KUMAR MEHTA</t>
        </is>
      </c>
      <c r="D61" s="23" t="inlineStr">
        <is>
          <t>PRODUCTION</t>
        </is>
      </c>
      <c r="E61" s="24" t="inlineStr">
        <is>
          <t>TYRE BUILDING-P1</t>
        </is>
      </c>
      <c r="F61" s="29" t="n">
        <v>44443</v>
      </c>
      <c r="G61" s="30">
        <f>NOW()-F61</f>
        <v/>
      </c>
      <c r="H61" s="144" t="inlineStr">
        <is>
          <t>U</t>
        </is>
      </c>
      <c r="I61" s="144" t="inlineStr">
        <is>
          <t>L</t>
        </is>
      </c>
      <c r="J61" s="144" t="n"/>
      <c r="K61" s="144" t="n"/>
      <c r="L61" s="144" t="n"/>
      <c r="M61" s="144" t="n"/>
      <c r="N61" s="144" t="n"/>
      <c r="O61" s="104">
        <f>SUM(J61:N61)</f>
        <v/>
      </c>
      <c r="P61" s="12">
        <f>O61/IF(H61="L",20,IF(H61="U",30,IF(H61="O",40,IF(H61="I",20,""))))</f>
        <v/>
      </c>
      <c r="Q61" s="145">
        <f>IF(AND(H61="L", P61&gt;=50%), "Pass",
IF(AND(H61="U", P61&gt;=60%), "Pass",
IF(AND(H61="O", P61&gt;=75%), "Pass", "Fail")))</f>
        <v/>
      </c>
      <c r="R61" s="146" t="n"/>
      <c r="S61" s="146" t="n"/>
      <c r="T61" s="146" t="n"/>
      <c r="U61" s="104">
        <f>SUM(S61:T61)</f>
        <v/>
      </c>
      <c r="V61" s="12">
        <f>U61/IF(H61="L",35,IF(H61="U",35,IF(H61="O",35,IF(H61="I",35,""))))</f>
        <v/>
      </c>
      <c r="W61" s="145">
        <f>IF(AND(H61="L", V61&gt;=50%), "Pass",
IF(AND(H61="U", V61&gt;=60%), "Pass",
IF(AND(H61="O", V61&gt;=75%), "Pass", "Fail")))</f>
        <v/>
      </c>
      <c r="X61" s="145">
        <f>IF(AND(Q61="Pass", W61="Pass"), "Pass", "Fail")</f>
        <v/>
      </c>
      <c r="Y61" s="15">
        <f>IF($X61="Pass",$H61,
IF(H61="L","I",
IF(H61="U","L",
IF(H61="O","U",
"I"))))</f>
        <v/>
      </c>
      <c r="AA61">
        <f>VLOOKUP($B61,[1]Sheet1!$B:$B,1,0)</f>
        <v/>
      </c>
      <c r="AB61">
        <f>VLOOKUP($B61,'[3]Left Employee Report'!$D:$D,1,0)</f>
        <v/>
      </c>
    </row>
    <row r="62">
      <c r="A62" s="1">
        <f>ROW()-2</f>
        <v/>
      </c>
      <c r="B62" s="28" t="inlineStr">
        <is>
          <t>PK1499</t>
        </is>
      </c>
      <c r="C62" s="23" t="inlineStr">
        <is>
          <t>MARIMUTHU A</t>
        </is>
      </c>
      <c r="D62" s="23" t="inlineStr">
        <is>
          <t>PRODUCTION</t>
        </is>
      </c>
      <c r="E62" s="24" t="inlineStr">
        <is>
          <t>TYRE CURING</t>
        </is>
      </c>
      <c r="F62" s="29" t="n">
        <v>45440</v>
      </c>
      <c r="G62" s="30">
        <f>NOW()-F62</f>
        <v/>
      </c>
      <c r="H62" s="144" t="inlineStr">
        <is>
          <t>L</t>
        </is>
      </c>
      <c r="I62" s="144" t="inlineStr">
        <is>
          <t>L</t>
        </is>
      </c>
      <c r="J62" s="144" t="n"/>
      <c r="K62" s="144" t="n"/>
      <c r="L62" s="144" t="n"/>
      <c r="M62" s="144" t="n"/>
      <c r="N62" s="144" t="n"/>
      <c r="O62" s="104">
        <f>SUM(J62:N62)</f>
        <v/>
      </c>
      <c r="P62" s="12">
        <f>O62/IF(H62="L",20,IF(H62="U",30,IF(H62="O",40,IF(H62="I",20,""))))</f>
        <v/>
      </c>
      <c r="Q62" s="145">
        <f>IF(AND(H62="L", P62&gt;=50%), "Pass",
IF(AND(H62="U", P62&gt;=60%), "Pass",
IF(AND(H62="O", P62&gt;=75%), "Pass", "Fail")))</f>
        <v/>
      </c>
      <c r="R62" s="146" t="n"/>
      <c r="S62" s="146" t="n"/>
      <c r="T62" s="146" t="n"/>
      <c r="U62" s="104">
        <f>SUM(S62:T62)</f>
        <v/>
      </c>
      <c r="V62" s="12">
        <f>U62/IF(H62="L",35,IF(H62="U",35,IF(H62="O",35,IF(H62="I",35,""))))</f>
        <v/>
      </c>
      <c r="W62" s="145">
        <f>IF(AND(H62="L", V62&gt;=50%), "Pass",
IF(AND(H62="U", V62&gt;=60%), "Pass",
IF(AND(H62="O", V62&gt;=75%), "Pass", "Fail")))</f>
        <v/>
      </c>
      <c r="X62" s="145">
        <f>IF(AND(Q62="Pass", W62="Pass"), "Pass", "Fail")</f>
        <v/>
      </c>
      <c r="Y62" s="15">
        <f>IF($X62="Pass",$H62,
IF(H62="L","I",
IF(H62="U","L",
IF(H62="O","U",
"I"))))</f>
        <v/>
      </c>
      <c r="AA62">
        <f>VLOOKUP($B62,[1]Sheet1!$B:$B,1,0)</f>
        <v/>
      </c>
      <c r="AB62">
        <f>VLOOKUP($B62,'[3]Left Employee Report'!$D:$D,1,0)</f>
        <v/>
      </c>
    </row>
    <row r="63">
      <c r="A63" s="1">
        <f>ROW()-2</f>
        <v/>
      </c>
      <c r="B63" s="28" t="inlineStr">
        <is>
          <t>PK1522</t>
        </is>
      </c>
      <c r="C63" s="23" t="inlineStr">
        <is>
          <t>ROOBAN</t>
        </is>
      </c>
      <c r="D63" s="23" t="inlineStr">
        <is>
          <t>PRODUCTION</t>
        </is>
      </c>
      <c r="E63" s="24" t="inlineStr">
        <is>
          <t>SOLID TYRE</t>
        </is>
      </c>
      <c r="F63" s="29" t="n">
        <v>45678</v>
      </c>
      <c r="G63" s="30">
        <f>NOW()-F63</f>
        <v/>
      </c>
      <c r="H63" s="144" t="inlineStr">
        <is>
          <t>L</t>
        </is>
      </c>
      <c r="I63" s="144" t="inlineStr">
        <is>
          <t>L</t>
        </is>
      </c>
      <c r="J63" s="144" t="n"/>
      <c r="K63" s="144" t="n"/>
      <c r="L63" s="144" t="n"/>
      <c r="M63" s="144" t="n"/>
      <c r="N63" s="144" t="n"/>
      <c r="O63" s="104">
        <f>SUM(J63:N63)</f>
        <v/>
      </c>
      <c r="P63" s="12">
        <f>O63/IF(H63="L",20,IF(H63="U",30,IF(H63="O",40,IF(H63="I",20,""))))</f>
        <v/>
      </c>
      <c r="Q63" s="145">
        <f>IF(AND(H63="L", P63&gt;=50%), "Pass",
IF(AND(H63="U", P63&gt;=60%), "Pass",
IF(AND(H63="O", P63&gt;=75%), "Pass", "Fail")))</f>
        <v/>
      </c>
      <c r="R63" s="146" t="n"/>
      <c r="S63" s="146" t="n"/>
      <c r="T63" s="146" t="n"/>
      <c r="U63" s="104">
        <f>SUM(S63:T63)</f>
        <v/>
      </c>
      <c r="V63" s="12">
        <f>U63/IF(H63="L",35,IF(H63="U",35,IF(H63="O",35,IF(H63="I",35,""))))</f>
        <v/>
      </c>
      <c r="W63" s="145">
        <f>IF(AND(H63="L", V63&gt;=50%), "Pass",
IF(AND(H63="U", V63&gt;=60%), "Pass",
IF(AND(H63="O", V63&gt;=75%), "Pass", "Fail")))</f>
        <v/>
      </c>
      <c r="X63" s="145">
        <f>IF(AND(Q63="Pass", W63="Pass"), "Pass", "Fail")</f>
        <v/>
      </c>
      <c r="Y63" s="15">
        <f>IF($X63="Pass",$H63,
IF(H63="L","I",
IF(H63="U","L",
IF(H63="O","U",
"I"))))</f>
        <v/>
      </c>
      <c r="AA63">
        <f>VLOOKUP($B63,[1]Sheet1!$B:$B,1,0)</f>
        <v/>
      </c>
      <c r="AB63">
        <f>VLOOKUP($B63,'[3]Left Employee Report'!$D:$D,1,0)</f>
        <v/>
      </c>
    </row>
    <row r="64">
      <c r="A64" s="1">
        <f>ROW()-2</f>
        <v/>
      </c>
      <c r="B64" s="28" t="inlineStr">
        <is>
          <t>PK1526</t>
        </is>
      </c>
      <c r="C64" s="23" t="inlineStr">
        <is>
          <t>BIPHAN RAM</t>
        </is>
      </c>
      <c r="D64" s="23" t="inlineStr">
        <is>
          <t>PRODUCTION</t>
        </is>
      </c>
      <c r="E64" s="24" t="inlineStr">
        <is>
          <t>TYRE BUILDING-P2</t>
        </is>
      </c>
      <c r="F64" s="29" t="n">
        <v>45678</v>
      </c>
      <c r="G64" s="30">
        <f>NOW()-F64</f>
        <v/>
      </c>
      <c r="H64" s="144" t="inlineStr">
        <is>
          <t>L</t>
        </is>
      </c>
      <c r="I64" s="144" t="inlineStr">
        <is>
          <t>I</t>
        </is>
      </c>
      <c r="J64" s="144" t="n"/>
      <c r="K64" s="144" t="n"/>
      <c r="L64" s="144" t="n"/>
      <c r="M64" s="144" t="n"/>
      <c r="N64" s="144" t="n"/>
      <c r="O64" s="104">
        <f>SUM(J64:N64)</f>
        <v/>
      </c>
      <c r="P64" s="12">
        <f>O64/IF(H64="L",20,IF(H64="U",30,IF(H64="O",40,IF(H64="I",20,""))))</f>
        <v/>
      </c>
      <c r="Q64" s="145">
        <f>IF(AND(H64="L", P64&gt;=50%), "Pass",
IF(AND(H64="U", P64&gt;=60%), "Pass",
IF(AND(H64="O", P64&gt;=75%), "Pass", "Fail")))</f>
        <v/>
      </c>
      <c r="R64" s="146" t="n"/>
      <c r="S64" s="146" t="n"/>
      <c r="T64" s="146" t="n"/>
      <c r="U64" s="104">
        <f>SUM(S64:T64)</f>
        <v/>
      </c>
      <c r="V64" s="12">
        <f>U64/IF(H64="L",35,IF(H64="U",35,IF(H64="O",35,IF(H64="I",35,""))))</f>
        <v/>
      </c>
      <c r="W64" s="145">
        <f>IF(AND(H64="L", V64&gt;=50%), "Pass",
IF(AND(H64="U", V64&gt;=60%), "Pass",
IF(AND(H64="O", V64&gt;=75%), "Pass", "Fail")))</f>
        <v/>
      </c>
      <c r="X64" s="145">
        <f>IF(AND(Q64="Pass", W64="Pass"), "Pass", "Fail")</f>
        <v/>
      </c>
      <c r="Y64" s="15">
        <f>IF($X64="Pass",$H64,
IF(H64="L","I",
IF(H64="U","L",
IF(H64="O","U",
"I"))))</f>
        <v/>
      </c>
      <c r="AA64">
        <f>VLOOKUP($B64,[1]Sheet1!$B:$B,1,0)</f>
        <v/>
      </c>
      <c r="AB64">
        <f>VLOOKUP($B64,'[3]Left Employee Report'!$D:$D,1,0)</f>
        <v/>
      </c>
    </row>
    <row r="65">
      <c r="A65" s="1">
        <f>ROW()-2</f>
        <v/>
      </c>
      <c r="B65" s="28" t="inlineStr">
        <is>
          <t>PK1563</t>
        </is>
      </c>
      <c r="C65" s="23" t="inlineStr">
        <is>
          <t>SANKARANARAYANAN M</t>
        </is>
      </c>
      <c r="D65" s="23" t="inlineStr">
        <is>
          <t>PRODUCTION</t>
        </is>
      </c>
      <c r="E65" s="24" t="inlineStr">
        <is>
          <t>BAND BUILDING-P1</t>
        </is>
      </c>
      <c r="F65" s="29" t="n">
        <v>45702</v>
      </c>
      <c r="G65" s="30">
        <f>NOW()-F65</f>
        <v/>
      </c>
      <c r="H65" s="144" t="inlineStr">
        <is>
          <t>L</t>
        </is>
      </c>
      <c r="I65" s="144" t="inlineStr">
        <is>
          <t>I</t>
        </is>
      </c>
      <c r="J65" s="144" t="n"/>
      <c r="K65" s="144" t="n"/>
      <c r="L65" s="144" t="n"/>
      <c r="M65" s="144" t="n"/>
      <c r="N65" s="144" t="n"/>
      <c r="O65" s="104">
        <f>SUM(J65:N65)</f>
        <v/>
      </c>
      <c r="P65" s="12">
        <f>O65/IF(H65="L",20,IF(H65="U",30,IF(H65="O",40,IF(H65="I",20,""))))</f>
        <v/>
      </c>
      <c r="Q65" s="145">
        <f>IF(AND(H65="L", P65&gt;=50%), "Pass",
IF(AND(H65="U", P65&gt;=60%), "Pass",
IF(AND(H65="O", P65&gt;=75%), "Pass", "Fail")))</f>
        <v/>
      </c>
      <c r="R65" s="146" t="n"/>
      <c r="S65" s="146" t="n"/>
      <c r="T65" s="146" t="n"/>
      <c r="U65" s="104">
        <f>SUM(S65:T65)</f>
        <v/>
      </c>
      <c r="V65" s="12">
        <f>U65/IF(H65="L",35,IF(H65="U",35,IF(H65="O",35,IF(H65="I",35,""))))</f>
        <v/>
      </c>
      <c r="W65" s="145">
        <f>IF(AND(H65="L", V65&gt;=50%), "Pass",
IF(AND(H65="U", V65&gt;=60%), "Pass",
IF(AND(H65="O", V65&gt;=75%), "Pass", "Fail")))</f>
        <v/>
      </c>
      <c r="X65" s="145">
        <f>IF(AND(Q65="Pass", W65="Pass"), "Pass", "Fail")</f>
        <v/>
      </c>
      <c r="Y65" s="15">
        <f>IF($X65="Pass",$H65,
IF(H65="L","I",
IF(H65="U","L",
IF(H65="O","U",
"I"))))</f>
        <v/>
      </c>
      <c r="AA65">
        <f>VLOOKUP($B65,[1]Sheet1!$B:$B,1,0)</f>
        <v/>
      </c>
      <c r="AB65">
        <f>VLOOKUP($B65,'[3]Left Employee Report'!$D:$D,1,0)</f>
        <v/>
      </c>
    </row>
    <row r="66">
      <c r="A66" s="1">
        <f>ROW()-2</f>
        <v/>
      </c>
      <c r="B66" s="28" t="inlineStr">
        <is>
          <t>PK1583</t>
        </is>
      </c>
      <c r="C66" s="23" t="inlineStr">
        <is>
          <t>ANANTHARAJ S</t>
        </is>
      </c>
      <c r="D66" s="23" t="inlineStr">
        <is>
          <t>PRODUCTION</t>
        </is>
      </c>
      <c r="E66" s="24" t="inlineStr">
        <is>
          <t>BAND BUILDING-P1</t>
        </is>
      </c>
      <c r="F66" s="29" t="n">
        <v>45789</v>
      </c>
      <c r="G66" s="30">
        <f>NOW()-F66</f>
        <v/>
      </c>
      <c r="H66" s="144" t="inlineStr">
        <is>
          <t>I</t>
        </is>
      </c>
      <c r="I66" s="144" t="inlineStr">
        <is>
          <t>I</t>
        </is>
      </c>
      <c r="J66" s="144" t="n"/>
      <c r="K66" s="144" t="n"/>
      <c r="L66" s="144" t="n"/>
      <c r="M66" s="144" t="n"/>
      <c r="N66" s="144" t="n"/>
      <c r="O66" s="104">
        <f>SUM(J66:N66)</f>
        <v/>
      </c>
      <c r="P66" s="12">
        <f>O66/IF(H66="L",20,IF(H66="U",30,IF(H66="O",40,IF(H66="I",20,""))))</f>
        <v/>
      </c>
      <c r="Q66" s="145">
        <f>IF(AND(H66="L", P66&gt;=50%), "Pass",
IF(AND(H66="U", P66&gt;=60%), "Pass",
IF(AND(H66="O", P66&gt;=75%), "Pass", "Fail")))</f>
        <v/>
      </c>
      <c r="R66" s="146" t="n"/>
      <c r="S66" s="146" t="n"/>
      <c r="T66" s="146" t="n"/>
      <c r="U66" s="104">
        <f>SUM(S66:T66)</f>
        <v/>
      </c>
      <c r="V66" s="12">
        <f>U66/IF(H66="L",35,IF(H66="U",35,IF(H66="O",35,IF(H66="I",35,""))))</f>
        <v/>
      </c>
      <c r="W66" s="145">
        <f>IF(AND(H66="L", V66&gt;=50%), "Pass",
IF(AND(H66="U", V66&gt;=60%), "Pass",
IF(AND(H66="O", V66&gt;=75%), "Pass", "Fail")))</f>
        <v/>
      </c>
      <c r="X66" s="145">
        <f>IF(AND(Q66="Pass", W66="Pass"), "Pass", "Fail")</f>
        <v/>
      </c>
      <c r="Y66" s="15">
        <f>IF($X66="Pass",$H66,
IF(H66="L","I",
IF(H66="U","L",
IF(H66="O","U",
"I"))))</f>
        <v/>
      </c>
      <c r="AA66">
        <f>VLOOKUP($B66,[1]Sheet1!$B:$B,1,0)</f>
        <v/>
      </c>
      <c r="AB66">
        <f>VLOOKUP($B66,'[3]Left Employee Report'!$D:$D,1,0)</f>
        <v/>
      </c>
    </row>
    <row r="67">
      <c r="A67" s="1">
        <f>ROW()-2</f>
        <v/>
      </c>
      <c r="B67" s="28" t="inlineStr">
        <is>
          <t>PK1590</t>
        </is>
      </c>
      <c r="C67" s="23" t="inlineStr">
        <is>
          <t>MYDEEN IBRAHIMSHA P</t>
        </is>
      </c>
      <c r="D67" s="23" t="inlineStr">
        <is>
          <t>PRODUCTION</t>
        </is>
      </c>
      <c r="E67" s="24" t="inlineStr">
        <is>
          <t>TYRE CURING</t>
        </is>
      </c>
      <c r="F67" s="29" t="n">
        <v>45796</v>
      </c>
      <c r="G67" s="30">
        <f>NOW()-F67</f>
        <v/>
      </c>
      <c r="H67" s="144" t="inlineStr">
        <is>
          <t>I</t>
        </is>
      </c>
      <c r="I67" s="144" t="inlineStr">
        <is>
          <t>I</t>
        </is>
      </c>
      <c r="J67" s="144" t="n"/>
      <c r="K67" s="144" t="n"/>
      <c r="L67" s="144" t="n"/>
      <c r="M67" s="144" t="n"/>
      <c r="N67" s="144" t="n"/>
      <c r="O67" s="104">
        <f>SUM(J67:N67)</f>
        <v/>
      </c>
      <c r="P67" s="12">
        <f>O67/IF(H67="L",20,IF(H67="U",30,IF(H67="O",40,IF(H67="I",20,""))))</f>
        <v/>
      </c>
      <c r="Q67" s="145">
        <f>IF(AND(H67="L", P67&gt;=50%), "Pass",
 IF(AND(H67="U", P67&gt;=60%), "Pass",
 IF(AND(H67="O", P67&gt;=75%), "Pass", "Fail")))</f>
        <v/>
      </c>
      <c r="R67" s="146" t="n"/>
      <c r="S67" s="146" t="n"/>
      <c r="T67" s="146" t="n"/>
      <c r="U67" s="104">
        <f>SUM(S67:T67)</f>
        <v/>
      </c>
      <c r="V67" s="12">
        <f>U67/IF(H67="L",35,IF(H67="U",35,IF(H67="O",35,IF(H67="I",35,""))))</f>
        <v/>
      </c>
      <c r="W67" s="145">
        <f>IF(AND(H67="L", V67&gt;=50%), "Pass",
 IF(AND(H67="U", V67&gt;=60%), "Pass",
 IF(AND(H67="O", V67&gt;=75%), "Pass", "Fail")))</f>
        <v/>
      </c>
      <c r="X67" s="145">
        <f>IF(AND(Q67="Pass", W67="Pass"), "Pass", "Fail")</f>
        <v/>
      </c>
      <c r="Y67" s="15">
        <f>IF($X67="Pass",$H67,
IF(H67="L","I",
IF(H67="U","L",
IF(H67="O","U",
"I"))))</f>
        <v/>
      </c>
      <c r="AA67">
        <f>VLOOKUP($B67,[1]Sheet1!$B:$B,1,0)</f>
        <v/>
      </c>
      <c r="AB67">
        <f>VLOOKUP($B67,'[3]Left Employee Report'!$D:$D,1,0)</f>
        <v/>
      </c>
    </row>
    <row r="68">
      <c r="A68" s="1">
        <f>ROW()-2</f>
        <v/>
      </c>
      <c r="B68" s="28" t="inlineStr">
        <is>
          <t>PK1596</t>
        </is>
      </c>
      <c r="C68" s="23" t="inlineStr">
        <is>
          <t>MANIKANDAN</t>
        </is>
      </c>
      <c r="D68" s="23" t="inlineStr">
        <is>
          <t>PRODUCTION</t>
        </is>
      </c>
      <c r="E68" s="24" t="inlineStr">
        <is>
          <t>SOLID TYRE</t>
        </is>
      </c>
      <c r="F68" s="29" t="n">
        <v>45810</v>
      </c>
      <c r="G68" s="30">
        <f>NOW()-F68</f>
        <v/>
      </c>
      <c r="H68" s="144" t="inlineStr">
        <is>
          <t>I</t>
        </is>
      </c>
      <c r="I68" s="144" t="inlineStr">
        <is>
          <t>I</t>
        </is>
      </c>
      <c r="J68" s="144" t="n"/>
      <c r="K68" s="144" t="n"/>
      <c r="L68" s="144" t="n"/>
      <c r="M68" s="144" t="n"/>
      <c r="N68" s="144" t="n"/>
      <c r="O68" s="104">
        <f>SUM(J68:N68)</f>
        <v/>
      </c>
      <c r="P68" s="12">
        <f>O68/IF(H68="L",20,IF(H68="U",30,IF(H68="O",40,IF(H68="I",20,""))))</f>
        <v/>
      </c>
      <c r="Q68" s="145">
        <f>IF(AND(H68="L", P68&gt;=50%), "Pass",
IF(AND(H68="U", P68&gt;=60%), "Pass",
IF(AND(H68="O", P68&gt;=75%), "Pass", "Fail")))</f>
        <v/>
      </c>
      <c r="R68" s="146" t="n"/>
      <c r="S68" s="146" t="n"/>
      <c r="T68" s="146" t="n"/>
      <c r="U68" s="104">
        <f>SUM(S68:T68)</f>
        <v/>
      </c>
      <c r="V68" s="12">
        <f>U68/IF(H68="L",35,IF(H68="U",35,IF(H68="O",35,IF(H68="I",35,""))))</f>
        <v/>
      </c>
      <c r="W68" s="145">
        <f>IF(AND(H68="L", V68&gt;=50%), "Pass",
IF(AND(H68="U", V68&gt;=60%), "Pass",
IF(AND(H68="O", V68&gt;=75%), "Pass", "Fail")))</f>
        <v/>
      </c>
      <c r="X68" s="145">
        <f>IF(AND(Q68="Pass", W68="Pass"), "Pass", "Fail")</f>
        <v/>
      </c>
      <c r="Y68" s="15">
        <f>IF($X68="Pass",$H68,
IF(H68="L","I",
IF(H68="U","L",
IF(H68="O","U",
"I"))))</f>
        <v/>
      </c>
      <c r="AA68">
        <f>VLOOKUP($B68,[1]Sheet1!$B:$B,1,0)</f>
        <v/>
      </c>
      <c r="AB68">
        <f>VLOOKUP($B68,'[3]Left Employee Report'!$D:$D,1,0)</f>
        <v/>
      </c>
    </row>
    <row r="69">
      <c r="A69" s="1">
        <f>ROW()-2</f>
        <v/>
      </c>
      <c r="B69" s="28" t="inlineStr">
        <is>
          <t>PK1598</t>
        </is>
      </c>
      <c r="C69" s="23" t="inlineStr">
        <is>
          <t>LALIT BHAGAT</t>
        </is>
      </c>
      <c r="D69" s="23" t="inlineStr">
        <is>
          <t>PRODUCTION</t>
        </is>
      </c>
      <c r="E69" s="24" t="inlineStr">
        <is>
          <t>TYRE BUILDING-P2</t>
        </is>
      </c>
      <c r="F69" s="29" t="n">
        <v>45810</v>
      </c>
      <c r="G69" s="30">
        <f>NOW()-F69</f>
        <v/>
      </c>
      <c r="H69" s="144" t="inlineStr">
        <is>
          <t>I</t>
        </is>
      </c>
      <c r="I69" s="144" t="inlineStr">
        <is>
          <t>I</t>
        </is>
      </c>
      <c r="J69" s="144" t="n"/>
      <c r="K69" s="144" t="n"/>
      <c r="L69" s="144" t="n"/>
      <c r="M69" s="144" t="n"/>
      <c r="N69" s="144" t="n"/>
      <c r="O69" s="104">
        <f>SUM(J69:N69)</f>
        <v/>
      </c>
      <c r="P69" s="12">
        <f>O69/IF(H69="L",20,IF(H69="U",30,IF(H69="O",40,IF(H69="I",20,""))))</f>
        <v/>
      </c>
      <c r="Q69" s="145">
        <f>IF(AND(H69="L", P69&gt;=50%), "Pass",
IF(AND(H69="U", P69&gt;=60%), "Pass",
IF(AND(H69="O", P69&gt;=75%), "Pass", "Fail")))</f>
        <v/>
      </c>
      <c r="R69" s="146" t="n"/>
      <c r="S69" s="146" t="n"/>
      <c r="T69" s="146" t="n"/>
      <c r="U69" s="104">
        <f>SUM(S69:T69)</f>
        <v/>
      </c>
      <c r="V69" s="12">
        <f>U69/IF(H69="L",35,IF(H69="U",35,IF(H69="O",35,IF(H69="I",35,""))))</f>
        <v/>
      </c>
      <c r="W69" s="145">
        <f>IF(AND(H69="L", V69&gt;=50%), "Pass",
IF(AND(H69="U", V69&gt;=60%), "Pass",
IF(AND(H69="O", V69&gt;=75%), "Pass", "Fail")))</f>
        <v/>
      </c>
      <c r="X69" s="145">
        <f>IF(AND(Q69="Pass", W69="Pass"), "Pass", "Fail")</f>
        <v/>
      </c>
      <c r="Y69" s="15">
        <f>IF($X69="Pass",$H69,
IF(H69="L","I",
IF(H69="U","L",
IF(H69="O","U",
"I"))))</f>
        <v/>
      </c>
      <c r="AA69">
        <f>VLOOKUP($B69,[1]Sheet1!$B:$B,1,0)</f>
        <v/>
      </c>
      <c r="AB69">
        <f>VLOOKUP($B69,'[3]Left Employee Report'!$D:$D,1,0)</f>
        <v/>
      </c>
    </row>
    <row r="70">
      <c r="A70" s="1">
        <f>ROW()-2</f>
        <v/>
      </c>
      <c r="B70" s="28" t="inlineStr">
        <is>
          <t>PK1617</t>
        </is>
      </c>
      <c r="C70" s="23" t="inlineStr">
        <is>
          <t>SABARI GIRI</t>
        </is>
      </c>
      <c r="D70" s="23" t="inlineStr">
        <is>
          <t>PRODUCTION</t>
        </is>
      </c>
      <c r="E70" s="24" t="inlineStr">
        <is>
          <t>TYRE CURING</t>
        </is>
      </c>
      <c r="F70" s="29" t="n">
        <v>45824</v>
      </c>
      <c r="G70" s="30">
        <f>NOW()-F70</f>
        <v/>
      </c>
      <c r="H70" s="144" t="inlineStr">
        <is>
          <t>I</t>
        </is>
      </c>
      <c r="I70" s="144" t="inlineStr">
        <is>
          <t>I</t>
        </is>
      </c>
      <c r="J70" s="144" t="n"/>
      <c r="K70" s="144" t="n"/>
      <c r="L70" s="144" t="n"/>
      <c r="M70" s="144" t="n"/>
      <c r="N70" s="144" t="n"/>
      <c r="O70" s="104">
        <f>SUM(J70:N70)</f>
        <v/>
      </c>
      <c r="P70" s="12">
        <f>O70/IF(H70="L",20,IF(H70="U",30,IF(H70="O",40,IF(H70="I",20,""))))</f>
        <v/>
      </c>
      <c r="Q70" s="145">
        <f>IF(AND(H70="L", P70&gt;=50%), "Pass",
IF(AND(H70="U", P70&gt;=60%), "Pass",
IF(AND(H70="O", P70&gt;=75%), "Pass", "Fail")))</f>
        <v/>
      </c>
      <c r="R70" s="146" t="n"/>
      <c r="S70" s="146" t="n"/>
      <c r="T70" s="146" t="n"/>
      <c r="U70" s="104">
        <f>SUM(S70:T70)</f>
        <v/>
      </c>
      <c r="V70" s="12">
        <f>U70/IF(H70="L",35,IF(H70="U",35,IF(H70="O",35,IF(H70="I",35,""))))</f>
        <v/>
      </c>
      <c r="W70" s="145">
        <f>IF(AND(H70="L", V70&gt;=50%), "Pass",
IF(AND(H70="U", V70&gt;=60%), "Pass",
IF(AND(H70="O", V70&gt;=75%), "Pass", "Fail")))</f>
        <v/>
      </c>
      <c r="X70" s="145">
        <f>IF(AND(Q70="Pass", W70="Pass"), "Pass", "Fail")</f>
        <v/>
      </c>
      <c r="Y70" s="15">
        <f>IF($X70="Pass",$H70,
IF(H70="L","I",
IF(H70="U","L",
IF(H70="O","U",
"I"))))</f>
        <v/>
      </c>
      <c r="AA70">
        <f>VLOOKUP($B70,[1]Sheet1!$B:$B,1,0)</f>
        <v/>
      </c>
      <c r="AB70">
        <f>VLOOKUP($B70,'[3]Left Employee Report'!$D:$D,1,0)</f>
        <v/>
      </c>
    </row>
    <row r="71">
      <c r="A71" s="1">
        <f>ROW()-2</f>
        <v/>
      </c>
      <c r="B71" s="28" t="inlineStr">
        <is>
          <t>PK1620</t>
        </is>
      </c>
      <c r="C71" s="23" t="inlineStr">
        <is>
          <t>SIVAN PERUMAL P</t>
        </is>
      </c>
      <c r="D71" s="23" t="inlineStr">
        <is>
          <t>PRODUCTION</t>
        </is>
      </c>
      <c r="E71" s="24" t="inlineStr">
        <is>
          <t>TYRE BUILDING-P2</t>
        </is>
      </c>
      <c r="F71" s="29" t="n">
        <v>45824</v>
      </c>
      <c r="G71" s="30">
        <f>NOW()-F71</f>
        <v/>
      </c>
      <c r="H71" s="144" t="inlineStr">
        <is>
          <t>I</t>
        </is>
      </c>
      <c r="I71" s="144" t="inlineStr">
        <is>
          <t>I</t>
        </is>
      </c>
      <c r="J71" s="144" t="n"/>
      <c r="K71" s="144" t="n"/>
      <c r="L71" s="144" t="n"/>
      <c r="M71" s="144" t="n"/>
      <c r="N71" s="144" t="n"/>
      <c r="O71" s="104">
        <f>SUM(J71:N71)</f>
        <v/>
      </c>
      <c r="P71" s="12">
        <f>O71/IF(H71="L",20,IF(H71="U",30,IF(H71="O",40,IF(H71="I",20,""))))</f>
        <v/>
      </c>
      <c r="Q71" s="145">
        <f>IF(AND(H71="L", P71&gt;=50%), "Pass",
IF(AND(H71="U", P71&gt;=60%), "Pass",
IF(AND(H71="O", P71&gt;=75%), "Pass", "Fail")))</f>
        <v/>
      </c>
      <c r="R71" s="146" t="n"/>
      <c r="S71" s="146" t="n"/>
      <c r="T71" s="146" t="n"/>
      <c r="U71" s="104">
        <f>SUM(S71:T71)</f>
        <v/>
      </c>
      <c r="V71" s="12">
        <f>U71/IF(H71="L",35,IF(H71="U",35,IF(H71="O",35,IF(H71="I",35,""))))</f>
        <v/>
      </c>
      <c r="W71" s="145">
        <f>IF(AND(H71="L", V71&gt;=50%), "Pass",
IF(AND(H71="U", V71&gt;=60%), "Pass",
IF(AND(H71="O", V71&gt;=75%), "Pass", "Fail")))</f>
        <v/>
      </c>
      <c r="X71" s="145">
        <f>IF(AND(Q71="Pass", W71="Pass"), "Pass", "Fail")</f>
        <v/>
      </c>
      <c r="Y71" s="15">
        <f>IF($X71="Pass",$H71,
IF(H71="L","I",
IF(H71="U","L",
IF(H71="O","U",
"I"))))</f>
        <v/>
      </c>
      <c r="AA71">
        <f>VLOOKUP($B71,[1]Sheet1!$B:$B,1,0)</f>
        <v/>
      </c>
      <c r="AB71">
        <f>VLOOKUP($B71,'[3]Left Employee Report'!$D:$D,1,0)</f>
        <v/>
      </c>
    </row>
    <row r="72">
      <c r="A72" s="1">
        <f>ROW()-2</f>
        <v/>
      </c>
      <c r="B72" s="28" t="inlineStr">
        <is>
          <t>SK1978</t>
        </is>
      </c>
      <c r="C72" s="23" t="inlineStr">
        <is>
          <t>LAKSHMANAN M</t>
        </is>
      </c>
      <c r="D72" s="23" t="inlineStr">
        <is>
          <t>PRODUCTION</t>
        </is>
      </c>
      <c r="E72" s="24" t="inlineStr">
        <is>
          <t>TYRE BUILDING-P3</t>
        </is>
      </c>
      <c r="F72" s="29" t="n">
        <v>42252</v>
      </c>
      <c r="G72" s="30">
        <f>NOW()-F72</f>
        <v/>
      </c>
      <c r="H72" s="144" t="inlineStr">
        <is>
          <t>O</t>
        </is>
      </c>
      <c r="I72" s="144" t="inlineStr">
        <is>
          <t>O</t>
        </is>
      </c>
      <c r="J72" s="144" t="n"/>
      <c r="K72" s="144" t="n"/>
      <c r="L72" s="144" t="n"/>
      <c r="M72" s="144" t="n"/>
      <c r="N72" s="144" t="n"/>
      <c r="O72" s="104">
        <f>SUM(J72:N72)</f>
        <v/>
      </c>
      <c r="P72" s="12">
        <f>O72/IF(H72="L",20,IF(H72="U",30,IF(H72="O",40,IF(H72="I",20,""))))</f>
        <v/>
      </c>
      <c r="Q72" s="145">
        <f>IF(AND(H72="L", P72&gt;=50%), "Pass",
IF(AND(H72="U", P72&gt;=60%), "Pass",
IF(AND(H72="O", P72&gt;=75%), "Pass", "Fail")))</f>
        <v/>
      </c>
      <c r="R72" s="146" t="n"/>
      <c r="S72" s="146" t="n"/>
      <c r="T72" s="146" t="n"/>
      <c r="U72" s="104">
        <f>SUM(S72:T72)</f>
        <v/>
      </c>
      <c r="V72" s="12">
        <f>U72/IF(H72="L",35,IF(H72="U",35,IF(H72="O",35,IF(H72="I",35,""))))</f>
        <v/>
      </c>
      <c r="W72" s="145">
        <f>IF(AND(H72="L", V72&gt;=50%), "Pass",
IF(AND(H72="U", V72&gt;=60%), "Pass",
IF(AND(H72="O", V72&gt;=75%), "Pass", "Fail")))</f>
        <v/>
      </c>
      <c r="X72" s="145">
        <f>IF(AND(Q72="Pass", W72="Pass"), "Pass", "Fail")</f>
        <v/>
      </c>
      <c r="Y72" s="15">
        <f>IF($X72="Pass",$H72,
IF(H72="L","I",
IF(H72="U","L",
IF(H72="O","U",
"I"))))</f>
        <v/>
      </c>
      <c r="AA72">
        <f>VLOOKUP($B72,[1]Sheet1!$B:$B,1,0)</f>
        <v/>
      </c>
      <c r="AB72">
        <f>VLOOKUP($B72,'[3]Left Employee Report'!$D:$D,1,0)</f>
        <v/>
      </c>
    </row>
    <row r="73">
      <c r="A73" s="1">
        <f>ROW()-2</f>
        <v/>
      </c>
      <c r="B73" s="28" t="inlineStr">
        <is>
          <t>SK2124</t>
        </is>
      </c>
      <c r="C73" s="23" t="inlineStr">
        <is>
          <t>ARVIND MAURYA</t>
        </is>
      </c>
      <c r="D73" s="23" t="inlineStr">
        <is>
          <t>PRODUCTION</t>
        </is>
      </c>
      <c r="E73" s="24" t="inlineStr">
        <is>
          <t>TYRE BUILDING-P3</t>
        </is>
      </c>
      <c r="F73" s="29" t="n">
        <v>42492</v>
      </c>
      <c r="G73" s="30">
        <f>NOW()-F73</f>
        <v/>
      </c>
      <c r="H73" s="144" t="inlineStr">
        <is>
          <t>O</t>
        </is>
      </c>
      <c r="I73" s="144" t="inlineStr">
        <is>
          <t>O</t>
        </is>
      </c>
      <c r="J73" s="144" t="n"/>
      <c r="K73" s="144" t="n"/>
      <c r="L73" s="144" t="n"/>
      <c r="M73" s="144" t="n"/>
      <c r="N73" s="144" t="n"/>
      <c r="O73" s="104">
        <f>SUM(J73:N73)</f>
        <v/>
      </c>
      <c r="P73" s="12">
        <f>O73/IF(H73="L",20,IF(H73="U",30,IF(H73="O",40,IF(H73="I",20,""))))</f>
        <v/>
      </c>
      <c r="Q73" s="145">
        <f>IF(AND(H73="L", P73&gt;=50%), "Pass",
IF(AND(H73="U", P73&gt;=60%), "Pass",
IF(AND(H73="O", P73&gt;=75%), "Pass", "Fail")))</f>
        <v/>
      </c>
      <c r="R73" s="146" t="n"/>
      <c r="S73" s="146" t="n"/>
      <c r="T73" s="146" t="n"/>
      <c r="U73" s="104">
        <f>SUM(S73:T73)</f>
        <v/>
      </c>
      <c r="V73" s="12">
        <f>U73/IF(H73="L",35,IF(H73="U",35,IF(H73="O",35,IF(H73="I",35,""))))</f>
        <v/>
      </c>
      <c r="W73" s="145">
        <f>IF(AND(H73="L", V73&gt;=50%), "Pass",
IF(AND(H73="U", V73&gt;=60%), "Pass",
IF(AND(H73="O", V73&gt;=75%), "Pass", "Fail")))</f>
        <v/>
      </c>
      <c r="X73" s="145">
        <f>IF(AND(Q73="Pass", W73="Pass"), "Pass", "Fail")</f>
        <v/>
      </c>
      <c r="Y73" s="15">
        <f>IF($X73="Pass",$H73,
IF(H73="L","I",
IF(H73="U","L",
IF(H73="O","U",
"I"))))</f>
        <v/>
      </c>
      <c r="AA73">
        <f>VLOOKUP($B73,[1]Sheet1!$B:$B,1,0)</f>
        <v/>
      </c>
      <c r="AB73">
        <f>VLOOKUP($B73,'[3]Left Employee Report'!$D:$D,1,0)</f>
        <v/>
      </c>
    </row>
    <row r="74">
      <c r="A74" s="1">
        <f>ROW()-2</f>
        <v/>
      </c>
      <c r="B74" s="28" t="inlineStr">
        <is>
          <t>SK2384</t>
        </is>
      </c>
      <c r="C74" s="23" t="inlineStr">
        <is>
          <t>MUTHU DURAI P</t>
        </is>
      </c>
      <c r="D74" s="23" t="inlineStr">
        <is>
          <t>PRODUCTION</t>
        </is>
      </c>
      <c r="E74" s="24" t="inlineStr">
        <is>
          <t>TYRE BUILDING-P3</t>
        </is>
      </c>
      <c r="F74" s="29" t="n">
        <v>42126</v>
      </c>
      <c r="G74" s="30">
        <f>NOW()-F74</f>
        <v/>
      </c>
      <c r="H74" s="144" t="inlineStr">
        <is>
          <t>O</t>
        </is>
      </c>
      <c r="I74" s="144" t="inlineStr">
        <is>
          <t>O</t>
        </is>
      </c>
      <c r="J74" s="144" t="n"/>
      <c r="K74" s="144" t="n"/>
      <c r="L74" s="144" t="n"/>
      <c r="M74" s="144" t="n"/>
      <c r="N74" s="144" t="n"/>
      <c r="O74" s="104">
        <f>SUM(J74:N74)</f>
        <v/>
      </c>
      <c r="P74" s="12">
        <f>O74/IF(H74="L",20,IF(H74="U",30,IF(H74="O",40,IF(H74="I",20,""))))</f>
        <v/>
      </c>
      <c r="Q74" s="145">
        <f>IF(AND(H74="L", P74&gt;=50%), "Pass",
IF(AND(H74="U", P74&gt;=60%), "Pass",
IF(AND(H74="O", P74&gt;=75%), "Pass", "Fail")))</f>
        <v/>
      </c>
      <c r="R74" s="146" t="n"/>
      <c r="S74" s="146" t="n"/>
      <c r="T74" s="146" t="n"/>
      <c r="U74" s="104">
        <f>SUM(S74:T74)</f>
        <v/>
      </c>
      <c r="V74" s="12">
        <f>U74/IF(H74="L",35,IF(H74="U",35,IF(H74="O",35,IF(H74="I",35,""))))</f>
        <v/>
      </c>
      <c r="W74" s="145">
        <f>IF(AND(H74="L", V74&gt;=50%), "Pass",
IF(AND(H74="U", V74&gt;=60%), "Pass",
IF(AND(H74="O", V74&gt;=75%), "Pass", "Fail")))</f>
        <v/>
      </c>
      <c r="X74" s="145">
        <f>IF(AND(Q74="Pass", W74="Pass"), "Pass", "Fail")</f>
        <v/>
      </c>
      <c r="Y74" s="15">
        <f>IF($X74="Pass",$H74,
IF(H74="L","I",
IF(H74="U","L",
IF(H74="O","U",
"I"))))</f>
        <v/>
      </c>
      <c r="AA74">
        <f>VLOOKUP($B74,[1]Sheet1!$B:$B,1,0)</f>
        <v/>
      </c>
      <c r="AB74">
        <f>VLOOKUP($B74,'[3]Left Employee Report'!$D:$D,1,0)</f>
        <v/>
      </c>
    </row>
    <row r="75">
      <c r="A75" s="1">
        <f>ROW()-2</f>
        <v/>
      </c>
      <c r="B75" s="28" t="inlineStr">
        <is>
          <t>SK2405</t>
        </is>
      </c>
      <c r="C75" s="23" t="inlineStr">
        <is>
          <t>SUBASH KANNAN S</t>
        </is>
      </c>
      <c r="D75" s="23" t="inlineStr">
        <is>
          <t>PRODUCTION</t>
        </is>
      </c>
      <c r="E75" s="24" t="inlineStr">
        <is>
          <t>TYRE BUILDING-P2</t>
        </is>
      </c>
      <c r="F75" s="29" t="n">
        <v>42267</v>
      </c>
      <c r="G75" s="30">
        <f>NOW()-F75</f>
        <v/>
      </c>
      <c r="H75" s="144" t="inlineStr">
        <is>
          <t>O</t>
        </is>
      </c>
      <c r="I75" s="144" t="inlineStr">
        <is>
          <t>U</t>
        </is>
      </c>
      <c r="J75" s="144" t="n"/>
      <c r="K75" s="144" t="n"/>
      <c r="L75" s="144" t="n"/>
      <c r="M75" s="144" t="n"/>
      <c r="N75" s="144" t="n"/>
      <c r="O75" s="104">
        <f>SUM(J75:N75)</f>
        <v/>
      </c>
      <c r="P75" s="12">
        <f>O75/IF(H75="L",20,IF(H75="U",30,IF(H75="O",40,IF(H75="I",20,""))))</f>
        <v/>
      </c>
      <c r="Q75" s="145">
        <f>IF(AND(H75="L", P75&gt;=50%), "Pass",
IF(AND(H75="U", P75&gt;=60%), "Pass",
IF(AND(H75="O", P75&gt;=75%), "Pass", "Fail")))</f>
        <v/>
      </c>
      <c r="R75" s="146" t="n"/>
      <c r="S75" s="146" t="n"/>
      <c r="T75" s="146" t="n"/>
      <c r="U75" s="104">
        <f>SUM(S75:T75)</f>
        <v/>
      </c>
      <c r="V75" s="12">
        <f>U75/IF(H75="L",35,IF(H75="U",35,IF(H75="O",35,IF(H75="I",35,""))))</f>
        <v/>
      </c>
      <c r="W75" s="145">
        <f>IF(AND(H75="L", V75&gt;=50%), "Pass",
IF(AND(H75="U", V75&gt;=60%), "Pass",
IF(AND(H75="O", V75&gt;=75%), "Pass", "Fail")))</f>
        <v/>
      </c>
      <c r="X75" s="145">
        <f>IF(AND(Q75="Pass", W75="Pass"), "Pass", "Fail")</f>
        <v/>
      </c>
      <c r="Y75" s="15">
        <f>IF($X75="Pass",$H75,
IF(H75="L","I",
IF(H75="U","L",
IF(H75="O","U",
"I"))))</f>
        <v/>
      </c>
      <c r="AA75">
        <f>VLOOKUP($B75,[1]Sheet1!$B:$B,1,0)</f>
        <v/>
      </c>
      <c r="AB75">
        <f>VLOOKUP($B75,'[3]Left Employee Report'!$D:$D,1,0)</f>
        <v/>
      </c>
    </row>
    <row r="76">
      <c r="A76" s="1">
        <f>ROW()-2</f>
        <v/>
      </c>
      <c r="B76" s="28" t="inlineStr">
        <is>
          <t>SK2524</t>
        </is>
      </c>
      <c r="C76" s="23" t="inlineStr">
        <is>
          <t>SURESH KUMAR S</t>
        </is>
      </c>
      <c r="D76" s="23" t="inlineStr">
        <is>
          <t>PRODUCTION</t>
        </is>
      </c>
      <c r="E76" s="24" t="inlineStr">
        <is>
          <t>TYRE CURING</t>
        </is>
      </c>
      <c r="F76" s="29" t="n">
        <v>42907</v>
      </c>
      <c r="G76" s="30">
        <f>NOW()-F76</f>
        <v/>
      </c>
      <c r="H76" s="144" t="inlineStr">
        <is>
          <t>O</t>
        </is>
      </c>
      <c r="I76" s="144" t="inlineStr">
        <is>
          <t>U</t>
        </is>
      </c>
      <c r="J76" s="144" t="n"/>
      <c r="K76" s="144" t="n"/>
      <c r="L76" s="144" t="n"/>
      <c r="M76" s="144" t="n"/>
      <c r="N76" s="144" t="n"/>
      <c r="O76" s="104">
        <f>SUM(J76:N76)</f>
        <v/>
      </c>
      <c r="P76" s="12">
        <f>O76/IF(H76="L",20,IF(H76="U",30,IF(H76="O",40,IF(H76="I",20,""))))</f>
        <v/>
      </c>
      <c r="Q76" s="145">
        <f>IF(AND(H76="L", P76&gt;=50%), "Pass",
IF(AND(H76="U", P76&gt;=60%), "Pass",
IF(AND(H76="O", P76&gt;=75%), "Pass", "Fail")))</f>
        <v/>
      </c>
      <c r="R76" s="146" t="n"/>
      <c r="S76" s="146" t="n"/>
      <c r="T76" s="146" t="n"/>
      <c r="U76" s="104">
        <f>SUM(S76:T76)</f>
        <v/>
      </c>
      <c r="V76" s="12">
        <f>U76/IF(H76="L",35,IF(H76="U",35,IF(H76="O",35,IF(H76="I",35,""))))</f>
        <v/>
      </c>
      <c r="W76" s="145">
        <f>IF(AND(H76="L", V76&gt;=50%), "Pass",
IF(AND(H76="U", V76&gt;=60%), "Pass",
IF(AND(H76="O", V76&gt;=75%), "Pass", "Fail")))</f>
        <v/>
      </c>
      <c r="X76" s="145">
        <f>IF(AND(Q76="Pass", W76="Pass"), "Pass", "Fail")</f>
        <v/>
      </c>
      <c r="Y76" s="15">
        <f>IF($X76="Pass",$H76,
IF(H76="L","I",
IF(H76="U","L",
IF(H76="O","U",
"I"))))</f>
        <v/>
      </c>
      <c r="AA76">
        <f>VLOOKUP($B76,[1]Sheet1!$B:$B,1,0)</f>
        <v/>
      </c>
      <c r="AB76">
        <f>VLOOKUP($B76,'[3]Left Employee Report'!$D:$D,1,0)</f>
        <v/>
      </c>
    </row>
    <row r="77">
      <c r="A77" s="1">
        <f>ROW()-2</f>
        <v/>
      </c>
      <c r="B77" s="28" t="inlineStr">
        <is>
          <t>SK2784</t>
        </is>
      </c>
      <c r="C77" s="23" t="inlineStr">
        <is>
          <t>PUTHIYAKUMAR N</t>
        </is>
      </c>
      <c r="D77" s="23" t="inlineStr">
        <is>
          <t>PRODUCTION</t>
        </is>
      </c>
      <c r="E77" s="24" t="inlineStr">
        <is>
          <t>TYRE CURING</t>
        </is>
      </c>
      <c r="F77" s="29" t="n">
        <v>43406</v>
      </c>
      <c r="G77" s="30">
        <f>NOW()-F77</f>
        <v/>
      </c>
      <c r="H77" s="144" t="inlineStr">
        <is>
          <t>O</t>
        </is>
      </c>
      <c r="I77" s="144" t="inlineStr">
        <is>
          <t>U</t>
        </is>
      </c>
      <c r="J77" s="144" t="n"/>
      <c r="K77" s="144" t="n"/>
      <c r="L77" s="144" t="n"/>
      <c r="M77" s="144" t="n"/>
      <c r="N77" s="144" t="n"/>
      <c r="O77" s="104">
        <f>SUM(J77:N77)</f>
        <v/>
      </c>
      <c r="P77" s="12">
        <f>O77/IF(H77="L",20,IF(H77="U",30,IF(H77="O",40,IF(H77="I",20,""))))</f>
        <v/>
      </c>
      <c r="Q77" s="145">
        <f>IF(AND(H77="L", P77&gt;=50%), "Pass",
IF(AND(H77="U", P77&gt;=60%), "Pass",
IF(AND(H77="O", P77&gt;=75%), "Pass", "Fail")))</f>
        <v/>
      </c>
      <c r="R77" s="146" t="n"/>
      <c r="S77" s="146" t="n"/>
      <c r="T77" s="146" t="n"/>
      <c r="U77" s="104">
        <f>SUM(S77:T77)</f>
        <v/>
      </c>
      <c r="V77" s="12">
        <f>U77/IF(H77="L",35,IF(H77="U",35,IF(H77="O",35,IF(H77="I",35,""))))</f>
        <v/>
      </c>
      <c r="W77" s="145">
        <f>IF(AND(H77="L", V77&gt;=50%), "Pass",
IF(AND(H77="U", V77&gt;=60%), "Pass",
IF(AND(H77="O", V77&gt;=75%), "Pass", "Fail")))</f>
        <v/>
      </c>
      <c r="X77" s="145">
        <f>IF(AND(Q77="Pass", W77="Pass"), "Pass", "Fail")</f>
        <v/>
      </c>
      <c r="Y77" s="15">
        <f>IF($X77="Pass",$H77,
IF(H77="L","I",
IF(H77="U","L",
IF(H77="O","U",
"I"))))</f>
        <v/>
      </c>
      <c r="AA77">
        <f>VLOOKUP($B77,[1]Sheet1!$B:$B,1,0)</f>
        <v/>
      </c>
      <c r="AB77">
        <f>VLOOKUP($B77,'[3]Left Employee Report'!$D:$D,1,0)</f>
        <v/>
      </c>
    </row>
    <row r="78">
      <c r="A78" s="1">
        <f>ROW()-2</f>
        <v/>
      </c>
      <c r="B78" s="28" t="inlineStr">
        <is>
          <t>SK2797</t>
        </is>
      </c>
      <c r="C78" s="23" t="inlineStr">
        <is>
          <t>MADASAMY L</t>
        </is>
      </c>
      <c r="D78" s="23" t="inlineStr">
        <is>
          <t>PRODUCTION</t>
        </is>
      </c>
      <c r="E78" s="24" t="inlineStr">
        <is>
          <t>TYRE BUILDING-P3</t>
        </is>
      </c>
      <c r="F78" s="29" t="n">
        <v>43415</v>
      </c>
      <c r="G78" s="30">
        <f>NOW()-F78</f>
        <v/>
      </c>
      <c r="H78" s="144" t="inlineStr">
        <is>
          <t>O</t>
        </is>
      </c>
      <c r="I78" s="144" t="inlineStr">
        <is>
          <t>U</t>
        </is>
      </c>
      <c r="J78" s="144" t="n"/>
      <c r="K78" s="144" t="n"/>
      <c r="L78" s="144" t="n"/>
      <c r="M78" s="144" t="n"/>
      <c r="N78" s="144" t="n"/>
      <c r="O78" s="104">
        <f>SUM(J78:N78)</f>
        <v/>
      </c>
      <c r="P78" s="12">
        <f>O78/IF(H78="L",20,IF(H78="U",30,IF(H78="O",40,IF(H78="I",20,""))))</f>
        <v/>
      </c>
      <c r="Q78" s="145">
        <f>IF(AND(H78="L", P78&gt;=50%), "Pass",
IF(AND(H78="U", P78&gt;=60%), "Pass",
IF(AND(H78="O", P78&gt;=75%), "Pass", "Fail")))</f>
        <v/>
      </c>
      <c r="R78" s="146" t="n"/>
      <c r="S78" s="146" t="n"/>
      <c r="T78" s="146" t="n"/>
      <c r="U78" s="104">
        <f>SUM(S78:T78)</f>
        <v/>
      </c>
      <c r="V78" s="12">
        <f>U78/IF(H78="L",35,IF(H78="U",35,IF(H78="O",35,IF(H78="I",35,""))))</f>
        <v/>
      </c>
      <c r="W78" s="145">
        <f>IF(AND(H78="L", V78&gt;=50%), "Pass",
IF(AND(H78="U", V78&gt;=60%), "Pass",
IF(AND(H78="O", V78&gt;=75%), "Pass", "Fail")))</f>
        <v/>
      </c>
      <c r="X78" s="145">
        <f>IF(AND(Q78="Pass", W78="Pass"), "Pass", "Fail")</f>
        <v/>
      </c>
      <c r="Y78" s="15">
        <f>IF($X78="Pass",$H78,
IF(H78="L","I",
IF(H78="U","L",
IF(H78="O","U",
"I"))))</f>
        <v/>
      </c>
      <c r="AA78">
        <f>VLOOKUP($B78,[1]Sheet1!$B:$B,1,0)</f>
        <v/>
      </c>
      <c r="AB78">
        <f>VLOOKUP($B78,'[3]Left Employee Report'!$D:$D,1,0)</f>
        <v/>
      </c>
    </row>
    <row r="79">
      <c r="A79" s="1">
        <f>ROW()-2</f>
        <v/>
      </c>
      <c r="B79" s="28" t="inlineStr">
        <is>
          <t>SK2907</t>
        </is>
      </c>
      <c r="C79" s="23" t="inlineStr">
        <is>
          <t>KOIL PANDI E</t>
        </is>
      </c>
      <c r="D79" s="23" t="inlineStr">
        <is>
          <t>PRODUCTION</t>
        </is>
      </c>
      <c r="E79" s="24" t="inlineStr">
        <is>
          <t>BIAS MARANGONI&amp;BESTRY</t>
        </is>
      </c>
      <c r="F79" s="29" t="n">
        <v>43691</v>
      </c>
      <c r="G79" s="30">
        <f>NOW()-F79</f>
        <v/>
      </c>
      <c r="H79" s="144" t="inlineStr">
        <is>
          <t>O</t>
        </is>
      </c>
      <c r="I79" s="144" t="inlineStr">
        <is>
          <t>U</t>
        </is>
      </c>
      <c r="J79" s="144" t="n"/>
      <c r="K79" s="144" t="n"/>
      <c r="L79" s="144" t="n"/>
      <c r="M79" s="144" t="n"/>
      <c r="N79" s="144" t="n"/>
      <c r="O79" s="104">
        <f>SUM(J79:N79)</f>
        <v/>
      </c>
      <c r="P79" s="12">
        <f>O79/IF(H79="L",20,IF(H79="U",30,IF(H79="O",40,IF(H79="I",20,""))))</f>
        <v/>
      </c>
      <c r="Q79" s="145">
        <f>IF(AND(H79="L", P79&gt;=50%), "Pass",
IF(AND(H79="U", P79&gt;=60%), "Pass",
IF(AND(H79="O", P79&gt;=75%), "Pass", "Fail")))</f>
        <v/>
      </c>
      <c r="R79" s="146" t="n"/>
      <c r="S79" s="146" t="n"/>
      <c r="T79" s="146" t="n"/>
      <c r="U79" s="104">
        <f>SUM(S79:T79)</f>
        <v/>
      </c>
      <c r="V79" s="12">
        <f>U79/IF(H79="L",35,IF(H79="U",35,IF(H79="O",35,IF(H79="I",35,""))))</f>
        <v/>
      </c>
      <c r="W79" s="145">
        <f>IF(AND(H79="L", V79&gt;=50%), "Pass",
IF(AND(H79="U", V79&gt;=60%), "Pass",
IF(AND(H79="O", V79&gt;=75%), "Pass", "Fail")))</f>
        <v/>
      </c>
      <c r="X79" s="145">
        <f>IF(AND(Q79="Pass", W79="Pass"), "Pass", "Fail")</f>
        <v/>
      </c>
      <c r="Y79" s="15">
        <f>IF($X79="Pass",$H79,
IF(H79="L","I",
IF(H79="U","L",
IF(H79="O","U",
"I"))))</f>
        <v/>
      </c>
      <c r="AA79">
        <f>VLOOKUP($B79,[1]Sheet1!$B:$B,1,0)</f>
        <v/>
      </c>
      <c r="AB79">
        <f>VLOOKUP($B79,'[3]Left Employee Report'!$D:$D,1,0)</f>
        <v/>
      </c>
    </row>
    <row r="80">
      <c r="A80" s="1">
        <f>ROW()-2</f>
        <v/>
      </c>
      <c r="B80" s="28" t="inlineStr">
        <is>
          <t>SK2925</t>
        </is>
      </c>
      <c r="C80" s="23" t="inlineStr">
        <is>
          <t>MATHIALAGAN A</t>
        </is>
      </c>
      <c r="D80" s="23" t="inlineStr">
        <is>
          <t>PRODUCTION</t>
        </is>
      </c>
      <c r="E80" s="24" t="inlineStr">
        <is>
          <t>BIAS MARANGONI&amp;BESTRY</t>
        </is>
      </c>
      <c r="F80" s="29" t="n">
        <v>43797</v>
      </c>
      <c r="G80" s="30">
        <f>NOW()-F80</f>
        <v/>
      </c>
      <c r="H80" s="144" t="inlineStr">
        <is>
          <t>O</t>
        </is>
      </c>
      <c r="I80" s="144" t="inlineStr">
        <is>
          <t>O</t>
        </is>
      </c>
      <c r="J80" s="144" t="n"/>
      <c r="K80" s="144" t="n"/>
      <c r="L80" s="144" t="n"/>
      <c r="M80" s="144" t="n"/>
      <c r="N80" s="144" t="n"/>
      <c r="O80" s="104">
        <f>SUM(J80:N80)</f>
        <v/>
      </c>
      <c r="P80" s="12">
        <f>O80/IF(H80="L",20,IF(H80="U",30,IF(H80="O",40,IF(H80="I",20,""))))</f>
        <v/>
      </c>
      <c r="Q80" s="145">
        <f>IF(AND(H80="L", P80&gt;=50%), "Pass",
IF(AND(H80="U", P80&gt;=60%), "Pass",
IF(AND(H80="O", P80&gt;=75%), "Pass", "Fail")))</f>
        <v/>
      </c>
      <c r="R80" s="146" t="n"/>
      <c r="S80" s="146" t="n"/>
      <c r="T80" s="146" t="n"/>
      <c r="U80" s="104">
        <f>SUM(S80:T80)</f>
        <v/>
      </c>
      <c r="V80" s="12">
        <f>U80/IF(H80="L",35,IF(H80="U",35,IF(H80="O",35,IF(H80="I",35,""))))</f>
        <v/>
      </c>
      <c r="W80" s="145">
        <f>IF(AND(H80="L", V80&gt;=50%), "Pass",
IF(AND(H80="U", V80&gt;=60%), "Pass",
IF(AND(H80="O", V80&gt;=75%), "Pass", "Fail")))</f>
        <v/>
      </c>
      <c r="X80" s="145">
        <f>IF(AND(Q80="Pass", W80="Pass"), "Pass", "Fail")</f>
        <v/>
      </c>
      <c r="Y80" s="15">
        <f>IF($X80="Pass",$H80,
IF(H80="L","I",
IF(H80="U","L",
IF(H80="O","U",
"I"))))</f>
        <v/>
      </c>
      <c r="AA80">
        <f>VLOOKUP($B80,[1]Sheet1!$B:$B,1,0)</f>
        <v/>
      </c>
      <c r="AB80">
        <f>VLOOKUP($B80,'[3]Left Employee Report'!$D:$D,1,0)</f>
        <v/>
      </c>
    </row>
    <row r="81">
      <c r="A81" s="1">
        <f>ROW()-2</f>
        <v/>
      </c>
      <c r="B81" s="28" t="inlineStr">
        <is>
          <t>SK2986</t>
        </is>
      </c>
      <c r="C81" s="23" t="inlineStr">
        <is>
          <t>RAMASAMY</t>
        </is>
      </c>
      <c r="D81" s="23" t="inlineStr">
        <is>
          <t>PRODUCTION</t>
        </is>
      </c>
      <c r="E81" s="24" t="inlineStr">
        <is>
          <t>BAND BUILDING-P1</t>
        </is>
      </c>
      <c r="F81" s="29" t="n">
        <v>43952</v>
      </c>
      <c r="G81" s="30">
        <f>NOW()-F81</f>
        <v/>
      </c>
      <c r="H81" s="144" t="inlineStr">
        <is>
          <t>O</t>
        </is>
      </c>
      <c r="I81" s="144" t="inlineStr">
        <is>
          <t>U</t>
        </is>
      </c>
      <c r="J81" s="144" t="n"/>
      <c r="K81" s="144" t="n"/>
      <c r="L81" s="144" t="n"/>
      <c r="M81" s="144" t="n"/>
      <c r="N81" s="144" t="n"/>
      <c r="O81" s="104">
        <f>SUM(J81:N81)</f>
        <v/>
      </c>
      <c r="P81" s="12">
        <f>O81/IF(H81="L",20,IF(H81="U",30,IF(H81="O",40,IF(H81="I",20,""))))</f>
        <v/>
      </c>
      <c r="Q81" s="145">
        <f>IF(AND(H81="L", P81&gt;=50%), "Pass",
IF(AND(H81="U", P81&gt;=60%), "Pass",
IF(AND(H81="O", P81&gt;=75%), "Pass", "Fail")))</f>
        <v/>
      </c>
      <c r="R81" s="146" t="n"/>
      <c r="S81" s="146" t="n"/>
      <c r="T81" s="146" t="n"/>
      <c r="U81" s="104">
        <f>SUM(S81:T81)</f>
        <v/>
      </c>
      <c r="V81" s="12">
        <f>U81/IF(H81="L",35,IF(H81="U",35,IF(H81="O",35,IF(H81="I",35,""))))</f>
        <v/>
      </c>
      <c r="W81" s="145">
        <f>IF(AND(H81="L", V81&gt;=50%), "Pass",
IF(AND(H81="U", V81&gt;=60%), "Pass",
IF(AND(H81="O", V81&gt;=75%), "Pass", "Fail")))</f>
        <v/>
      </c>
      <c r="X81" s="145">
        <f>IF(AND(Q81="Pass", W81="Pass"), "Pass", "Fail")</f>
        <v/>
      </c>
      <c r="Y81" s="15">
        <f>IF($X81="Pass",$H81,
IF(H81="L","I",
IF(H81="U","L",
IF(H81="O","U",
"I"))))</f>
        <v/>
      </c>
      <c r="AA81">
        <f>VLOOKUP($B81,[1]Sheet1!$B:$B,1,0)</f>
        <v/>
      </c>
      <c r="AB81">
        <f>VLOOKUP($B81,'[3]Left Employee Report'!$D:$D,1,0)</f>
        <v/>
      </c>
    </row>
    <row r="82">
      <c r="A82" s="1">
        <f>ROW()-2</f>
        <v/>
      </c>
      <c r="B82" s="28" t="inlineStr">
        <is>
          <t>SK2989</t>
        </is>
      </c>
      <c r="C82" s="23" t="inlineStr">
        <is>
          <t>MUTHAIAH A</t>
        </is>
      </c>
      <c r="D82" s="23" t="inlineStr">
        <is>
          <t>PRODUCTION</t>
        </is>
      </c>
      <c r="E82" s="24" t="inlineStr">
        <is>
          <t>BAND BUILDING-P1</t>
        </is>
      </c>
      <c r="F82" s="29" t="n">
        <v>43952</v>
      </c>
      <c r="G82" s="30">
        <f>NOW()-F82</f>
        <v/>
      </c>
      <c r="H82" s="144" t="inlineStr">
        <is>
          <t>O</t>
        </is>
      </c>
      <c r="I82" s="144" t="inlineStr">
        <is>
          <t>U</t>
        </is>
      </c>
      <c r="J82" s="144" t="n"/>
      <c r="K82" s="144" t="n"/>
      <c r="L82" s="144" t="n"/>
      <c r="M82" s="144" t="n"/>
      <c r="N82" s="144" t="n"/>
      <c r="O82" s="104">
        <f>SUM(J82:N82)</f>
        <v/>
      </c>
      <c r="P82" s="12">
        <f>O82/IF(H82="L",20,IF(H82="U",30,IF(H82="O",40,IF(H82="I",20,""))))</f>
        <v/>
      </c>
      <c r="Q82" s="145">
        <f>IF(AND(H82="L", P82&gt;=50%), "Pass",
IF(AND(H82="U", P82&gt;=60%), "Pass",
IF(AND(H82="O", P82&gt;=75%), "Pass", "Fail")))</f>
        <v/>
      </c>
      <c r="R82" s="146" t="n"/>
      <c r="S82" s="146" t="n"/>
      <c r="T82" s="146" t="n"/>
      <c r="U82" s="104">
        <f>SUM(S82:T82)</f>
        <v/>
      </c>
      <c r="V82" s="12">
        <f>U82/IF(H82="L",35,IF(H82="U",35,IF(H82="O",35,IF(H82="I",35,""))))</f>
        <v/>
      </c>
      <c r="W82" s="145">
        <f>IF(AND(H82="L", V82&gt;=50%), "Pass",
IF(AND(H82="U", V82&gt;=60%), "Pass",
IF(AND(H82="O", V82&gt;=75%), "Pass", "Fail")))</f>
        <v/>
      </c>
      <c r="X82" s="145">
        <f>IF(AND(Q82="Pass", W82="Pass"), "Pass", "Fail")</f>
        <v/>
      </c>
      <c r="Y82" s="15">
        <f>IF($X82="Pass",$H82,
IF(H82="L","I",
IF(H82="U","L",
IF(H82="O","U",
"I"))))</f>
        <v/>
      </c>
      <c r="AA82">
        <f>VLOOKUP($B82,[1]Sheet1!$B:$B,1,0)</f>
        <v/>
      </c>
      <c r="AB82">
        <f>VLOOKUP($B82,'[3]Left Employee Report'!$D:$D,1,0)</f>
        <v/>
      </c>
    </row>
    <row r="83">
      <c r="A83" s="1">
        <f>ROW()-2</f>
        <v/>
      </c>
      <c r="B83" s="28" t="inlineStr">
        <is>
          <t>SK2992</t>
        </is>
      </c>
      <c r="C83" s="23" t="inlineStr">
        <is>
          <t>KALANKARAIYAN</t>
        </is>
      </c>
      <c r="D83" s="23" t="inlineStr">
        <is>
          <t>PRODUCTION</t>
        </is>
      </c>
      <c r="E83" s="24" t="inlineStr">
        <is>
          <t>SLITTING</t>
        </is>
      </c>
      <c r="F83" s="29" t="n">
        <v>43952</v>
      </c>
      <c r="G83" s="30">
        <f>NOW()-F83</f>
        <v/>
      </c>
      <c r="H83" s="144" t="inlineStr">
        <is>
          <t>O</t>
        </is>
      </c>
      <c r="I83" s="144" t="inlineStr">
        <is>
          <t>U</t>
        </is>
      </c>
      <c r="J83" s="144" t="n"/>
      <c r="K83" s="144" t="n"/>
      <c r="L83" s="144" t="n"/>
      <c r="M83" s="144" t="n"/>
      <c r="N83" s="144" t="n"/>
      <c r="O83" s="104">
        <f>SUM(J83:N83)</f>
        <v/>
      </c>
      <c r="P83" s="12">
        <f>O83/IF(H83="L",20,IF(H83="U",30,IF(H83="O",40,IF(H83="I",20,""))))</f>
        <v/>
      </c>
      <c r="Q83" s="145">
        <f>IF(AND(H83="L", P83&gt;=50%), "Pass",
IF(AND(H83="U", P83&gt;=60%), "Pass",
IF(AND(H83="O", P83&gt;=75%), "Pass", "Fail")))</f>
        <v/>
      </c>
      <c r="R83" s="146" t="n"/>
      <c r="S83" s="146" t="n"/>
      <c r="T83" s="146" t="n"/>
      <c r="U83" s="104">
        <f>SUM(S83:T83)</f>
        <v/>
      </c>
      <c r="V83" s="12">
        <f>U83/IF(H83="L",35,IF(H83="U",35,IF(H83="O",35,IF(H83="I",35,""))))</f>
        <v/>
      </c>
      <c r="W83" s="145">
        <f>IF(AND(H83="L", V83&gt;=50%), "Pass",
IF(AND(H83="U", V83&gt;=60%), "Pass",
IF(AND(H83="O", V83&gt;=75%), "Pass", "Fail")))</f>
        <v/>
      </c>
      <c r="X83" s="145">
        <f>IF(AND(Q83="Pass", W83="Pass"), "Pass", "Fail")</f>
        <v/>
      </c>
      <c r="Y83" s="15">
        <f>IF($X83="Pass",$H83,
IF(H83="L","I",
IF(H83="U","L",
IF(H83="O","U",
"I"))))</f>
        <v/>
      </c>
      <c r="AA83">
        <f>VLOOKUP($B83,[1]Sheet1!$B:$B,1,0)</f>
        <v/>
      </c>
      <c r="AB83">
        <f>VLOOKUP($B83,'[3]Left Employee Report'!$D:$D,1,0)</f>
        <v/>
      </c>
    </row>
    <row r="84">
      <c r="A84" s="1">
        <f>ROW()-2</f>
        <v/>
      </c>
      <c r="B84" s="28" t="inlineStr">
        <is>
          <t>SK3136</t>
        </is>
      </c>
      <c r="C84" s="23" t="inlineStr">
        <is>
          <t>S SOKESH</t>
        </is>
      </c>
      <c r="D84" s="23" t="inlineStr">
        <is>
          <t>PRODUCTION</t>
        </is>
      </c>
      <c r="E84" s="24" t="inlineStr">
        <is>
          <t>BIAS MARANGONI&amp;BESTRY</t>
        </is>
      </c>
      <c r="F84" s="29" t="n">
        <v>44220</v>
      </c>
      <c r="G84" s="30">
        <f>NOW()-F84</f>
        <v/>
      </c>
      <c r="H84" s="144" t="inlineStr">
        <is>
          <t>O</t>
        </is>
      </c>
      <c r="I84" s="144" t="inlineStr">
        <is>
          <t>U</t>
        </is>
      </c>
      <c r="J84" s="144" t="n"/>
      <c r="K84" s="144" t="n"/>
      <c r="L84" s="144" t="n"/>
      <c r="M84" s="144" t="n"/>
      <c r="N84" s="144" t="n"/>
      <c r="O84" s="104">
        <f>SUM(J84:N84)</f>
        <v/>
      </c>
      <c r="P84" s="12">
        <f>O84/IF(H84="L",20,IF(H84="U",30,IF(H84="O",40,IF(H84="I",20,""))))</f>
        <v/>
      </c>
      <c r="Q84" s="145">
        <f>IF(AND(H84="L", P84&gt;=50%), "Pass",
IF(AND(H84="U", P84&gt;=60%), "Pass",
IF(AND(H84="O", P84&gt;=75%), "Pass", "Fail")))</f>
        <v/>
      </c>
      <c r="R84" s="146" t="n"/>
      <c r="S84" s="146" t="n"/>
      <c r="T84" s="146" t="n"/>
      <c r="U84" s="104">
        <f>SUM(S84:T84)</f>
        <v/>
      </c>
      <c r="V84" s="12">
        <f>U84/IF(H84="L",35,IF(H84="U",35,IF(H84="O",35,IF(H84="I",35,""))))</f>
        <v/>
      </c>
      <c r="W84" s="145">
        <f>IF(AND(H84="L", V84&gt;=50%), "Pass",
IF(AND(H84="U", V84&gt;=60%), "Pass",
IF(AND(H84="O", V84&gt;=75%), "Pass", "Fail")))</f>
        <v/>
      </c>
      <c r="X84" s="145">
        <f>IF(AND(Q84="Pass", W84="Pass"), "Pass", "Fail")</f>
        <v/>
      </c>
      <c r="Y84" s="15">
        <f>IF($X84="Pass",$H84,
IF(H84="L","I",
IF(H84="U","L",
IF(H84="O","U",
"I"))))</f>
        <v/>
      </c>
      <c r="AA84">
        <f>VLOOKUP($B84,[1]Sheet1!$B:$B,1,0)</f>
        <v/>
      </c>
      <c r="AB84">
        <f>VLOOKUP($B84,'[3]Left Employee Report'!$D:$D,1,0)</f>
        <v/>
      </c>
    </row>
    <row r="85">
      <c r="A85" s="1">
        <f>ROW()-2</f>
        <v/>
      </c>
      <c r="B85" s="28" t="inlineStr">
        <is>
          <t>SK3274</t>
        </is>
      </c>
      <c r="C85" s="23" t="inlineStr">
        <is>
          <t>GANESAN M</t>
        </is>
      </c>
      <c r="D85" s="23" t="inlineStr">
        <is>
          <t>PRODUCTION</t>
        </is>
      </c>
      <c r="E85" s="24" t="inlineStr">
        <is>
          <t>BAND BUILDING-P1</t>
        </is>
      </c>
      <c r="F85" s="29" t="n">
        <v>44462</v>
      </c>
      <c r="G85" s="30">
        <f>NOW()-F85</f>
        <v/>
      </c>
      <c r="H85" s="144" t="inlineStr">
        <is>
          <t>U</t>
        </is>
      </c>
      <c r="I85" s="144" t="inlineStr">
        <is>
          <t>U</t>
        </is>
      </c>
      <c r="J85" s="144" t="n"/>
      <c r="K85" s="144" t="n"/>
      <c r="L85" s="144" t="n"/>
      <c r="M85" s="144" t="n"/>
      <c r="N85" s="144" t="n"/>
      <c r="O85" s="104">
        <f>SUM(J85:N85)</f>
        <v/>
      </c>
      <c r="P85" s="12">
        <f>O85/IF(H85="L",20,IF(H85="U",30,IF(H85="O",40,IF(H85="I",20,""))))</f>
        <v/>
      </c>
      <c r="Q85" s="145">
        <f>IF(AND(H85="L", P85&gt;=50%), "Pass",
IF(AND(H85="U", P85&gt;=60%), "Pass",
IF(AND(H85="O", P85&gt;=75%), "Pass", "Fail")))</f>
        <v/>
      </c>
      <c r="R85" s="146" t="n"/>
      <c r="S85" s="146" t="n"/>
      <c r="T85" s="146" t="n"/>
      <c r="U85" s="104">
        <f>SUM(S85:T85)</f>
        <v/>
      </c>
      <c r="V85" s="12">
        <f>U85/IF(H85="L",35,IF(H85="U",35,IF(H85="O",35,IF(H85="I",35,""))))</f>
        <v/>
      </c>
      <c r="W85" s="145">
        <f>IF(AND(H85="L", V85&gt;=50%), "Pass",
IF(AND(H85="U", V85&gt;=60%), "Pass",
IF(AND(H85="O", V85&gt;=75%), "Pass", "Fail")))</f>
        <v/>
      </c>
      <c r="X85" s="145">
        <f>IF(AND(Q85="Pass", W85="Pass"), "Pass", "Fail")</f>
        <v/>
      </c>
      <c r="Y85" s="15">
        <f>IF($X85="Pass",$H85,
IF(H85="L","I",
IF(H85="U","L",
IF(H85="O","U",
"I"))))</f>
        <v/>
      </c>
      <c r="AA85">
        <f>VLOOKUP($B85,[1]Sheet1!$B:$B,1,0)</f>
        <v/>
      </c>
      <c r="AB85">
        <f>VLOOKUP($B85,'[3]Left Employee Report'!$D:$D,1,0)</f>
        <v/>
      </c>
    </row>
    <row r="86">
      <c r="A86" s="1">
        <f>ROW()-2</f>
        <v/>
      </c>
      <c r="B86" s="28" t="inlineStr">
        <is>
          <t>SK3329</t>
        </is>
      </c>
      <c r="C86" s="23" t="inlineStr">
        <is>
          <t>JEYA PRAKASH M</t>
        </is>
      </c>
      <c r="D86" s="23" t="inlineStr">
        <is>
          <t>PRODUCTION</t>
        </is>
      </c>
      <c r="E86" s="24" t="inlineStr">
        <is>
          <t>TYRE BUILDING-P1</t>
        </is>
      </c>
      <c r="F86" s="29" t="n">
        <v>44581</v>
      </c>
      <c r="G86" s="30">
        <f>NOW()-F86</f>
        <v/>
      </c>
      <c r="H86" s="144" t="inlineStr">
        <is>
          <t>U</t>
        </is>
      </c>
      <c r="I86" s="144" t="inlineStr">
        <is>
          <t>U</t>
        </is>
      </c>
      <c r="J86" s="144" t="n"/>
      <c r="K86" s="144" t="n"/>
      <c r="L86" s="144" t="n"/>
      <c r="M86" s="144" t="n"/>
      <c r="N86" s="144" t="n"/>
      <c r="O86" s="104">
        <f>SUM(J86:N86)</f>
        <v/>
      </c>
      <c r="P86" s="12">
        <f>O86/IF(H86="L",20,IF(H86="U",30,IF(H86="O",40,IF(H86="I",20,""))))</f>
        <v/>
      </c>
      <c r="Q86" s="145">
        <f>IF(AND(H86="L", P86&gt;=50%), "Pass",
IF(AND(H86="U", P86&gt;=60%), "Pass",
IF(AND(H86="O", P86&gt;=75%), "Pass", "Fail")))</f>
        <v/>
      </c>
      <c r="R86" s="146" t="n"/>
      <c r="S86" s="146" t="n"/>
      <c r="T86" s="146" t="n"/>
      <c r="U86" s="104">
        <f>SUM(S86:T86)</f>
        <v/>
      </c>
      <c r="V86" s="12">
        <f>U86/IF(H86="L",35,IF(H86="U",35,IF(H86="O",35,IF(H86="I",35,""))))</f>
        <v/>
      </c>
      <c r="W86" s="145">
        <f>IF(AND(H86="L", V86&gt;=50%), "Pass",
IF(AND(H86="U", V86&gt;=60%), "Pass",
IF(AND(H86="O", V86&gt;=75%), "Pass", "Fail")))</f>
        <v/>
      </c>
      <c r="X86" s="145">
        <f>IF(AND(Q86="Pass", W86="Pass"), "Pass", "Fail")</f>
        <v/>
      </c>
      <c r="Y86" s="15">
        <f>IF($X86="Pass",$H86,
IF(H86="L","I",
IF(H86="U","L",
IF(H86="O","U",
"I"))))</f>
        <v/>
      </c>
      <c r="AA86">
        <f>VLOOKUP($B86,[1]Sheet1!$B:$B,1,0)</f>
        <v/>
      </c>
      <c r="AB86">
        <f>VLOOKUP($B86,'[3]Left Employee Report'!$D:$D,1,0)</f>
        <v/>
      </c>
    </row>
    <row r="87">
      <c r="A87" s="1">
        <f>ROW()-2</f>
        <v/>
      </c>
      <c r="B87" s="28" t="inlineStr">
        <is>
          <t>SK3561</t>
        </is>
      </c>
      <c r="C87" s="23" t="inlineStr">
        <is>
          <t>SUNIL ORAON</t>
        </is>
      </c>
      <c r="D87" s="23" t="inlineStr">
        <is>
          <t>PRODUCTION</t>
        </is>
      </c>
      <c r="E87" s="24" t="inlineStr">
        <is>
          <t>TYRE BUILDING-P2</t>
        </is>
      </c>
      <c r="F87" s="29" t="n">
        <v>45467</v>
      </c>
      <c r="G87" s="30">
        <f>NOW()-F87</f>
        <v/>
      </c>
      <c r="H87" s="144" t="inlineStr">
        <is>
          <t>L</t>
        </is>
      </c>
      <c r="I87" s="144" t="inlineStr">
        <is>
          <t>I</t>
        </is>
      </c>
      <c r="J87" s="144" t="n"/>
      <c r="K87" s="144" t="n"/>
      <c r="L87" s="144" t="n"/>
      <c r="M87" s="144" t="n"/>
      <c r="N87" s="144" t="n"/>
      <c r="O87" s="104">
        <f>SUM(J87:N87)</f>
        <v/>
      </c>
      <c r="P87" s="12">
        <f>O87/IF(H87="L",20,IF(H87="U",30,IF(H87="O",40,IF(H87="I",20,""))))</f>
        <v/>
      </c>
      <c r="Q87" s="145">
        <f>IF(AND(H87="L", P87&gt;=50%), "Pass",
IF(AND(H87="U", P87&gt;=60%), "Pass",
IF(AND(H87="O", P87&gt;=75%), "Pass", "Fail")))</f>
        <v/>
      </c>
      <c r="R87" s="146" t="n"/>
      <c r="S87" s="146" t="n"/>
      <c r="T87" s="146" t="n"/>
      <c r="U87" s="104">
        <f>SUM(S87:T87)</f>
        <v/>
      </c>
      <c r="V87" s="12">
        <f>U87/IF(H87="L",35,IF(H87="U",35,IF(H87="O",35,IF(H87="I",35,""))))</f>
        <v/>
      </c>
      <c r="W87" s="145">
        <f>IF(AND(H87="L", V87&gt;=50%), "Pass",
IF(AND(H87="U", V87&gt;=60%), "Pass",
IF(AND(H87="O", V87&gt;=75%), "Pass", "Fail")))</f>
        <v/>
      </c>
      <c r="X87" s="145">
        <f>IF(AND(Q87="Pass", W87="Pass"), "Pass", "Fail")</f>
        <v/>
      </c>
      <c r="Y87" s="15">
        <f>IF($X87="Pass",$H87,
IF(H87="L","I",
IF(H87="U","L",
IF(H87="O","U",
"I"))))</f>
        <v/>
      </c>
      <c r="AA87">
        <f>VLOOKUP($B87,[1]Sheet1!$B:$B,1,0)</f>
        <v/>
      </c>
      <c r="AB87">
        <f>VLOOKUP($B87,'[3]Left Employee Report'!$D:$D,1,0)</f>
        <v/>
      </c>
    </row>
    <row r="88">
      <c r="A88" s="1">
        <f>ROW()-2</f>
        <v/>
      </c>
      <c r="B88" s="28" t="inlineStr">
        <is>
          <t>SK3580</t>
        </is>
      </c>
      <c r="C88" s="23" t="inlineStr">
        <is>
          <t>RAKESH ORAON</t>
        </is>
      </c>
      <c r="D88" s="23" t="inlineStr">
        <is>
          <t>PRODUCTION</t>
        </is>
      </c>
      <c r="E88" s="24" t="inlineStr">
        <is>
          <t>TYRE BUILDING-P2</t>
        </is>
      </c>
      <c r="F88" s="29" t="n">
        <v>45678</v>
      </c>
      <c r="G88" s="30">
        <f>NOW()-F88</f>
        <v/>
      </c>
      <c r="H88" s="144" t="inlineStr">
        <is>
          <t>L</t>
        </is>
      </c>
      <c r="I88" s="144" t="inlineStr">
        <is>
          <t>I</t>
        </is>
      </c>
      <c r="J88" s="144" t="n"/>
      <c r="K88" s="144" t="n"/>
      <c r="L88" s="144" t="n"/>
      <c r="M88" s="144" t="n"/>
      <c r="N88" s="144" t="n"/>
      <c r="O88" s="104">
        <f>SUM(J88:N88)</f>
        <v/>
      </c>
      <c r="P88" s="12">
        <f>O88/IF(H88="L",20,IF(H88="U",30,IF(H88="O",40,IF(H88="I",20,""))))</f>
        <v/>
      </c>
      <c r="Q88" s="145">
        <f>IF(AND(H88="L", P88&gt;=50%), "Pass",
IF(AND(H88="U", P88&gt;=60%), "Pass",
IF(AND(H88="O", P88&gt;=75%), "Pass", "Fail")))</f>
        <v/>
      </c>
      <c r="R88" s="146" t="n"/>
      <c r="S88" s="146" t="n"/>
      <c r="T88" s="146" t="n"/>
      <c r="U88" s="104">
        <f>SUM(S88:T88)</f>
        <v/>
      </c>
      <c r="V88" s="12">
        <f>U88/IF(H88="L",35,IF(H88="U",35,IF(H88="O",35,IF(H88="I",35,""))))</f>
        <v/>
      </c>
      <c r="W88" s="145">
        <f>IF(AND(H88="L", V88&gt;=50%), "Pass",
IF(AND(H88="U", V88&gt;=60%), "Pass",
IF(AND(H88="O", V88&gt;=75%), "Pass", "Fail")))</f>
        <v/>
      </c>
      <c r="X88" s="145">
        <f>IF(AND(Q88="Pass", W88="Pass"), "Pass", "Fail")</f>
        <v/>
      </c>
      <c r="Y88" s="15">
        <f>IF($X88="Pass",$H88,
IF(H88="L","I",
IF(H88="U","L",
IF(H88="O","U",
"I"))))</f>
        <v/>
      </c>
      <c r="AA88">
        <f>VLOOKUP($B88,[1]Sheet1!$B:$B,1,0)</f>
        <v/>
      </c>
      <c r="AB88">
        <f>VLOOKUP($B88,'[3]Left Employee Report'!$D:$D,1,0)</f>
        <v/>
      </c>
    </row>
    <row r="89">
      <c r="A89" s="1">
        <f>ROW()-2</f>
        <v/>
      </c>
      <c r="B89" s="28" t="inlineStr">
        <is>
          <t>SK3581</t>
        </is>
      </c>
      <c r="C89" s="23" t="inlineStr">
        <is>
          <t>CHANDAR ORAON</t>
        </is>
      </c>
      <c r="D89" s="23" t="inlineStr">
        <is>
          <t>PRODUCTION</t>
        </is>
      </c>
      <c r="E89" s="24" t="inlineStr">
        <is>
          <t>TYRE BUILDING-P2</t>
        </is>
      </c>
      <c r="F89" s="29" t="n">
        <v>45678</v>
      </c>
      <c r="G89" s="30">
        <f>NOW()-F89</f>
        <v/>
      </c>
      <c r="H89" s="144" t="inlineStr">
        <is>
          <t>L</t>
        </is>
      </c>
      <c r="I89" s="144" t="inlineStr">
        <is>
          <t>I</t>
        </is>
      </c>
      <c r="J89" s="144" t="n"/>
      <c r="K89" s="144" t="n"/>
      <c r="L89" s="144" t="n"/>
      <c r="M89" s="144" t="n"/>
      <c r="N89" s="144" t="n"/>
      <c r="O89" s="104">
        <f>SUM(J89:N89)</f>
        <v/>
      </c>
      <c r="P89" s="12">
        <f>O89/IF(H89="L",20,IF(H89="U",30,IF(H89="O",40,IF(H89="I",20,""))))</f>
        <v/>
      </c>
      <c r="Q89" s="145">
        <f>IF(AND(H89="L", P89&gt;=50%), "Pass",
IF(AND(H89="U", P89&gt;=60%), "Pass",
IF(AND(H89="O", P89&gt;=75%), "Pass", "Fail")))</f>
        <v/>
      </c>
      <c r="R89" s="146" t="n"/>
      <c r="S89" s="146" t="n"/>
      <c r="T89" s="146" t="n"/>
      <c r="U89" s="104">
        <f>SUM(S89:T89)</f>
        <v/>
      </c>
      <c r="V89" s="12">
        <f>U89/IF(H89="L",35,IF(H89="U",35,IF(H89="O",35,IF(H89="I",35,""))))</f>
        <v/>
      </c>
      <c r="W89" s="145">
        <f>IF(AND(H89="L", V89&gt;=50%), "Pass",
IF(AND(H89="U", V89&gt;=60%), "Pass",
IF(AND(H89="O", V89&gt;=75%), "Pass", "Fail")))</f>
        <v/>
      </c>
      <c r="X89" s="145">
        <f>IF(AND(Q89="Pass", W89="Pass"), "Pass", "Fail")</f>
        <v/>
      </c>
      <c r="Y89" s="15">
        <f>IF($X89="Pass",$H89,
IF(H89="L","I",
IF(H89="U","L",
IF(H89="O","U",
"I"))))</f>
        <v/>
      </c>
      <c r="AA89">
        <f>VLOOKUP($B89,[1]Sheet1!$B:$B,1,0)</f>
        <v/>
      </c>
      <c r="AB89">
        <f>VLOOKUP($B89,'[3]Left Employee Report'!$D:$D,1,0)</f>
        <v/>
      </c>
    </row>
    <row r="90">
      <c r="A90" s="1">
        <f>ROW()-2</f>
        <v/>
      </c>
      <c r="B90" s="28" t="inlineStr">
        <is>
          <t>SK3583</t>
        </is>
      </c>
      <c r="C90" s="23" t="inlineStr">
        <is>
          <t>PAWAN ORAON</t>
        </is>
      </c>
      <c r="D90" s="23" t="inlineStr">
        <is>
          <t>PRODUCTION</t>
        </is>
      </c>
      <c r="E90" s="24" t="inlineStr">
        <is>
          <t>TYRE BUILDING-P2</t>
        </is>
      </c>
      <c r="F90" s="29" t="n">
        <v>45678</v>
      </c>
      <c r="G90" s="30">
        <f>NOW()-F90</f>
        <v/>
      </c>
      <c r="H90" s="144" t="inlineStr">
        <is>
          <t>L</t>
        </is>
      </c>
      <c r="I90" s="144" t="inlineStr">
        <is>
          <t>I</t>
        </is>
      </c>
      <c r="J90" s="144" t="n"/>
      <c r="K90" s="144" t="n"/>
      <c r="L90" s="144" t="n"/>
      <c r="M90" s="144" t="n"/>
      <c r="N90" s="144" t="n"/>
      <c r="O90" s="104">
        <f>SUM(J90:N90)</f>
        <v/>
      </c>
      <c r="P90" s="12">
        <f>O90/IF(H90="L",20,IF(H90="U",30,IF(H90="O",40,IF(H90="I",20,""))))</f>
        <v/>
      </c>
      <c r="Q90" s="145">
        <f>IF(AND(H90="L", P90&gt;=50%), "Pass",
IF(AND(H90="U", P90&gt;=60%), "Pass",
IF(AND(H90="O", P90&gt;=75%), "Pass", "Fail")))</f>
        <v/>
      </c>
      <c r="R90" s="146" t="n"/>
      <c r="S90" s="146" t="n"/>
      <c r="T90" s="146" t="n"/>
      <c r="U90" s="104">
        <f>SUM(S90:T90)</f>
        <v/>
      </c>
      <c r="V90" s="12">
        <f>U90/IF(H90="L",35,IF(H90="U",35,IF(H90="O",35,IF(H90="I",35,""))))</f>
        <v/>
      </c>
      <c r="W90" s="145">
        <f>IF(AND(H90="L", V90&gt;=50%), "Pass",
IF(AND(H90="U", V90&gt;=60%), "Pass",
IF(AND(H90="O", V90&gt;=75%), "Pass", "Fail")))</f>
        <v/>
      </c>
      <c r="X90" s="145">
        <f>IF(AND(Q90="Pass", W90="Pass"), "Pass", "Fail")</f>
        <v/>
      </c>
      <c r="Y90" s="15">
        <f>IF($X90="Pass",$H90,
IF(H90="L","I",
IF(H90="U","L",
IF(H90="O","U",
"I"))))</f>
        <v/>
      </c>
      <c r="AA90">
        <f>VLOOKUP($B90,[1]Sheet1!$B:$B,1,0)</f>
        <v/>
      </c>
      <c r="AB90">
        <f>VLOOKUP($B90,'[3]Left Employee Report'!$D:$D,1,0)</f>
        <v/>
      </c>
    </row>
    <row r="91">
      <c r="A91" s="1">
        <f>ROW()-2</f>
        <v/>
      </c>
      <c r="B91" s="28" t="inlineStr">
        <is>
          <t>SK3589</t>
        </is>
      </c>
      <c r="C91" s="23" t="inlineStr">
        <is>
          <t>SUDALI M</t>
        </is>
      </c>
      <c r="D91" s="23" t="inlineStr">
        <is>
          <t>PRODUCTION</t>
        </is>
      </c>
      <c r="E91" s="24" t="inlineStr">
        <is>
          <t>TYRE BUILDING-P1</t>
        </is>
      </c>
      <c r="F91" s="29" t="n">
        <v>45684</v>
      </c>
      <c r="G91" s="30">
        <f>NOW()-F91</f>
        <v/>
      </c>
      <c r="H91" s="144" t="inlineStr">
        <is>
          <t>L</t>
        </is>
      </c>
      <c r="I91" s="144" t="inlineStr">
        <is>
          <t>L</t>
        </is>
      </c>
      <c r="J91" s="144" t="n"/>
      <c r="K91" s="144" t="n"/>
      <c r="L91" s="144" t="n"/>
      <c r="M91" s="144" t="n"/>
      <c r="N91" s="144" t="n"/>
      <c r="O91" s="104">
        <f>SUM(J91:N91)</f>
        <v/>
      </c>
      <c r="P91" s="12">
        <f>O91/IF(H91="L",20,IF(H91="U",30,IF(H91="O",40,IF(H91="I",20,""))))</f>
        <v/>
      </c>
      <c r="Q91" s="145">
        <f>IF(AND(H91="L", P91&gt;=50%), "Pass",
IF(AND(H91="U", P91&gt;=60%), "Pass",
IF(AND(H91="O", P91&gt;=75%), "Pass", "Fail")))</f>
        <v/>
      </c>
      <c r="R91" s="146" t="n"/>
      <c r="S91" s="146" t="n"/>
      <c r="T91" s="146" t="n"/>
      <c r="U91" s="104">
        <f>SUM(S91:T91)</f>
        <v/>
      </c>
      <c r="V91" s="12">
        <f>U91/IF(H91="L",35,IF(H91="U",35,IF(H91="O",35,IF(H91="I",35,""))))</f>
        <v/>
      </c>
      <c r="W91" s="145">
        <f>IF(AND(H91="L", V91&gt;=50%), "Pass",
IF(AND(H91="U", V91&gt;=60%), "Pass",
IF(AND(H91="O", V91&gt;=75%), "Pass", "Fail")))</f>
        <v/>
      </c>
      <c r="X91" s="145">
        <f>IF(AND(Q91="Pass", W91="Pass"), "Pass", "Fail")</f>
        <v/>
      </c>
      <c r="Y91" s="15">
        <f>IF($X91="Pass",$H91,
IF(H91="L","I",
IF(H91="U","L",
IF(H91="O","U",
"I"))))</f>
        <v/>
      </c>
      <c r="AA91">
        <f>VLOOKUP($B91,[1]Sheet1!$B:$B,1,0)</f>
        <v/>
      </c>
      <c r="AB91">
        <f>VLOOKUP($B91,'[3]Left Employee Report'!$D:$D,1,0)</f>
        <v/>
      </c>
    </row>
    <row r="92">
      <c r="A92" s="1">
        <f>ROW()-2</f>
        <v/>
      </c>
      <c r="B92" s="28" t="inlineStr">
        <is>
          <t>SK3596</t>
        </is>
      </c>
      <c r="C92" s="23" t="inlineStr">
        <is>
          <t>SUKHRAM ORAON</t>
        </is>
      </c>
      <c r="D92" s="23" t="inlineStr">
        <is>
          <t>PRODUCTION</t>
        </is>
      </c>
      <c r="E92" s="24" t="inlineStr">
        <is>
          <t>TYRE BUILDING-P2</t>
        </is>
      </c>
      <c r="F92" s="29" t="n">
        <v>45684</v>
      </c>
      <c r="G92" s="30">
        <f>NOW()-F92</f>
        <v/>
      </c>
      <c r="H92" s="144" t="inlineStr">
        <is>
          <t>L</t>
        </is>
      </c>
      <c r="I92" s="144" t="inlineStr">
        <is>
          <t>I</t>
        </is>
      </c>
      <c r="J92" s="144" t="n"/>
      <c r="K92" s="144" t="n"/>
      <c r="L92" s="144" t="n"/>
      <c r="M92" s="144" t="n"/>
      <c r="N92" s="144" t="n"/>
      <c r="O92" s="104">
        <f>SUM(J92:N92)</f>
        <v/>
      </c>
      <c r="P92" s="12">
        <f>O92/IF(H92="L",20,IF(H92="U",30,IF(H92="O",40,IF(H92="I",20,""))))</f>
        <v/>
      </c>
      <c r="Q92" s="145">
        <f>IF(AND(H92="L", P92&gt;=50%), "Pass",
IF(AND(H92="U", P92&gt;=60%), "Pass",
IF(AND(H92="O", P92&gt;=75%), "Pass", "Fail")))</f>
        <v/>
      </c>
      <c r="R92" s="146" t="n"/>
      <c r="S92" s="146" t="n"/>
      <c r="T92" s="146" t="n"/>
      <c r="U92" s="104">
        <f>SUM(S92:T92)</f>
        <v/>
      </c>
      <c r="V92" s="12">
        <f>U92/IF(H92="L",35,IF(H92="U",35,IF(H92="O",35,IF(H92="I",35,""))))</f>
        <v/>
      </c>
      <c r="W92" s="145">
        <f>IF(AND(H92="L", V92&gt;=50%), "Pass",
IF(AND(H92="U", V92&gt;=60%), "Pass",
IF(AND(H92="O", V92&gt;=75%), "Pass", "Fail")))</f>
        <v/>
      </c>
      <c r="X92" s="145">
        <f>IF(AND(Q92="Pass", W92="Pass"), "Pass", "Fail")</f>
        <v/>
      </c>
      <c r="Y92" s="15">
        <f>IF($X92="Pass",$H92,
IF(H92="L","I",
IF(H92="U","L",
IF(H92="O","U",
"I"))))</f>
        <v/>
      </c>
      <c r="AA92">
        <f>VLOOKUP($B92,[1]Sheet1!$B:$B,1,0)</f>
        <v/>
      </c>
      <c r="AB92">
        <f>VLOOKUP($B92,'[3]Left Employee Report'!$D:$D,1,0)</f>
        <v/>
      </c>
    </row>
    <row r="93">
      <c r="A93" s="1">
        <f>ROW()-2</f>
        <v/>
      </c>
      <c r="B93" s="28" t="inlineStr">
        <is>
          <t>SK3611</t>
        </is>
      </c>
      <c r="C93" s="23" t="inlineStr">
        <is>
          <t>BASANT ORAON</t>
        </is>
      </c>
      <c r="D93" s="23" t="inlineStr">
        <is>
          <t>PRODUCTION</t>
        </is>
      </c>
      <c r="E93" s="24" t="inlineStr">
        <is>
          <t>TYRE BUILDING-P2</t>
        </is>
      </c>
      <c r="F93" s="29" t="n">
        <v>45686</v>
      </c>
      <c r="G93" s="30">
        <f>NOW()-F93</f>
        <v/>
      </c>
      <c r="H93" s="144" t="inlineStr">
        <is>
          <t>L</t>
        </is>
      </c>
      <c r="I93" s="144" t="inlineStr">
        <is>
          <t>I</t>
        </is>
      </c>
      <c r="J93" s="144" t="n"/>
      <c r="K93" s="144" t="n"/>
      <c r="L93" s="144" t="n"/>
      <c r="M93" s="144" t="n"/>
      <c r="N93" s="144" t="n"/>
      <c r="O93" s="104">
        <f>SUM(J93:N93)</f>
        <v/>
      </c>
      <c r="P93" s="12">
        <f>O93/IF(H93="L",20,IF(H93="U",30,IF(H93="O",40,IF(H93="I",20,""))))</f>
        <v/>
      </c>
      <c r="Q93" s="145">
        <f>IF(AND(H93="L", P93&gt;=50%), "Pass",
IF(AND(H93="U", P93&gt;=60%), "Pass",
IF(AND(H93="O", P93&gt;=75%), "Pass", "Fail")))</f>
        <v/>
      </c>
      <c r="R93" s="146" t="n"/>
      <c r="S93" s="146" t="n"/>
      <c r="T93" s="146" t="n"/>
      <c r="U93" s="104">
        <f>SUM(S93:T93)</f>
        <v/>
      </c>
      <c r="V93" s="12">
        <f>U93/IF(H93="L",35,IF(H93="U",35,IF(H93="O",35,IF(H93="I",35,""))))</f>
        <v/>
      </c>
      <c r="W93" s="145">
        <f>IF(AND(H93="L", V93&gt;=50%), "Pass",
IF(AND(H93="U", V93&gt;=60%), "Pass",
IF(AND(H93="O", V93&gt;=75%), "Pass", "Fail")))</f>
        <v/>
      </c>
      <c r="X93" s="145">
        <f>IF(AND(Q93="Pass", W93="Pass"), "Pass", "Fail")</f>
        <v/>
      </c>
      <c r="Y93" s="15">
        <f>IF($X93="Pass",$H93,
IF(H93="L","I",
IF(H93="U","L",
IF(H93="O","U",
"I"))))</f>
        <v/>
      </c>
      <c r="AA93">
        <f>VLOOKUP($B93,[1]Sheet1!$B:$B,1,0)</f>
        <v/>
      </c>
      <c r="AB93">
        <f>VLOOKUP($B93,'[3]Left Employee Report'!$D:$D,1,0)</f>
        <v/>
      </c>
    </row>
    <row r="94">
      <c r="A94" s="1">
        <f>ROW()-2</f>
        <v/>
      </c>
      <c r="B94" s="28" t="inlineStr">
        <is>
          <t>SK3612</t>
        </is>
      </c>
      <c r="C94" s="23" t="inlineStr">
        <is>
          <t>MAHADEV ORAON</t>
        </is>
      </c>
      <c r="D94" s="23" t="inlineStr">
        <is>
          <t>PRODUCTION</t>
        </is>
      </c>
      <c r="E94" s="24" t="inlineStr">
        <is>
          <t>TYRE BUILDING-P2</t>
        </is>
      </c>
      <c r="F94" s="29" t="n">
        <v>45686</v>
      </c>
      <c r="G94" s="30">
        <f>NOW()-F94</f>
        <v/>
      </c>
      <c r="H94" s="144" t="inlineStr">
        <is>
          <t>L</t>
        </is>
      </c>
      <c r="I94" s="144" t="inlineStr">
        <is>
          <t>I</t>
        </is>
      </c>
      <c r="J94" s="144" t="n"/>
      <c r="K94" s="144" t="n"/>
      <c r="L94" s="144" t="n"/>
      <c r="M94" s="144" t="n"/>
      <c r="N94" s="144" t="n"/>
      <c r="O94" s="104">
        <f>SUM(J94:N94)</f>
        <v/>
      </c>
      <c r="P94" s="12">
        <f>O94/IF(H94="L",20,IF(H94="U",30,IF(H94="O",40,IF(H94="I",20,""))))</f>
        <v/>
      </c>
      <c r="Q94" s="145">
        <f>IF(AND(H94="L", P94&gt;=50%), "Pass",
IF(AND(H94="U", P94&gt;=60%), "Pass",
IF(AND(H94="O", P94&gt;=75%), "Pass", "Fail")))</f>
        <v/>
      </c>
      <c r="R94" s="146" t="n"/>
      <c r="S94" s="146" t="n"/>
      <c r="T94" s="146" t="n"/>
      <c r="U94" s="104">
        <f>SUM(S94:T94)</f>
        <v/>
      </c>
      <c r="V94" s="12">
        <f>U94/IF(H94="L",35,IF(H94="U",35,IF(H94="O",35,IF(H94="I",35,""))))</f>
        <v/>
      </c>
      <c r="W94" s="145">
        <f>IF(AND(H94="L", V94&gt;=50%), "Pass",
IF(AND(H94="U", V94&gt;=60%), "Pass",
IF(AND(H94="O", V94&gt;=75%), "Pass", "Fail")))</f>
        <v/>
      </c>
      <c r="X94" s="145">
        <f>IF(AND(Q94="Pass", W94="Pass"), "Pass", "Fail")</f>
        <v/>
      </c>
      <c r="Y94" s="15">
        <f>IF($X94="Pass",$H94,
IF(H94="L","I",
IF(H94="U","L",
IF(H94="O","U",
"I"))))</f>
        <v/>
      </c>
      <c r="AA94">
        <f>VLOOKUP($B94,[1]Sheet1!$B:$B,1,0)</f>
        <v/>
      </c>
      <c r="AB94">
        <f>VLOOKUP($B94,'[3]Left Employee Report'!$D:$D,1,0)</f>
        <v/>
      </c>
    </row>
    <row r="95">
      <c r="A95" s="1">
        <f>ROW()-2</f>
        <v/>
      </c>
      <c r="B95" s="28" t="inlineStr">
        <is>
          <t>SK3655</t>
        </is>
      </c>
      <c r="C95" s="23" t="inlineStr">
        <is>
          <t>SUBODH ORAON</t>
        </is>
      </c>
      <c r="D95" s="23" t="inlineStr">
        <is>
          <t>PRODUCTION</t>
        </is>
      </c>
      <c r="E95" s="24" t="inlineStr">
        <is>
          <t>TYRE BUILDING-P3</t>
        </is>
      </c>
      <c r="F95" s="29" t="n">
        <v>45799</v>
      </c>
      <c r="G95" s="30">
        <f>NOW()-F95</f>
        <v/>
      </c>
      <c r="H95" s="144" t="inlineStr">
        <is>
          <t>I</t>
        </is>
      </c>
      <c r="I95" s="144" t="inlineStr">
        <is>
          <t>I</t>
        </is>
      </c>
      <c r="J95" s="144" t="n"/>
      <c r="K95" s="144" t="n"/>
      <c r="L95" s="144" t="n"/>
      <c r="M95" s="144" t="n"/>
      <c r="N95" s="144" t="n"/>
      <c r="O95" s="104">
        <f>SUM(J95:N95)</f>
        <v/>
      </c>
      <c r="P95" s="12">
        <f>O95/IF(H95="L",20,IF(H95="U",30,IF(H95="O",40,IF(H95="I",20,""))))</f>
        <v/>
      </c>
      <c r="Q95" s="145">
        <f>IF(AND(H95="L", P95&gt;=50%), "Pass",
IF(AND(H95="U", P95&gt;=60%), "Pass",
IF(AND(H95="O", P95&gt;=75%), "Pass", "Fail")))</f>
        <v/>
      </c>
      <c r="R95" s="146" t="n"/>
      <c r="S95" s="146" t="n"/>
      <c r="T95" s="146" t="n"/>
      <c r="U95" s="104">
        <f>SUM(S95:T95)</f>
        <v/>
      </c>
      <c r="V95" s="12">
        <f>U95/IF(H95="L",35,IF(H95="U",35,IF(H95="O",35,IF(H95="I",35,""))))</f>
        <v/>
      </c>
      <c r="W95" s="145">
        <f>IF(AND(H95="L", V95&gt;=50%), "Pass",
IF(AND(H95="U", V95&gt;=60%), "Pass",
IF(AND(H95="O", V95&gt;=75%), "Pass", "Fail")))</f>
        <v/>
      </c>
      <c r="X95" s="145">
        <f>IF(AND(Q95="Pass", W95="Pass"), "Pass", "Fail")</f>
        <v/>
      </c>
      <c r="Y95" s="15">
        <f>IF($X95="Pass",$H95,
IF(H95="L","I",
IF(H95="U","L",
IF(H95="O","U",
"I"))))</f>
        <v/>
      </c>
      <c r="AA95">
        <f>VLOOKUP($B95,[1]Sheet1!$B:$B,1,0)</f>
        <v/>
      </c>
      <c r="AB95">
        <f>VLOOKUP($B95,'[3]Left Employee Report'!$D:$D,1,0)</f>
        <v/>
      </c>
    </row>
    <row r="96">
      <c r="A96" s="1">
        <f>ROW()-2</f>
        <v/>
      </c>
      <c r="B96" s="28" t="inlineStr">
        <is>
          <t>SK3657</t>
        </is>
      </c>
      <c r="C96" s="23" t="inlineStr">
        <is>
          <t>BILCHAND ORAON</t>
        </is>
      </c>
      <c r="D96" s="23" t="inlineStr">
        <is>
          <t>PRODUCTION</t>
        </is>
      </c>
      <c r="E96" s="24" t="inlineStr">
        <is>
          <t>TYRE BUILDING-P1</t>
        </is>
      </c>
      <c r="F96" s="29" t="n">
        <v>45799</v>
      </c>
      <c r="G96" s="30">
        <f>NOW()-F96</f>
        <v/>
      </c>
      <c r="H96" s="144" t="inlineStr">
        <is>
          <t>I</t>
        </is>
      </c>
      <c r="I96" s="144" t="inlineStr">
        <is>
          <t>I</t>
        </is>
      </c>
      <c r="J96" s="144" t="n"/>
      <c r="K96" s="144" t="n"/>
      <c r="L96" s="144" t="n"/>
      <c r="M96" s="144" t="n"/>
      <c r="N96" s="144" t="n"/>
      <c r="O96" s="104">
        <f>SUM(J96:N96)</f>
        <v/>
      </c>
      <c r="P96" s="12">
        <f>O96/IF(H96="L",20,IF(H96="U",30,IF(H96="O",40,IF(H96="I",20,""))))</f>
        <v/>
      </c>
      <c r="Q96" s="145">
        <f>IF(AND(H96="L", P96&gt;=50%), "Pass",
IF(AND(H96="U", P96&gt;=60%), "Pass",
IF(AND(H96="O", P96&gt;=75%), "Pass", "Fail")))</f>
        <v/>
      </c>
      <c r="R96" s="146" t="n"/>
      <c r="S96" s="146" t="n"/>
      <c r="T96" s="146" t="n"/>
      <c r="U96" s="104">
        <f>SUM(S96:T96)</f>
        <v/>
      </c>
      <c r="V96" s="12">
        <f>U96/IF(H96="L",35,IF(H96="U",35,IF(H96="O",35,IF(H96="I",35,""))))</f>
        <v/>
      </c>
      <c r="W96" s="145">
        <f>IF(AND(H96="L", V96&gt;=50%), "Pass",
IF(AND(H96="U", V96&gt;=60%), "Pass",
IF(AND(H96="O", V96&gt;=75%), "Pass", "Fail")))</f>
        <v/>
      </c>
      <c r="X96" s="145">
        <f>IF(AND(Q96="Pass", W96="Pass"), "Pass", "Fail")</f>
        <v/>
      </c>
      <c r="Y96" s="15">
        <f>IF($X96="Pass",$H96,
IF(H96="L","I",
IF(H96="U","L",
IF(H96="O","U",
"I"))))</f>
        <v/>
      </c>
      <c r="AA96">
        <f>VLOOKUP($B96,[1]Sheet1!$B:$B,1,0)</f>
        <v/>
      </c>
      <c r="AB96">
        <f>VLOOKUP($B96,'[3]Left Employee Report'!$D:$D,1,0)</f>
        <v/>
      </c>
    </row>
    <row r="97">
      <c r="A97" s="1">
        <f>ROW()-2</f>
        <v/>
      </c>
      <c r="B97" s="28" t="inlineStr">
        <is>
          <t>SK3661</t>
        </is>
      </c>
      <c r="C97" s="23" t="inlineStr">
        <is>
          <t>BUDHIMAN ORAON</t>
        </is>
      </c>
      <c r="D97" s="23" t="inlineStr">
        <is>
          <t>PRODUCTION</t>
        </is>
      </c>
      <c r="E97" s="24" t="inlineStr">
        <is>
          <t>TYRE CURING</t>
        </is>
      </c>
      <c r="F97" s="29" t="n">
        <v>45799</v>
      </c>
      <c r="G97" s="30">
        <f>NOW()-F97</f>
        <v/>
      </c>
      <c r="H97" s="144" t="inlineStr">
        <is>
          <t>I</t>
        </is>
      </c>
      <c r="I97" s="144" t="inlineStr">
        <is>
          <t>I</t>
        </is>
      </c>
      <c r="J97" s="144" t="n"/>
      <c r="K97" s="144" t="n"/>
      <c r="L97" s="144" t="n"/>
      <c r="M97" s="144" t="n"/>
      <c r="N97" s="144" t="n"/>
      <c r="O97" s="104">
        <f>SUM(J97:N97)</f>
        <v/>
      </c>
      <c r="P97" s="12">
        <f>O97/IF(H97="L",20,IF(H97="U",30,IF(H97="O",40,IF(H97="I",20,""))))</f>
        <v/>
      </c>
      <c r="Q97" s="145">
        <f>IF(AND(H97="L", P97&gt;=50%), "Pass",
IF(AND(H97="U", P97&gt;=60%), "Pass",
IF(AND(H97="O", P97&gt;=75%), "Pass", "Fail")))</f>
        <v/>
      </c>
      <c r="R97" s="146" t="n"/>
      <c r="S97" s="146" t="n"/>
      <c r="T97" s="146" t="n"/>
      <c r="U97" s="104">
        <f>SUM(S97:T97)</f>
        <v/>
      </c>
      <c r="V97" s="12">
        <f>U97/IF(H97="L",35,IF(H97="U",35,IF(H97="O",35,IF(H97="I",35,""))))</f>
        <v/>
      </c>
      <c r="W97" s="145">
        <f>IF(AND(H97="L", V97&gt;=50%), "Pass",
IF(AND(H97="U", V97&gt;=60%), "Pass",
IF(AND(H97="O", V97&gt;=75%), "Pass", "Fail")))</f>
        <v/>
      </c>
      <c r="X97" s="145">
        <f>IF(AND(Q97="Pass", W97="Pass"), "Pass", "Fail")</f>
        <v/>
      </c>
      <c r="Y97" s="15">
        <f>IF($X97="Pass",$H97,
IF(H97="L","I",
IF(H97="U","L",
IF(H97="O","U",
"I"))))</f>
        <v/>
      </c>
      <c r="AA97">
        <f>VLOOKUP($B97,[1]Sheet1!$B:$B,1,0)</f>
        <v/>
      </c>
      <c r="AB97">
        <f>VLOOKUP($B97,'[3]Left Employee Report'!$D:$D,1,0)</f>
        <v/>
      </c>
    </row>
    <row r="98">
      <c r="A98" s="1">
        <f>ROW()-2</f>
        <v/>
      </c>
      <c r="B98" s="28" t="inlineStr">
        <is>
          <t>SK3662</t>
        </is>
      </c>
      <c r="C98" s="23" t="inlineStr">
        <is>
          <t>SANTRAM URAON</t>
        </is>
      </c>
      <c r="D98" s="23" t="inlineStr">
        <is>
          <t>PRODUCTION</t>
        </is>
      </c>
      <c r="E98" s="24" t="inlineStr">
        <is>
          <t>TYRE CURING</t>
        </is>
      </c>
      <c r="F98" s="29" t="n">
        <v>45799</v>
      </c>
      <c r="G98" s="30">
        <f>NOW()-F98</f>
        <v/>
      </c>
      <c r="H98" s="144" t="inlineStr">
        <is>
          <t>I</t>
        </is>
      </c>
      <c r="I98" s="144" t="inlineStr">
        <is>
          <t>I</t>
        </is>
      </c>
      <c r="J98" s="144" t="n"/>
      <c r="K98" s="144" t="n"/>
      <c r="L98" s="144" t="n"/>
      <c r="M98" s="144" t="n"/>
      <c r="N98" s="144" t="n"/>
      <c r="O98" s="104">
        <f>SUM(J98:N98)</f>
        <v/>
      </c>
      <c r="P98" s="12">
        <f>O98/IF(H98="L",20,IF(H98="U",30,IF(H98="O",40,IF(H98="I",20,""))))</f>
        <v/>
      </c>
      <c r="Q98" s="145">
        <f>IF(AND(H98="L", P98&gt;=50%), "Pass",
IF(AND(H98="U", P98&gt;=60%), "Pass",
IF(AND(H98="O", P98&gt;=75%), "Pass", "Fail")))</f>
        <v/>
      </c>
      <c r="R98" s="146" t="n"/>
      <c r="S98" s="146" t="n"/>
      <c r="T98" s="146" t="n"/>
      <c r="U98" s="104">
        <f>SUM(S98:T98)</f>
        <v/>
      </c>
      <c r="V98" s="12">
        <f>U98/IF(H98="L",35,IF(H98="U",35,IF(H98="O",35,IF(H98="I",35,""))))</f>
        <v/>
      </c>
      <c r="W98" s="145">
        <f>IF(AND(H98="L", V98&gt;=50%), "Pass",
IF(AND(H98="U", V98&gt;=60%), "Pass",
IF(AND(H98="O", V98&gt;=75%), "Pass", "Fail")))</f>
        <v/>
      </c>
      <c r="X98" s="145">
        <f>IF(AND(Q98="Pass", W98="Pass"), "Pass", "Fail")</f>
        <v/>
      </c>
      <c r="Y98" s="15">
        <f>IF($X98="Pass",$H98,
IF(H98="L","I",
IF(H98="U","L",
IF(H98="O","U",
"I"))))</f>
        <v/>
      </c>
      <c r="AA98">
        <f>VLOOKUP($B98,[1]Sheet1!$B:$B,1,0)</f>
        <v/>
      </c>
      <c r="AB98">
        <f>VLOOKUP($B98,'[3]Left Employee Report'!$D:$D,1,0)</f>
        <v/>
      </c>
    </row>
    <row r="99">
      <c r="A99" s="1">
        <f>ROW()-2</f>
        <v/>
      </c>
      <c r="B99" s="28" t="inlineStr">
        <is>
          <t>SK3667</t>
        </is>
      </c>
      <c r="C99" s="23" t="inlineStr">
        <is>
          <t>PRADEEP ORAON</t>
        </is>
      </c>
      <c r="D99" s="23" t="inlineStr">
        <is>
          <t>PRODUCTION</t>
        </is>
      </c>
      <c r="E99" s="24" t="inlineStr">
        <is>
          <t>TYRE BUILDING-P3</t>
        </is>
      </c>
      <c r="F99" s="29" t="n">
        <v>45810</v>
      </c>
      <c r="G99" s="30">
        <f>NOW()-F99</f>
        <v/>
      </c>
      <c r="H99" s="144" t="inlineStr">
        <is>
          <t>I</t>
        </is>
      </c>
      <c r="I99" s="144" t="inlineStr">
        <is>
          <t>I</t>
        </is>
      </c>
      <c r="J99" s="144" t="n"/>
      <c r="K99" s="144" t="n"/>
      <c r="L99" s="144" t="n"/>
      <c r="M99" s="144" t="n"/>
      <c r="N99" s="144" t="n"/>
      <c r="O99" s="104">
        <f>SUM(J99:N99)</f>
        <v/>
      </c>
      <c r="P99" s="12">
        <f>O99/IF(H99="L",20,IF(H99="U",30,IF(H99="O",40,IF(H99="I",20,""))))</f>
        <v/>
      </c>
      <c r="Q99" s="145">
        <f>IF(AND(H99="L", P99&gt;=50%), "Pass",
 IF(AND(H99="U", P99&gt;=60%), "Pass",
 IF(AND(H99="O", P99&gt;=75%), "Pass", "Fail")))</f>
        <v/>
      </c>
      <c r="R99" s="146" t="n"/>
      <c r="S99" s="146" t="n"/>
      <c r="T99" s="146" t="n"/>
      <c r="U99" s="104">
        <f>SUM(S99:T99)</f>
        <v/>
      </c>
      <c r="V99" s="12">
        <f>U99/IF(H99="L",35,IF(H99="U",35,IF(H99="O",35,IF(H99="I",35,""))))</f>
        <v/>
      </c>
      <c r="W99" s="145">
        <f>IF(AND(H99="L", V99&gt;=50%), "Pass",
 IF(AND(H99="U", V99&gt;=60%), "Pass",
 IF(AND(H99="O", V99&gt;=75%), "Pass", "Fail")))</f>
        <v/>
      </c>
      <c r="X99" s="145">
        <f>IF(AND(Q99="Pass", W99="Pass"), "Pass", "Fail")</f>
        <v/>
      </c>
      <c r="Y99" s="15">
        <f>IF($X99="Pass",$H99,
IF(H99="L","I",
IF(H99="U","L",
IF(H99="O","U",
"I"))))</f>
        <v/>
      </c>
      <c r="AA99">
        <f>VLOOKUP($B99,[1]Sheet1!$B:$B,1,0)</f>
        <v/>
      </c>
      <c r="AB99">
        <f>VLOOKUP($B99,'[3]Left Employee Report'!$D:$D,1,0)</f>
        <v/>
      </c>
    </row>
    <row r="100">
      <c r="A100" s="1">
        <f>ROW()-2</f>
        <v/>
      </c>
      <c r="B100" s="28" t="inlineStr">
        <is>
          <t>SK3670</t>
        </is>
      </c>
      <c r="C100" s="23" t="inlineStr">
        <is>
          <t>SUSHENDRA BHAGAT</t>
        </is>
      </c>
      <c r="D100" s="23" t="inlineStr">
        <is>
          <t>PRODUCTION</t>
        </is>
      </c>
      <c r="E100" s="24" t="inlineStr">
        <is>
          <t>TYRE BUILDING-P2</t>
        </is>
      </c>
      <c r="F100" s="29" t="n">
        <v>45810</v>
      </c>
      <c r="G100" s="30">
        <f>NOW()-F100</f>
        <v/>
      </c>
      <c r="H100" s="144" t="inlineStr">
        <is>
          <t>I</t>
        </is>
      </c>
      <c r="I100" s="144" t="inlineStr">
        <is>
          <t>I</t>
        </is>
      </c>
      <c r="J100" s="144" t="n"/>
      <c r="K100" s="144" t="n"/>
      <c r="L100" s="144" t="n"/>
      <c r="M100" s="144" t="n"/>
      <c r="N100" s="144" t="n"/>
      <c r="O100" s="104">
        <f>SUM(J100:N100)</f>
        <v/>
      </c>
      <c r="P100" s="12">
        <f>O100/IF(H100="L",20,IF(H100="U",30,IF(H100="O",40,IF(H100="I",20,""))))</f>
        <v/>
      </c>
      <c r="Q100" s="145">
        <f>IF(AND(H100="L", P100&gt;=50%), "Pass",
IF(AND(H100="U", P100&gt;=60%), "Pass",
IF(AND(H100="O", P100&gt;=75%), "Pass", "Fail")))</f>
        <v/>
      </c>
      <c r="R100" s="146" t="n"/>
      <c r="S100" s="146" t="n"/>
      <c r="T100" s="146" t="n"/>
      <c r="U100" s="104">
        <f>SUM(S100:T100)</f>
        <v/>
      </c>
      <c r="V100" s="12">
        <f>U100/IF(H100="L",35,IF(H100="U",35,IF(H100="O",35,IF(H100="I",35,""))))</f>
        <v/>
      </c>
      <c r="W100" s="145">
        <f>IF(AND(H100="L", V100&gt;=50%), "Pass",
IF(AND(H100="U", V100&gt;=60%), "Pass",
IF(AND(H100="O", V100&gt;=75%), "Pass", "Fail")))</f>
        <v/>
      </c>
      <c r="X100" s="145">
        <f>IF(AND(Q100="Pass", W100="Pass"), "Pass", "Fail")</f>
        <v/>
      </c>
      <c r="Y100" s="15">
        <f>IF($X100="Pass",$H100,
IF(H100="L","I",
IF(H100="U","L",
IF(H100="O","U",
"I"))))</f>
        <v/>
      </c>
      <c r="AA100">
        <f>VLOOKUP($B100,[1]Sheet1!$B:$B,1,0)</f>
        <v/>
      </c>
      <c r="AB100">
        <f>VLOOKUP($B100,'[3]Left Employee Report'!$D:$D,1,0)</f>
        <v/>
      </c>
    </row>
    <row r="101">
      <c r="A101" s="1">
        <f>ROW()-2</f>
        <v/>
      </c>
      <c r="B101" s="28" t="inlineStr">
        <is>
          <t>SK3671</t>
        </is>
      </c>
      <c r="C101" s="23" t="inlineStr">
        <is>
          <t>RAJU ORAON</t>
        </is>
      </c>
      <c r="D101" s="23" t="inlineStr">
        <is>
          <t>PRODUCTION</t>
        </is>
      </c>
      <c r="E101" s="24" t="inlineStr">
        <is>
          <t>TYRE BUILDING-P3</t>
        </is>
      </c>
      <c r="F101" s="29" t="n">
        <v>45810</v>
      </c>
      <c r="G101" s="30">
        <f>NOW()-F101</f>
        <v/>
      </c>
      <c r="H101" s="144" t="inlineStr">
        <is>
          <t>I</t>
        </is>
      </c>
      <c r="I101" s="144" t="inlineStr">
        <is>
          <t>I</t>
        </is>
      </c>
      <c r="J101" s="144" t="n"/>
      <c r="K101" s="144" t="n"/>
      <c r="L101" s="144" t="n"/>
      <c r="M101" s="144" t="n"/>
      <c r="N101" s="144" t="n"/>
      <c r="O101" s="104">
        <f>SUM(J101:N101)</f>
        <v/>
      </c>
      <c r="P101" s="12">
        <f>O101/IF(H101="L",20,IF(H101="U",30,IF(H101="O",40,IF(H101="I",20,""))))</f>
        <v/>
      </c>
      <c r="Q101" s="145">
        <f>IF(AND(H101="L", P101&gt;=50%), "Pass",
IF(AND(H101="U", P101&gt;=60%), "Pass",
IF(AND(H101="O", P101&gt;=75%), "Pass", "Fail")))</f>
        <v/>
      </c>
      <c r="R101" s="146" t="n"/>
      <c r="S101" s="146" t="n"/>
      <c r="T101" s="146" t="n"/>
      <c r="U101" s="104">
        <f>SUM(S101:T101)</f>
        <v/>
      </c>
      <c r="V101" s="12">
        <f>U101/IF(H101="L",35,IF(H101="U",35,IF(H101="O",35,IF(H101="I",35,""))))</f>
        <v/>
      </c>
      <c r="W101" s="145">
        <f>IF(AND(H101="L", V101&gt;=50%), "Pass",
IF(AND(H101="U", V101&gt;=60%), "Pass",
IF(AND(H101="O", V101&gt;=75%), "Pass", "Fail")))</f>
        <v/>
      </c>
      <c r="X101" s="145">
        <f>IF(AND(Q101="Pass", W101="Pass"), "Pass", "Fail")</f>
        <v/>
      </c>
      <c r="Y101" s="15">
        <f>IF($X101="Pass",$H101,
IF(H101="L","I",
IF(H101="U","L",
IF(H101="O","U",
"I"))))</f>
        <v/>
      </c>
      <c r="AA101">
        <f>VLOOKUP($B101,[1]Sheet1!$B:$B,1,0)</f>
        <v/>
      </c>
      <c r="AB101">
        <f>VLOOKUP($B101,'[3]Left Employee Report'!$D:$D,1,0)</f>
        <v/>
      </c>
    </row>
    <row r="102">
      <c r="A102" s="1">
        <f>ROW()-2</f>
        <v/>
      </c>
      <c r="B102" s="28" t="inlineStr">
        <is>
          <t>SK3673</t>
        </is>
      </c>
      <c r="C102" s="23" t="inlineStr">
        <is>
          <t>DEEPAK ORAON</t>
        </is>
      </c>
      <c r="D102" s="23" t="inlineStr">
        <is>
          <t>PRODUCTION</t>
        </is>
      </c>
      <c r="E102" s="24" t="inlineStr">
        <is>
          <t>TYRE CURING</t>
        </is>
      </c>
      <c r="F102" s="29" t="n">
        <v>45810</v>
      </c>
      <c r="G102" s="30">
        <f>NOW()-F102</f>
        <v/>
      </c>
      <c r="H102" s="144" t="inlineStr">
        <is>
          <t>I</t>
        </is>
      </c>
      <c r="I102" s="144" t="inlineStr">
        <is>
          <t>I</t>
        </is>
      </c>
      <c r="J102" s="144" t="n"/>
      <c r="K102" s="144" t="n"/>
      <c r="L102" s="144" t="n"/>
      <c r="M102" s="144" t="n"/>
      <c r="N102" s="144" t="n"/>
      <c r="O102" s="104">
        <f>SUM(J102:N102)</f>
        <v/>
      </c>
      <c r="P102" s="12">
        <f>O102/IF(H102="L",20,IF(H102="U",30,IF(H102="O",40,IF(H102="I",20,""))))</f>
        <v/>
      </c>
      <c r="Q102" s="145">
        <f>IF(AND(H102="L", P102&gt;=50%), "Pass",
IF(AND(H102="U", P102&gt;=60%), "Pass",
IF(AND(H102="O", P102&gt;=75%), "Pass", "Fail")))</f>
        <v/>
      </c>
      <c r="R102" s="146" t="n"/>
      <c r="S102" s="146" t="n"/>
      <c r="T102" s="146" t="n"/>
      <c r="U102" s="104">
        <f>SUM(S102:T102)</f>
        <v/>
      </c>
      <c r="V102" s="12">
        <f>U102/IF(H102="L",35,IF(H102="U",35,IF(H102="O",35,IF(H102="I",35,""))))</f>
        <v/>
      </c>
      <c r="W102" s="145">
        <f>IF(AND(H102="L", V102&gt;=50%), "Pass",
IF(AND(H102="U", V102&gt;=60%), "Pass",
IF(AND(H102="O", V102&gt;=75%), "Pass", "Fail")))</f>
        <v/>
      </c>
      <c r="X102" s="145">
        <f>IF(AND(Q102="Pass", W102="Pass"), "Pass", "Fail")</f>
        <v/>
      </c>
      <c r="Y102" s="15">
        <f>IF($X102="Pass",$H102,
IF(H102="L","I",
IF(H102="U","L",
IF(H102="O","U",
"I"))))</f>
        <v/>
      </c>
      <c r="AA102">
        <f>VLOOKUP($B102,[1]Sheet1!$B:$B,1,0)</f>
        <v/>
      </c>
      <c r="AB102">
        <f>VLOOKUP($B102,'[3]Left Employee Report'!$D:$D,1,0)</f>
        <v/>
      </c>
    </row>
    <row r="103">
      <c r="A103" s="1">
        <f>ROW()-2</f>
        <v/>
      </c>
      <c r="B103" s="28" t="inlineStr">
        <is>
          <t>SK3683</t>
        </is>
      </c>
      <c r="C103" s="23" t="inlineStr">
        <is>
          <t>MOHAN SINGH SALAME</t>
        </is>
      </c>
      <c r="D103" s="23" t="inlineStr">
        <is>
          <t>PRODUCTION</t>
        </is>
      </c>
      <c r="E103" s="24" t="inlineStr">
        <is>
          <t>TYRE CURING</t>
        </is>
      </c>
      <c r="F103" s="29" t="n">
        <v>45820</v>
      </c>
      <c r="G103" s="30">
        <f>NOW()-F103</f>
        <v/>
      </c>
      <c r="H103" s="144" t="inlineStr">
        <is>
          <t>I</t>
        </is>
      </c>
      <c r="I103" s="144" t="inlineStr">
        <is>
          <t>I</t>
        </is>
      </c>
      <c r="J103" s="144" t="n"/>
      <c r="K103" s="144" t="n"/>
      <c r="L103" s="144" t="n"/>
      <c r="M103" s="144" t="n"/>
      <c r="N103" s="144" t="n"/>
      <c r="O103" s="104">
        <f>SUM(J103:N103)</f>
        <v/>
      </c>
      <c r="P103" s="12">
        <f>O103/IF(H103="L",20,IF(H103="U",30,IF(H103="O",40,IF(H103="I",20,""))))</f>
        <v/>
      </c>
      <c r="Q103" s="145">
        <f>IF(AND(H103="L", P103&gt;=50%), "Pass",
IF(AND(H103="U", P103&gt;=60%), "Pass",
IF(AND(H103="O", P103&gt;=75%), "Pass", "Fail")))</f>
        <v/>
      </c>
      <c r="R103" s="146" t="n"/>
      <c r="S103" s="146" t="n"/>
      <c r="T103" s="146" t="n"/>
      <c r="U103" s="104">
        <f>SUM(S103:T103)</f>
        <v/>
      </c>
      <c r="V103" s="12">
        <f>U103/IF(H103="L",35,IF(H103="U",35,IF(H103="O",35,IF(H103="I",35,""))))</f>
        <v/>
      </c>
      <c r="W103" s="145">
        <f>IF(AND(H103="L", V103&gt;=50%), "Pass",
IF(AND(H103="U", V103&gt;=60%), "Pass",
IF(AND(H103="O", V103&gt;=75%), "Pass", "Fail")))</f>
        <v/>
      </c>
      <c r="X103" s="145">
        <f>IF(AND(Q103="Pass", W103="Pass"), "Pass", "Fail")</f>
        <v/>
      </c>
      <c r="Y103" s="15">
        <f>IF($X103="Pass",$H103,
IF(H103="L","I",
IF(H103="U","L",
IF(H103="O","U",
"I"))))</f>
        <v/>
      </c>
      <c r="AA103">
        <f>VLOOKUP($B103,[1]Sheet1!$B:$B,1,0)</f>
        <v/>
      </c>
      <c r="AB103">
        <f>VLOOKUP($B103,'[3]Left Employee Report'!$D:$D,1,0)</f>
        <v/>
      </c>
    </row>
    <row r="104">
      <c r="A104" s="1">
        <f>ROW()-2</f>
        <v/>
      </c>
      <c r="B104" s="28" t="inlineStr">
        <is>
          <t>SK3684</t>
        </is>
      </c>
      <c r="C104" s="23" t="inlineStr">
        <is>
          <t>AMAR SINGH UIKEY</t>
        </is>
      </c>
      <c r="D104" s="23" t="inlineStr">
        <is>
          <t>PRODUCTION</t>
        </is>
      </c>
      <c r="E104" s="24" t="inlineStr">
        <is>
          <t>TYRE CURING</t>
        </is>
      </c>
      <c r="F104" s="29" t="n">
        <v>45820</v>
      </c>
      <c r="G104" s="30">
        <f>NOW()-F104</f>
        <v/>
      </c>
      <c r="H104" s="144" t="inlineStr">
        <is>
          <t>I</t>
        </is>
      </c>
      <c r="I104" s="144" t="inlineStr">
        <is>
          <t>I</t>
        </is>
      </c>
      <c r="J104" s="144" t="n"/>
      <c r="K104" s="144" t="n"/>
      <c r="L104" s="144" t="n"/>
      <c r="M104" s="144" t="n"/>
      <c r="N104" s="144" t="n"/>
      <c r="O104" s="104">
        <f>SUM(J104:N104)</f>
        <v/>
      </c>
      <c r="P104" s="12">
        <f>O104/IF(H104="L",20,IF(H104="U",30,IF(H104="O",40,IF(H104="I",20,""))))</f>
        <v/>
      </c>
      <c r="Q104" s="145">
        <f>IF(AND(H104="L", P104&gt;=50%), "Pass",
IF(AND(H104="U", P104&gt;=60%), "Pass",
IF(AND(H104="O", P104&gt;=75%), "Pass", "Fail")))</f>
        <v/>
      </c>
      <c r="R104" s="146" t="n"/>
      <c r="S104" s="146" t="n"/>
      <c r="T104" s="146" t="n"/>
      <c r="U104" s="104">
        <f>SUM(S104:T104)</f>
        <v/>
      </c>
      <c r="V104" s="12">
        <f>U104/IF(H104="L",35,IF(H104="U",35,IF(H104="O",35,IF(H104="I",35,""))))</f>
        <v/>
      </c>
      <c r="W104" s="145">
        <f>IF(AND(H104="L", V104&gt;=50%), "Pass",
IF(AND(H104="U", V104&gt;=60%), "Pass",
IF(AND(H104="O", V104&gt;=75%), "Pass", "Fail")))</f>
        <v/>
      </c>
      <c r="X104" s="145">
        <f>IF(AND(Q104="Pass", W104="Pass"), "Pass", "Fail")</f>
        <v/>
      </c>
      <c r="Y104" s="15">
        <f>IF($X104="Pass",$H104,
IF(H104="L","I",
IF(H104="U","L",
IF(H104="O","U",
"I"))))</f>
        <v/>
      </c>
      <c r="AA104">
        <f>VLOOKUP($B104,[1]Sheet1!$B:$B,1,0)</f>
        <v/>
      </c>
      <c r="AB104">
        <f>VLOOKUP($B104,'[3]Left Employee Report'!$D:$D,1,0)</f>
        <v/>
      </c>
    </row>
    <row r="105">
      <c r="A105" s="1">
        <f>ROW()-2</f>
        <v/>
      </c>
      <c r="B105" s="28" t="inlineStr">
        <is>
          <t>SK3685</t>
        </is>
      </c>
      <c r="C105" s="23" t="inlineStr">
        <is>
          <t>RUSHIL DHURVE</t>
        </is>
      </c>
      <c r="D105" s="23" t="inlineStr">
        <is>
          <t>PRODUCTION</t>
        </is>
      </c>
      <c r="E105" s="24" t="inlineStr">
        <is>
          <t>TYRE CURING</t>
        </is>
      </c>
      <c r="F105" s="29" t="n">
        <v>45820</v>
      </c>
      <c r="G105" s="30">
        <f>NOW()-F105</f>
        <v/>
      </c>
      <c r="H105" s="144" t="inlineStr">
        <is>
          <t>I</t>
        </is>
      </c>
      <c r="I105" s="144" t="inlineStr">
        <is>
          <t>I</t>
        </is>
      </c>
      <c r="J105" s="144" t="n"/>
      <c r="K105" s="144" t="n"/>
      <c r="L105" s="144" t="n"/>
      <c r="M105" s="144" t="n"/>
      <c r="N105" s="144" t="n"/>
      <c r="O105" s="104">
        <f>SUM(J105:N105)</f>
        <v/>
      </c>
      <c r="P105" s="12">
        <f>O105/IF(H105="L",20,IF(H105="U",30,IF(H105="O",40,IF(H105="I",20,""))))</f>
        <v/>
      </c>
      <c r="Q105" s="145">
        <f>IF(AND(H105="L", P105&gt;=50%), "Pass",
IF(AND(H105="U", P105&gt;=60%), "Pass",
IF(AND(H105="O", P105&gt;=75%), "Pass", "Fail")))</f>
        <v/>
      </c>
      <c r="R105" s="146" t="n"/>
      <c r="S105" s="146" t="n"/>
      <c r="T105" s="146" t="n"/>
      <c r="U105" s="104">
        <f>SUM(S105:T105)</f>
        <v/>
      </c>
      <c r="V105" s="12">
        <f>U105/IF(H105="L",35,IF(H105="U",35,IF(H105="O",35,IF(H105="I",35,""))))</f>
        <v/>
      </c>
      <c r="W105" s="145">
        <f>IF(AND(H105="L", V105&gt;=50%), "Pass",
IF(AND(H105="U", V105&gt;=60%), "Pass",
IF(AND(H105="O", V105&gt;=75%), "Pass", "Fail")))</f>
        <v/>
      </c>
      <c r="X105" s="145">
        <f>IF(AND(Q105="Pass", W105="Pass"), "Pass", "Fail")</f>
        <v/>
      </c>
      <c r="Y105" s="15">
        <f>IF($X105="Pass",$H105,
IF(H105="L","I",
IF(H105="U","L",
IF(H105="O","U",
"I"))))</f>
        <v/>
      </c>
      <c r="AA105">
        <f>VLOOKUP($B105,[1]Sheet1!$B:$B,1,0)</f>
        <v/>
      </c>
      <c r="AB105">
        <f>VLOOKUP($B105,'[3]Left Employee Report'!$D:$D,1,0)</f>
        <v/>
      </c>
    </row>
    <row r="106">
      <c r="A106" s="1">
        <f>ROW()-2</f>
        <v/>
      </c>
      <c r="B106" s="28" t="inlineStr">
        <is>
          <t>SK3686</t>
        </is>
      </c>
      <c r="C106" s="23" t="inlineStr">
        <is>
          <t>SUNIL DHURVE</t>
        </is>
      </c>
      <c r="D106" s="23" t="inlineStr">
        <is>
          <t>PRODUCTION</t>
        </is>
      </c>
      <c r="E106" s="24" t="inlineStr">
        <is>
          <t>TYRE CURING</t>
        </is>
      </c>
      <c r="F106" s="29" t="n">
        <v>45820</v>
      </c>
      <c r="G106" s="30">
        <f>NOW()-F106</f>
        <v/>
      </c>
      <c r="H106" s="144" t="inlineStr">
        <is>
          <t>I</t>
        </is>
      </c>
      <c r="I106" s="144" t="inlineStr">
        <is>
          <t>I</t>
        </is>
      </c>
      <c r="J106" s="144" t="n"/>
      <c r="K106" s="144" t="n"/>
      <c r="L106" s="144" t="n"/>
      <c r="M106" s="144" t="n"/>
      <c r="N106" s="144" t="n"/>
      <c r="O106" s="104">
        <f>SUM(J106:N106)</f>
        <v/>
      </c>
      <c r="P106" s="12">
        <f>O106/IF(H106="L",20,IF(H106="U",30,IF(H106="O",40,IF(H106="I",20,""))))</f>
        <v/>
      </c>
      <c r="Q106" s="145">
        <f>IF(AND(H106="L", P106&gt;=50%), "Pass",
IF(AND(H106="U", P106&gt;=60%), "Pass",
IF(AND(H106="O", P106&gt;=75%), "Pass", "Fail")))</f>
        <v/>
      </c>
      <c r="R106" s="146" t="n"/>
      <c r="S106" s="146" t="n"/>
      <c r="T106" s="146" t="n"/>
      <c r="U106" s="104">
        <f>SUM(S106:T106)</f>
        <v/>
      </c>
      <c r="V106" s="12">
        <f>U106/IF(H106="L",35,IF(H106="U",35,IF(H106="O",35,IF(H106="I",35,""))))</f>
        <v/>
      </c>
      <c r="W106" s="145">
        <f>IF(AND(H106="L", V106&gt;=50%), "Pass",
IF(AND(H106="U", V106&gt;=60%), "Pass",
IF(AND(H106="O", V106&gt;=75%), "Pass", "Fail")))</f>
        <v/>
      </c>
      <c r="X106" s="145">
        <f>IF(AND(Q106="Pass", W106="Pass"), "Pass", "Fail")</f>
        <v/>
      </c>
      <c r="Y106" s="15">
        <f>IF($X106="Pass",$H106,
IF(H106="L","I",
IF(H106="U","L",
IF(H106="O","U",
"I"))))</f>
        <v/>
      </c>
      <c r="AA106">
        <f>VLOOKUP($B106,[1]Sheet1!$B:$B,1,0)</f>
        <v/>
      </c>
      <c r="AB106">
        <f>VLOOKUP($B106,'[3]Left Employee Report'!$D:$D,1,0)</f>
        <v/>
      </c>
    </row>
    <row r="107">
      <c r="A107" s="1">
        <f>ROW()-2</f>
        <v/>
      </c>
      <c r="B107" s="28" t="inlineStr">
        <is>
          <t>SK3692</t>
        </is>
      </c>
      <c r="C107" s="23" t="inlineStr">
        <is>
          <t>MANI SANKAR M</t>
        </is>
      </c>
      <c r="D107" s="23" t="inlineStr">
        <is>
          <t>PRODUCTION</t>
        </is>
      </c>
      <c r="E107" s="24" t="inlineStr">
        <is>
          <t>TYRE CURING</t>
        </is>
      </c>
      <c r="F107" s="29" t="n">
        <v>45831</v>
      </c>
      <c r="G107" s="30">
        <f>NOW()-F107</f>
        <v/>
      </c>
      <c r="H107" s="144" t="inlineStr">
        <is>
          <t>I</t>
        </is>
      </c>
      <c r="I107" s="144" t="inlineStr">
        <is>
          <t>I</t>
        </is>
      </c>
      <c r="J107" s="144" t="n"/>
      <c r="K107" s="144" t="n"/>
      <c r="L107" s="144" t="n"/>
      <c r="M107" s="144" t="n"/>
      <c r="N107" s="144" t="n"/>
      <c r="O107" s="104">
        <f>SUM(J107:N107)</f>
        <v/>
      </c>
      <c r="P107" s="12">
        <f>O107/IF(H107="L",20,IF(H107="U",30,IF(H107="O",40,IF(H107="I",20,""))))</f>
        <v/>
      </c>
      <c r="Q107" s="145">
        <f>IF(AND(H107="L", P107&gt;=50%), "Pass",
IF(AND(H107="U", P107&gt;=60%), "Pass",
IF(AND(H107="O", P107&gt;=75%), "Pass", "Fail")))</f>
        <v/>
      </c>
      <c r="R107" s="146" t="n"/>
      <c r="S107" s="146" t="n"/>
      <c r="T107" s="146" t="n"/>
      <c r="U107" s="104">
        <f>SUM(S107:T107)</f>
        <v/>
      </c>
      <c r="V107" s="12">
        <f>U107/IF(H107="L",35,IF(H107="U",35,IF(H107="O",35,IF(H107="I",35,""))))</f>
        <v/>
      </c>
      <c r="W107" s="145">
        <f>IF(AND(H107="L", V107&gt;=50%), "Pass",
IF(AND(H107="U", V107&gt;=60%), "Pass",
IF(AND(H107="O", V107&gt;=75%), "Pass", "Fail")))</f>
        <v/>
      </c>
      <c r="X107" s="145">
        <f>IF(AND(Q107="Pass", W107="Pass"), "Pass", "Fail")</f>
        <v/>
      </c>
      <c r="Y107" s="15">
        <f>IF($X107="Pass",$H107,
IF(H107="L","I",
IF(H107="U","L",
IF(H107="O","U",
"I"))))</f>
        <v/>
      </c>
      <c r="AA107">
        <f>VLOOKUP($B107,[1]Sheet1!$B:$B,1,0)</f>
        <v/>
      </c>
      <c r="AB107">
        <f>VLOOKUP($B107,'[3]Left Employee Report'!$D:$D,1,0)</f>
        <v/>
      </c>
    </row>
    <row r="108">
      <c r="A108" s="1">
        <f>ROW()-2</f>
        <v/>
      </c>
      <c r="B108" s="28" t="inlineStr">
        <is>
          <t>SR0612</t>
        </is>
      </c>
      <c r="C108" s="23" t="inlineStr">
        <is>
          <t>MURUGAN V</t>
        </is>
      </c>
      <c r="D108" s="23" t="inlineStr">
        <is>
          <t>PRODUCTION</t>
        </is>
      </c>
      <c r="E108" s="24" t="inlineStr">
        <is>
          <t>BAND BUILDING-P3</t>
        </is>
      </c>
      <c r="F108" s="29" t="n">
        <v>42837</v>
      </c>
      <c r="G108" s="30">
        <f>NOW()-F108</f>
        <v/>
      </c>
      <c r="H108" s="144" t="inlineStr">
        <is>
          <t>O</t>
        </is>
      </c>
      <c r="I108" s="144" t="inlineStr">
        <is>
          <t>U</t>
        </is>
      </c>
      <c r="J108" s="144" t="n"/>
      <c r="K108" s="144" t="n"/>
      <c r="L108" s="144" t="n"/>
      <c r="M108" s="144" t="n"/>
      <c r="N108" s="144" t="n"/>
      <c r="O108" s="104">
        <f>SUM(J108:N108)</f>
        <v/>
      </c>
      <c r="P108" s="12">
        <f>O108/IF(H108="L",20,IF(H108="U",30,IF(H108="O",40,IF(H108="I",20,""))))</f>
        <v/>
      </c>
      <c r="Q108" s="145">
        <f>IF(AND(H108="L", P108&gt;=50%), "Pass",
IF(AND(H108="U", P108&gt;=60%), "Pass",
IF(AND(H108="O", P108&gt;=75%), "Pass", "Fail")))</f>
        <v/>
      </c>
      <c r="R108" s="146" t="n"/>
      <c r="S108" s="146" t="n"/>
      <c r="T108" s="146" t="n"/>
      <c r="U108" s="104">
        <f>SUM(S108:T108)</f>
        <v/>
      </c>
      <c r="V108" s="12">
        <f>U108/IF(H108="L",35,IF(H108="U",35,IF(H108="O",35,IF(H108="I",35,""))))</f>
        <v/>
      </c>
      <c r="W108" s="145">
        <f>IF(AND(H108="L", V108&gt;=50%), "Pass",
IF(AND(H108="U", V108&gt;=60%), "Pass",
IF(AND(H108="O", V108&gt;=75%), "Pass", "Fail")))</f>
        <v/>
      </c>
      <c r="X108" s="145">
        <f>IF(AND(Q108="Pass", W108="Pass"), "Pass", "Fail")</f>
        <v/>
      </c>
      <c r="Y108" s="15">
        <f>IF($X108="Pass",$H108,
IF(H108="L","I",
IF(H108="U","L",
IF(H108="O","U",
"I"))))</f>
        <v/>
      </c>
      <c r="AA108">
        <f>VLOOKUP($B108,[1]Sheet1!$B:$B,1,0)</f>
        <v/>
      </c>
      <c r="AB108">
        <f>VLOOKUP($B108,'[3]Left Employee Report'!$D:$D,1,0)</f>
        <v/>
      </c>
    </row>
    <row r="109">
      <c r="A109" s="1">
        <f>ROW()-2</f>
        <v/>
      </c>
      <c r="B109" s="28" t="inlineStr">
        <is>
          <t>SR0737</t>
        </is>
      </c>
      <c r="C109" s="23" t="inlineStr">
        <is>
          <t>SANKAR A</t>
        </is>
      </c>
      <c r="D109" s="23" t="inlineStr">
        <is>
          <t>PRODUCTION</t>
        </is>
      </c>
      <c r="E109" s="24" t="inlineStr">
        <is>
          <t>BIAS CUTTING-5</t>
        </is>
      </c>
      <c r="F109" s="29" t="n">
        <v>42926</v>
      </c>
      <c r="G109" s="30">
        <f>NOW()-F109</f>
        <v/>
      </c>
      <c r="H109" s="144" t="inlineStr">
        <is>
          <t>O</t>
        </is>
      </c>
      <c r="I109" s="144" t="inlineStr">
        <is>
          <t>U</t>
        </is>
      </c>
      <c r="J109" s="144" t="n"/>
      <c r="K109" s="144" t="n"/>
      <c r="L109" s="144" t="n"/>
      <c r="M109" s="144" t="n"/>
      <c r="N109" s="144" t="n"/>
      <c r="O109" s="104">
        <f>SUM(J109:N109)</f>
        <v/>
      </c>
      <c r="P109" s="12">
        <f>O109/IF(H109="L",20,IF(H109="U",30,IF(H109="O",40,IF(H109="I",20,""))))</f>
        <v/>
      </c>
      <c r="Q109" s="145">
        <f>IF(AND(H109="L", P109&gt;=50%), "Pass",
IF(AND(H109="U", P109&gt;=60%), "Pass",
IF(AND(H109="O", P109&gt;=75%), "Pass", "Fail")))</f>
        <v/>
      </c>
      <c r="R109" s="146" t="n"/>
      <c r="S109" s="146" t="n"/>
      <c r="T109" s="146" t="n"/>
      <c r="U109" s="104">
        <f>SUM(S109:T109)</f>
        <v/>
      </c>
      <c r="V109" s="12">
        <f>U109/IF(H109="L",35,IF(H109="U",35,IF(H109="O",35,IF(H109="I",35,""))))</f>
        <v/>
      </c>
      <c r="W109" s="145">
        <f>IF(AND(H109="L", V109&gt;=50%), "Pass",
IF(AND(H109="U", V109&gt;=60%), "Pass",
IF(AND(H109="O", V109&gt;=75%), "Pass", "Fail")))</f>
        <v/>
      </c>
      <c r="X109" s="145">
        <f>IF(AND(Q109="Pass", W109="Pass"), "Pass", "Fail")</f>
        <v/>
      </c>
      <c r="Y109" s="15">
        <f>IF($X109="Pass",$H109,
IF(H109="L","I",
IF(H109="U","L",
IF(H109="O","U",
"I"))))</f>
        <v/>
      </c>
      <c r="AA109">
        <f>VLOOKUP($B109,[1]Sheet1!$B:$B,1,0)</f>
        <v/>
      </c>
      <c r="AB109">
        <f>VLOOKUP($B109,'[3]Left Employee Report'!$D:$D,1,0)</f>
        <v/>
      </c>
    </row>
    <row r="110">
      <c r="A110" s="1">
        <f>ROW()-2</f>
        <v/>
      </c>
      <c r="B110" s="28" t="inlineStr">
        <is>
          <t>SR0794</t>
        </is>
      </c>
      <c r="C110" s="23" t="inlineStr">
        <is>
          <t>SURESH SUDALAI U</t>
        </is>
      </c>
      <c r="D110" s="23" t="inlineStr">
        <is>
          <t>PRODUCTION</t>
        </is>
      </c>
      <c r="E110" s="24" t="inlineStr">
        <is>
          <t>BIAS CUTTING-5</t>
        </is>
      </c>
      <c r="F110" s="29" t="n">
        <v>43048</v>
      </c>
      <c r="G110" s="30">
        <f>NOW()-F110</f>
        <v/>
      </c>
      <c r="H110" s="144" t="inlineStr">
        <is>
          <t>O</t>
        </is>
      </c>
      <c r="I110" s="144" t="inlineStr">
        <is>
          <t>U</t>
        </is>
      </c>
      <c r="J110" s="144" t="n"/>
      <c r="K110" s="144" t="n"/>
      <c r="L110" s="144" t="n"/>
      <c r="M110" s="144" t="n"/>
      <c r="N110" s="144" t="n"/>
      <c r="O110" s="104">
        <f>SUM(J110:N110)</f>
        <v/>
      </c>
      <c r="P110" s="12">
        <f>O110/IF(H110="L",20,IF(H110="U",30,IF(H110="O",40,IF(H110="I",20,""))))</f>
        <v/>
      </c>
      <c r="Q110" s="145">
        <f>IF(AND(H110="L", P110&gt;=50%), "Pass",
IF(AND(H110="U", P110&gt;=60%), "Pass",
IF(AND(H110="O", P110&gt;=75%), "Pass", "Fail")))</f>
        <v/>
      </c>
      <c r="R110" s="146" t="n"/>
      <c r="S110" s="146" t="n"/>
      <c r="T110" s="146" t="n"/>
      <c r="U110" s="104">
        <f>SUM(S110:T110)</f>
        <v/>
      </c>
      <c r="V110" s="12">
        <f>U110/IF(H110="L",35,IF(H110="U",35,IF(H110="O",35,IF(H110="I",35,""))))</f>
        <v/>
      </c>
      <c r="W110" s="145">
        <f>IF(AND(H110="L", V110&gt;=50%), "Pass",
IF(AND(H110="U", V110&gt;=60%), "Pass",
IF(AND(H110="O", V110&gt;=75%), "Pass", "Fail")))</f>
        <v/>
      </c>
      <c r="X110" s="145">
        <f>IF(AND(Q110="Pass", W110="Pass"), "Pass", "Fail")</f>
        <v/>
      </c>
      <c r="Y110" s="15">
        <f>IF($X110="Pass",$H110,
IF(H110="L","I",
IF(H110="U","L",
IF(H110="O","U",
"I"))))</f>
        <v/>
      </c>
      <c r="AA110">
        <f>VLOOKUP($B110,[1]Sheet1!$B:$B,1,0)</f>
        <v/>
      </c>
      <c r="AB110">
        <f>VLOOKUP($B110,'[3]Left Employee Report'!$D:$D,1,0)</f>
        <v/>
      </c>
    </row>
    <row r="111">
      <c r="A111" s="1">
        <f>ROW()-2</f>
        <v/>
      </c>
      <c r="B111" s="28" t="inlineStr">
        <is>
          <t>SR0856</t>
        </is>
      </c>
      <c r="C111" s="23" t="inlineStr">
        <is>
          <t>SATHISHKUMAR J</t>
        </is>
      </c>
      <c r="D111" s="23" t="inlineStr">
        <is>
          <t>PRODUCTION</t>
        </is>
      </c>
      <c r="E111" s="24" t="inlineStr">
        <is>
          <t>TYRE BUILDING-P1</t>
        </is>
      </c>
      <c r="F111" s="29" t="n">
        <v>43195</v>
      </c>
      <c r="G111" s="30">
        <f>NOW()-F111</f>
        <v/>
      </c>
      <c r="H111" s="144" t="inlineStr">
        <is>
          <t>O</t>
        </is>
      </c>
      <c r="I111" s="144" t="inlineStr">
        <is>
          <t>O</t>
        </is>
      </c>
      <c r="J111" s="144" t="n"/>
      <c r="K111" s="144" t="n"/>
      <c r="L111" s="144" t="n"/>
      <c r="M111" s="144" t="n"/>
      <c r="N111" s="144" t="n"/>
      <c r="O111" s="104">
        <f>SUM(J111:N111)</f>
        <v/>
      </c>
      <c r="P111" s="12">
        <f>O111/IF(H111="L",20,IF(H111="U",30,IF(H111="O",40,IF(H111="I",20,""))))</f>
        <v/>
      </c>
      <c r="Q111" s="145">
        <f>IF(AND(H111="L", P111&gt;=50%), "Pass",
IF(AND(H111="U", P111&gt;=60%), "Pass",
IF(AND(H111="O", P111&gt;=75%), "Pass", "Fail")))</f>
        <v/>
      </c>
      <c r="R111" s="146" t="n"/>
      <c r="S111" s="146" t="n"/>
      <c r="T111" s="146" t="n"/>
      <c r="U111" s="104">
        <f>SUM(S111:T111)</f>
        <v/>
      </c>
      <c r="V111" s="12">
        <f>U111/IF(H111="L",35,IF(H111="U",35,IF(H111="O",35,IF(H111="I",35,""))))</f>
        <v/>
      </c>
      <c r="W111" s="145">
        <f>IF(AND(H111="L", V111&gt;=50%), "Pass",
IF(AND(H111="U", V111&gt;=60%), "Pass",
IF(AND(H111="O", V111&gt;=75%), "Pass", "Fail")))</f>
        <v/>
      </c>
      <c r="X111" s="145">
        <f>IF(AND(Q111="Pass", W111="Pass"), "Pass", "Fail")</f>
        <v/>
      </c>
      <c r="Y111" s="15">
        <f>IF($X111="Pass",$H111,
IF(H111="L","I",
IF(H111="U","L",
IF(H111="O","U",
"I"))))</f>
        <v/>
      </c>
      <c r="AA111">
        <f>VLOOKUP($B111,[1]Sheet1!$B:$B,1,0)</f>
        <v/>
      </c>
      <c r="AB111">
        <f>VLOOKUP($B111,'[3]Left Employee Report'!$D:$D,1,0)</f>
        <v/>
      </c>
    </row>
    <row r="112">
      <c r="A112" s="1">
        <f>ROW()-2</f>
        <v/>
      </c>
      <c r="B112" s="28" t="inlineStr">
        <is>
          <t>SR1007</t>
        </is>
      </c>
      <c r="C112" s="23" t="inlineStr">
        <is>
          <t>MARIMUTHU MADASAMY</t>
        </is>
      </c>
      <c r="D112" s="23" t="inlineStr">
        <is>
          <t>PRODUCTION</t>
        </is>
      </c>
      <c r="E112" s="24" t="inlineStr">
        <is>
          <t>TYRE BUILDING-P3</t>
        </is>
      </c>
      <c r="F112" s="29" t="n">
        <v>43797</v>
      </c>
      <c r="G112" s="30">
        <f>NOW()-F112</f>
        <v/>
      </c>
      <c r="H112" s="144" t="inlineStr">
        <is>
          <t>O</t>
        </is>
      </c>
      <c r="I112" s="144" t="inlineStr">
        <is>
          <t>O</t>
        </is>
      </c>
      <c r="J112" s="144" t="n"/>
      <c r="K112" s="144" t="n"/>
      <c r="L112" s="144" t="n"/>
      <c r="M112" s="144" t="n"/>
      <c r="N112" s="144" t="n"/>
      <c r="O112" s="104">
        <f>SUM(J112:N112)</f>
        <v/>
      </c>
      <c r="P112" s="12">
        <f>O112/IF(H112="L",20,IF(H112="U",30,IF(H112="O",40,IF(H112="I",20,""))))</f>
        <v/>
      </c>
      <c r="Q112" s="145">
        <f>IF(AND(H112="L", P112&gt;=50%), "Pass",
IF(AND(H112="U", P112&gt;=60%), "Pass",
IF(AND(H112="O", P112&gt;=75%), "Pass", "Fail")))</f>
        <v/>
      </c>
      <c r="R112" s="146" t="n"/>
      <c r="S112" s="146" t="n"/>
      <c r="T112" s="146" t="n"/>
      <c r="U112" s="104">
        <f>SUM(S112:T112)</f>
        <v/>
      </c>
      <c r="V112" s="12">
        <f>U112/IF(H112="L",35,IF(H112="U",35,IF(H112="O",35,IF(H112="I",35,""))))</f>
        <v/>
      </c>
      <c r="W112" s="145">
        <f>IF(AND(H112="L", V112&gt;=50%), "Pass",
IF(AND(H112="U", V112&gt;=60%), "Pass",
IF(AND(H112="O", V112&gt;=75%), "Pass", "Fail")))</f>
        <v/>
      </c>
      <c r="X112" s="145">
        <f>IF(AND(Q112="Pass", W112="Pass"), "Pass", "Fail")</f>
        <v/>
      </c>
      <c r="Y112" s="15">
        <f>IF($X112="Pass",$H112,
IF(H112="L","I",
IF(H112="U","L",
IF(H112="O","U",
"I"))))</f>
        <v/>
      </c>
      <c r="AA112">
        <f>VLOOKUP($B112,[1]Sheet1!$B:$B,1,0)</f>
        <v/>
      </c>
      <c r="AB112">
        <f>VLOOKUP($B112,'[3]Left Employee Report'!$D:$D,1,0)</f>
        <v/>
      </c>
    </row>
    <row r="113">
      <c r="A113" s="1">
        <f>ROW()-2</f>
        <v/>
      </c>
      <c r="B113" s="28" t="inlineStr">
        <is>
          <t>SR1017</t>
        </is>
      </c>
      <c r="C113" s="23" t="inlineStr">
        <is>
          <t>SURESH</t>
        </is>
      </c>
      <c r="D113" s="23" t="inlineStr">
        <is>
          <t>PRODUCTION</t>
        </is>
      </c>
      <c r="E113" s="24" t="inlineStr">
        <is>
          <t>TYRE BUILDING-P2</t>
        </is>
      </c>
      <c r="F113" s="29" t="n">
        <v>43820</v>
      </c>
      <c r="G113" s="30">
        <f>NOW()-F113</f>
        <v/>
      </c>
      <c r="H113" s="144" t="inlineStr">
        <is>
          <t>O</t>
        </is>
      </c>
      <c r="I113" s="144" t="inlineStr">
        <is>
          <t>U</t>
        </is>
      </c>
      <c r="J113" s="144" t="n"/>
      <c r="K113" s="144" t="n"/>
      <c r="L113" s="144" t="n"/>
      <c r="M113" s="144" t="n"/>
      <c r="N113" s="144" t="n"/>
      <c r="O113" s="104">
        <f>SUM(J113:N113)</f>
        <v/>
      </c>
      <c r="P113" s="12">
        <f>O113/IF(H113="L",20,IF(H113="U",30,IF(H113="O",40,IF(H113="I",20,""))))</f>
        <v/>
      </c>
      <c r="Q113" s="145">
        <f>IF(AND(H113="L", P113&gt;=50%), "Pass",
IF(AND(H113="U", P113&gt;=60%), "Pass",
IF(AND(H113="O", P113&gt;=75%), "Pass", "Fail")))</f>
        <v/>
      </c>
      <c r="R113" s="146" t="n"/>
      <c r="S113" s="146" t="n"/>
      <c r="T113" s="146" t="n"/>
      <c r="U113" s="104">
        <f>SUM(S113:T113)</f>
        <v/>
      </c>
      <c r="V113" s="12">
        <f>U113/IF(H113="L",35,IF(H113="U",35,IF(H113="O",35,IF(H113="I",35,""))))</f>
        <v/>
      </c>
      <c r="W113" s="145">
        <f>IF(AND(H113="L", V113&gt;=50%), "Pass",
IF(AND(H113="U", V113&gt;=60%), "Pass",
IF(AND(H113="O", V113&gt;=75%), "Pass", "Fail")))</f>
        <v/>
      </c>
      <c r="X113" s="145">
        <f>IF(AND(Q113="Pass", W113="Pass"), "Pass", "Fail")</f>
        <v/>
      </c>
      <c r="Y113" s="15">
        <f>IF($X113="Pass",$H113,
IF(H113="L","I",
IF(H113="U","L",
IF(H113="O","U",
"I"))))</f>
        <v/>
      </c>
      <c r="AA113">
        <f>VLOOKUP($B113,[1]Sheet1!$B:$B,1,0)</f>
        <v/>
      </c>
      <c r="AB113">
        <f>VLOOKUP($B113,'[3]Left Employee Report'!$D:$D,1,0)</f>
        <v/>
      </c>
    </row>
    <row r="114">
      <c r="A114" s="1">
        <f>ROW()-2</f>
        <v/>
      </c>
      <c r="B114" s="28" t="inlineStr">
        <is>
          <t>SR1033</t>
        </is>
      </c>
      <c r="C114" s="23" t="inlineStr">
        <is>
          <t>VEERAMANIKANDAN</t>
        </is>
      </c>
      <c r="D114" s="23" t="inlineStr">
        <is>
          <t>PRODUCTION</t>
        </is>
      </c>
      <c r="E114" s="24" t="inlineStr">
        <is>
          <t>TYRE BUILDING-P3</t>
        </is>
      </c>
      <c r="F114" s="29" t="n">
        <v>43904</v>
      </c>
      <c r="G114" s="30">
        <f>NOW()-F114</f>
        <v/>
      </c>
      <c r="H114" s="144" t="inlineStr">
        <is>
          <t>O</t>
        </is>
      </c>
      <c r="I114" s="144" t="inlineStr">
        <is>
          <t>O</t>
        </is>
      </c>
      <c r="J114" s="144" t="n"/>
      <c r="K114" s="144" t="n"/>
      <c r="L114" s="144" t="n"/>
      <c r="M114" s="144" t="n"/>
      <c r="N114" s="144" t="n"/>
      <c r="O114" s="104">
        <f>SUM(J114:N114)</f>
        <v/>
      </c>
      <c r="P114" s="12">
        <f>O114/IF(H114="L",20,IF(H114="U",30,IF(H114="O",40,IF(H114="I",20,""))))</f>
        <v/>
      </c>
      <c r="Q114" s="145">
        <f>IF(AND(H114="L", P114&gt;=50%), "Pass",
IF(AND(H114="U", P114&gt;=60%), "Pass",
IF(AND(H114="O", P114&gt;=75%), "Pass", "Fail")))</f>
        <v/>
      </c>
      <c r="R114" s="146" t="n"/>
      <c r="S114" s="146" t="n"/>
      <c r="T114" s="146" t="n"/>
      <c r="U114" s="104">
        <f>SUM(S114:T114)</f>
        <v/>
      </c>
      <c r="V114" s="12">
        <f>U114/IF(H114="L",35,IF(H114="U",35,IF(H114="O",35,IF(H114="I",35,""))))</f>
        <v/>
      </c>
      <c r="W114" s="145">
        <f>IF(AND(H114="L", V114&gt;=50%), "Pass",
IF(AND(H114="U", V114&gt;=60%), "Pass",
IF(AND(H114="O", V114&gt;=75%), "Pass", "Fail")))</f>
        <v/>
      </c>
      <c r="X114" s="145">
        <f>IF(AND(Q114="Pass", W114="Pass"), "Pass", "Fail")</f>
        <v/>
      </c>
      <c r="Y114" s="15">
        <f>IF($X114="Pass",$H114,
IF(H114="L","I",
IF(H114="U","L",
IF(H114="O","U",
"I"))))</f>
        <v/>
      </c>
      <c r="AA114">
        <f>VLOOKUP($B114,[1]Sheet1!$B:$B,1,0)</f>
        <v/>
      </c>
      <c r="AB114">
        <f>VLOOKUP($B114,'[3]Left Employee Report'!$D:$D,1,0)</f>
        <v/>
      </c>
    </row>
    <row r="115">
      <c r="A115" s="1">
        <f>ROW()-2</f>
        <v/>
      </c>
      <c r="B115" s="28" t="inlineStr">
        <is>
          <t>SR1084</t>
        </is>
      </c>
      <c r="C115" s="23" t="inlineStr">
        <is>
          <t>ARUN M</t>
        </is>
      </c>
      <c r="D115" s="23" t="inlineStr">
        <is>
          <t>PRODUCTION</t>
        </is>
      </c>
      <c r="E115" s="24" t="inlineStr">
        <is>
          <t>RADIAL MARANGONI&amp;YANTHAI</t>
        </is>
      </c>
      <c r="F115" s="29" t="n">
        <v>44145</v>
      </c>
      <c r="G115" s="30">
        <f>NOW()-F115</f>
        <v/>
      </c>
      <c r="H115" s="144" t="inlineStr">
        <is>
          <t>O</t>
        </is>
      </c>
      <c r="I115" s="144" t="inlineStr">
        <is>
          <t>U</t>
        </is>
      </c>
      <c r="J115" s="144" t="n"/>
      <c r="K115" s="144" t="n"/>
      <c r="L115" s="144" t="n"/>
      <c r="M115" s="144" t="n"/>
      <c r="N115" s="144" t="n"/>
      <c r="O115" s="104">
        <f>SUM(J115:N115)</f>
        <v/>
      </c>
      <c r="P115" s="12">
        <f>O115/IF(H115="L",20,IF(H115="U",30,IF(H115="O",40,IF(H115="I",20,""))))</f>
        <v/>
      </c>
      <c r="Q115" s="145">
        <f>IF(AND(H115="L", P115&gt;=50%), "Pass",
IF(AND(H115="U", P115&gt;=60%), "Pass",
IF(AND(H115="O", P115&gt;=75%), "Pass", "Fail")))</f>
        <v/>
      </c>
      <c r="R115" s="146" t="n"/>
      <c r="S115" s="146" t="n"/>
      <c r="T115" s="146" t="n"/>
      <c r="U115" s="104">
        <f>SUM(S115:T115)</f>
        <v/>
      </c>
      <c r="V115" s="12">
        <f>U115/IF(H115="L",35,IF(H115="U",35,IF(H115="O",35,IF(H115="I",35,""))))</f>
        <v/>
      </c>
      <c r="W115" s="145">
        <f>IF(AND(H115="L", V115&gt;=50%), "Pass",
IF(AND(H115="U", V115&gt;=60%), "Pass",
IF(AND(H115="O", V115&gt;=75%), "Pass", "Fail")))</f>
        <v/>
      </c>
      <c r="X115" s="145">
        <f>IF(AND(Q115="Pass", W115="Pass"), "Pass", "Fail")</f>
        <v/>
      </c>
      <c r="Y115" s="15">
        <f>IF($X115="Pass",$H115,
IF(H115="L","I",
IF(H115="U","L",
IF(H115="O","U",
"I"))))</f>
        <v/>
      </c>
      <c r="AA115">
        <f>VLOOKUP($B115,[1]Sheet1!$B:$B,1,0)</f>
        <v/>
      </c>
      <c r="AB115">
        <f>VLOOKUP($B115,'[3]Left Employee Report'!$D:$D,1,0)</f>
        <v/>
      </c>
    </row>
    <row r="116">
      <c r="A116" s="1">
        <f>ROW()-2</f>
        <v/>
      </c>
      <c r="B116" s="28" t="inlineStr">
        <is>
          <t>SR1119</t>
        </is>
      </c>
      <c r="C116" s="23" t="inlineStr">
        <is>
          <t>HAKKUL ASIK BAYAS</t>
        </is>
      </c>
      <c r="D116" s="23" t="inlineStr">
        <is>
          <t>PRODUCTION</t>
        </is>
      </c>
      <c r="E116" s="24" t="inlineStr">
        <is>
          <t>EXTRUDER</t>
        </is>
      </c>
      <c r="F116" s="29" t="n">
        <v>44232</v>
      </c>
      <c r="G116" s="30">
        <f>NOW()-F116</f>
        <v/>
      </c>
      <c r="H116" s="144" t="inlineStr">
        <is>
          <t>O</t>
        </is>
      </c>
      <c r="I116" s="144" t="inlineStr">
        <is>
          <t>U</t>
        </is>
      </c>
      <c r="J116" s="144" t="n"/>
      <c r="K116" s="144" t="n"/>
      <c r="L116" s="144" t="n"/>
      <c r="M116" s="144" t="n"/>
      <c r="N116" s="144" t="n"/>
      <c r="O116" s="104">
        <f>SUM(J116:N116)</f>
        <v/>
      </c>
      <c r="P116" s="12">
        <f>O116/IF(H116="L",20,IF(H116="U",30,IF(H116="O",40,IF(H116="I",20,""))))</f>
        <v/>
      </c>
      <c r="Q116" s="145">
        <f>IF(AND(H116="L", P116&gt;=50%), "Pass",
IF(AND(H116="U", P116&gt;=60%), "Pass",
IF(AND(H116="O", P116&gt;=75%), "Pass", "Fail")))</f>
        <v/>
      </c>
      <c r="R116" s="146" t="n"/>
      <c r="S116" s="146" t="n"/>
      <c r="T116" s="146" t="n"/>
      <c r="U116" s="104">
        <f>SUM(S116:T116)</f>
        <v/>
      </c>
      <c r="V116" s="12">
        <f>U116/IF(H116="L",35,IF(H116="U",35,IF(H116="O",35,IF(H116="I",35,""))))</f>
        <v/>
      </c>
      <c r="W116" s="145">
        <f>IF(AND(H116="L", V116&gt;=50%), "Pass",
IF(AND(H116="U", V116&gt;=60%), "Pass",
IF(AND(H116="O", V116&gt;=75%), "Pass", "Fail")))</f>
        <v/>
      </c>
      <c r="X116" s="145">
        <f>IF(AND(Q116="Pass", W116="Pass"), "Pass", "Fail")</f>
        <v/>
      </c>
      <c r="Y116" s="15">
        <f>IF($X116="Pass",$H116,
IF(H116="L","I",
IF(H116="U","L",
IF(H116="O","U",
"I"))))</f>
        <v/>
      </c>
      <c r="AA116">
        <f>VLOOKUP($B116,[1]Sheet1!$B:$B,1,0)</f>
        <v/>
      </c>
      <c r="AB116">
        <f>VLOOKUP($B116,'[3]Left Employee Report'!$D:$D,1,0)</f>
        <v/>
      </c>
    </row>
    <row r="117">
      <c r="A117" s="1">
        <f>ROW()-2</f>
        <v/>
      </c>
      <c r="B117" s="28" t="inlineStr">
        <is>
          <t>SR1191</t>
        </is>
      </c>
      <c r="C117" s="23" t="inlineStr">
        <is>
          <t>RAJ S</t>
        </is>
      </c>
      <c r="D117" s="23" t="inlineStr">
        <is>
          <t>PRODUCTION</t>
        </is>
      </c>
      <c r="E117" s="24" t="inlineStr">
        <is>
          <t>BAND BUILDING-P1</t>
        </is>
      </c>
      <c r="F117" s="29" t="n">
        <v>44497</v>
      </c>
      <c r="G117" s="30">
        <f>NOW()-F117</f>
        <v/>
      </c>
      <c r="H117" s="144" t="inlineStr">
        <is>
          <t>U</t>
        </is>
      </c>
      <c r="I117" s="144" t="inlineStr">
        <is>
          <t>U</t>
        </is>
      </c>
      <c r="J117" s="144" t="n"/>
      <c r="K117" s="144" t="n"/>
      <c r="L117" s="144" t="n"/>
      <c r="M117" s="144" t="n"/>
      <c r="N117" s="144" t="n"/>
      <c r="O117" s="104">
        <f>SUM(J117:N117)</f>
        <v/>
      </c>
      <c r="P117" s="12">
        <f>O117/IF(H117="L",20,IF(H117="U",30,IF(H117="O",40,IF(H117="I",20,""))))</f>
        <v/>
      </c>
      <c r="Q117" s="145">
        <f>IF(AND(H117="L", P117&gt;=50%), "Pass",
IF(AND(H117="U", P117&gt;=60%), "Pass",
IF(AND(H117="O", P117&gt;=75%), "Pass", "Fail")))</f>
        <v/>
      </c>
      <c r="R117" s="146" t="n"/>
      <c r="S117" s="146" t="n"/>
      <c r="T117" s="146" t="n"/>
      <c r="U117" s="104">
        <f>SUM(S117:T117)</f>
        <v/>
      </c>
      <c r="V117" s="12">
        <f>U117/IF(H117="L",35,IF(H117="U",35,IF(H117="O",35,IF(H117="I",35,""))))</f>
        <v/>
      </c>
      <c r="W117" s="145">
        <f>IF(AND(H117="L", V117&gt;=50%), "Pass",
IF(AND(H117="U", V117&gt;=60%), "Pass",
IF(AND(H117="O", V117&gt;=75%), "Pass", "Fail")))</f>
        <v/>
      </c>
      <c r="X117" s="145">
        <f>IF(AND(Q117="Pass", W117="Pass"), "Pass", "Fail")</f>
        <v/>
      </c>
      <c r="Y117" s="15">
        <f>IF($X117="Pass",$H117,
IF(H117="L","I",
IF(H117="U","L",
IF(H117="O","U",
"I"))))</f>
        <v/>
      </c>
      <c r="AA117">
        <f>VLOOKUP($B117,[1]Sheet1!$B:$B,1,0)</f>
        <v/>
      </c>
      <c r="AB117">
        <f>VLOOKUP($B117,'[3]Left Employee Report'!$D:$D,1,0)</f>
        <v/>
      </c>
    </row>
    <row r="118">
      <c r="A118" s="1">
        <f>ROW()-2</f>
        <v/>
      </c>
      <c r="B118" s="28" t="inlineStr">
        <is>
          <t>SR1236</t>
        </is>
      </c>
      <c r="C118" s="23" t="inlineStr">
        <is>
          <t>HIGHCOURTDURAIMAHARAJA Y</t>
        </is>
      </c>
      <c r="D118" s="23" t="inlineStr">
        <is>
          <t>PRODUCTION</t>
        </is>
      </c>
      <c r="E118" s="24" t="inlineStr">
        <is>
          <t>SOLID TYRE</t>
        </is>
      </c>
      <c r="F118" s="29" t="n">
        <v>44590</v>
      </c>
      <c r="G118" s="30">
        <f>NOW()-F118</f>
        <v/>
      </c>
      <c r="H118" s="144" t="inlineStr">
        <is>
          <t>U</t>
        </is>
      </c>
      <c r="I118" s="144" t="inlineStr">
        <is>
          <t>U</t>
        </is>
      </c>
      <c r="J118" s="144" t="n"/>
      <c r="K118" s="144" t="n"/>
      <c r="L118" s="144" t="n"/>
      <c r="M118" s="144" t="n"/>
      <c r="N118" s="144" t="n"/>
      <c r="O118" s="104">
        <f>SUM(J118:N118)</f>
        <v/>
      </c>
      <c r="P118" s="12">
        <f>O118/IF(H118="L",20,IF(H118="U",30,IF(H118="O",40,IF(H118="I",20,""))))</f>
        <v/>
      </c>
      <c r="Q118" s="145">
        <f>IF(AND(H118="L", P118&gt;=50%), "Pass",
IF(AND(H118="U", P118&gt;=60%), "Pass",
IF(AND(H118="O", P118&gt;=75%), "Pass", "Fail")))</f>
        <v/>
      </c>
      <c r="R118" s="146" t="n"/>
      <c r="S118" s="146" t="n"/>
      <c r="T118" s="146" t="n"/>
      <c r="U118" s="104">
        <f>SUM(S118:T118)</f>
        <v/>
      </c>
      <c r="V118" s="12">
        <f>U118/IF(H118="L",35,IF(H118="U",35,IF(H118="O",35,IF(H118="I",35,""))))</f>
        <v/>
      </c>
      <c r="W118" s="145">
        <f>IF(AND(H118="L", V118&gt;=50%), "Pass",
IF(AND(H118="U", V118&gt;=60%), "Pass",
IF(AND(H118="O", V118&gt;=75%), "Pass", "Fail")))</f>
        <v/>
      </c>
      <c r="X118" s="145">
        <f>IF(AND(Q118="Pass", W118="Pass"), "Pass", "Fail")</f>
        <v/>
      </c>
      <c r="Y118" s="15">
        <f>IF($X118="Pass",$H118,
IF(H118="L","I",
IF(H118="U","L",
IF(H118="O","U",
"I"))))</f>
        <v/>
      </c>
      <c r="AA118">
        <f>VLOOKUP($B118,[1]Sheet1!$B:$B,1,0)</f>
        <v/>
      </c>
      <c r="AB118">
        <f>VLOOKUP($B118,'[3]Left Employee Report'!$D:$D,1,0)</f>
        <v/>
      </c>
    </row>
    <row r="119">
      <c r="A119" s="1">
        <f>ROW()-2</f>
        <v/>
      </c>
      <c r="B119" s="28" t="inlineStr">
        <is>
          <t>SR1319</t>
        </is>
      </c>
      <c r="C119" s="23" t="inlineStr">
        <is>
          <t>MARIAPPAN P</t>
        </is>
      </c>
      <c r="D119" s="23" t="inlineStr">
        <is>
          <t>PRODUCTION</t>
        </is>
      </c>
      <c r="E119" s="24" t="inlineStr">
        <is>
          <t>BIAS MARANGONI&amp;BESTRY</t>
        </is>
      </c>
      <c r="F119" s="29" t="n">
        <v>44874</v>
      </c>
      <c r="G119" s="30">
        <f>NOW()-F119</f>
        <v/>
      </c>
      <c r="H119" s="144" t="inlineStr">
        <is>
          <t>U</t>
        </is>
      </c>
      <c r="I119" s="144" t="inlineStr">
        <is>
          <t>U</t>
        </is>
      </c>
      <c r="J119" s="144" t="n"/>
      <c r="K119" s="144" t="n"/>
      <c r="L119" s="144" t="n"/>
      <c r="M119" s="144" t="n"/>
      <c r="N119" s="144" t="n"/>
      <c r="O119" s="104">
        <f>SUM(J119:N119)</f>
        <v/>
      </c>
      <c r="P119" s="12">
        <f>O119/IF(H119="L",20,IF(H119="U",30,IF(H119="O",40,IF(H119="I",20,""))))</f>
        <v/>
      </c>
      <c r="Q119" s="145">
        <f>IF(AND(H119="L", P119&gt;=50%), "Pass",
IF(AND(H119="U", P119&gt;=60%), "Pass",
IF(AND(H119="O", P119&gt;=75%), "Pass", "Fail")))</f>
        <v/>
      </c>
      <c r="R119" s="146" t="n"/>
      <c r="S119" s="146" t="n"/>
      <c r="T119" s="146" t="n"/>
      <c r="U119" s="104">
        <f>SUM(S119:T119)</f>
        <v/>
      </c>
      <c r="V119" s="12">
        <f>U119/IF(H119="L",35,IF(H119="U",35,IF(H119="O",35,IF(H119="I",35,""))))</f>
        <v/>
      </c>
      <c r="W119" s="145">
        <f>IF(AND(H119="L", V119&gt;=50%), "Pass",
IF(AND(H119="U", V119&gt;=60%), "Pass",
IF(AND(H119="O", V119&gt;=75%), "Pass", "Fail")))</f>
        <v/>
      </c>
      <c r="X119" s="145">
        <f>IF(AND(Q119="Pass", W119="Pass"), "Pass", "Fail")</f>
        <v/>
      </c>
      <c r="Y119" s="15">
        <f>IF($X119="Pass",$H119,
IF(H119="L","I",
IF(H119="U","L",
IF(H119="O","U",
"I"))))</f>
        <v/>
      </c>
      <c r="AA119">
        <f>VLOOKUP($B119,[1]Sheet1!$B:$B,1,0)</f>
        <v/>
      </c>
      <c r="AB119">
        <f>VLOOKUP($B119,'[3]Left Employee Report'!$D:$D,1,0)</f>
        <v/>
      </c>
    </row>
    <row r="120">
      <c r="A120" s="1">
        <f>ROW()-2</f>
        <v/>
      </c>
      <c r="B120" s="28" t="inlineStr">
        <is>
          <t>SR1362</t>
        </is>
      </c>
      <c r="C120" s="23" t="inlineStr">
        <is>
          <t>MURUGESAN SUBBAIAH</t>
        </is>
      </c>
      <c r="D120" s="23" t="inlineStr">
        <is>
          <t>PRODUCTION</t>
        </is>
      </c>
      <c r="E120" s="24" t="inlineStr">
        <is>
          <t>SOLID TYRE</t>
        </is>
      </c>
      <c r="F120" s="29" t="n">
        <v>45052</v>
      </c>
      <c r="G120" s="30">
        <f>NOW()-F120</f>
        <v/>
      </c>
      <c r="H120" s="144" t="inlineStr">
        <is>
          <t>U</t>
        </is>
      </c>
      <c r="I120" s="144" t="inlineStr">
        <is>
          <t>U</t>
        </is>
      </c>
      <c r="J120" s="144" t="n"/>
      <c r="K120" s="144" t="n"/>
      <c r="L120" s="144" t="n"/>
      <c r="M120" s="144" t="n"/>
      <c r="N120" s="144" t="n"/>
      <c r="O120" s="104">
        <f>SUM(J120:N120)</f>
        <v/>
      </c>
      <c r="P120" s="12">
        <f>O120/IF(H120="L",20,IF(H120="U",30,IF(H120="O",40,IF(H120="I",20,""))))</f>
        <v/>
      </c>
      <c r="Q120" s="145">
        <f>IF(AND(H120="L", P120&gt;=50%), "Pass",
IF(AND(H120="U", P120&gt;=60%), "Pass",
IF(AND(H120="O", P120&gt;=75%), "Pass", "Fail")))</f>
        <v/>
      </c>
      <c r="R120" s="146" t="n"/>
      <c r="S120" s="146" t="n"/>
      <c r="T120" s="146" t="n"/>
      <c r="U120" s="104">
        <f>SUM(S120:T120)</f>
        <v/>
      </c>
      <c r="V120" s="12">
        <f>U120/IF(H120="L",35,IF(H120="U",35,IF(H120="O",35,IF(H120="I",35,""))))</f>
        <v/>
      </c>
      <c r="W120" s="145">
        <f>IF(AND(H120="L", V120&gt;=50%), "Pass",
IF(AND(H120="U", V120&gt;=60%), "Pass",
IF(AND(H120="O", V120&gt;=75%), "Pass", "Fail")))</f>
        <v/>
      </c>
      <c r="X120" s="145">
        <f>IF(AND(Q120="Pass", W120="Pass"), "Pass", "Fail")</f>
        <v/>
      </c>
      <c r="Y120" s="15">
        <f>IF($X120="Pass",$H120,
IF(H120="L","I",
IF(H120="U","L",
IF(H120="O","U",
"I"))))</f>
        <v/>
      </c>
      <c r="AA120">
        <f>VLOOKUP($B120,[1]Sheet1!$B:$B,1,0)</f>
        <v/>
      </c>
      <c r="AB120">
        <f>VLOOKUP($B120,'[3]Left Employee Report'!$D:$D,1,0)</f>
        <v/>
      </c>
    </row>
    <row r="121">
      <c r="A121" s="1">
        <f>ROW()-2</f>
        <v/>
      </c>
      <c r="B121" s="28" t="inlineStr">
        <is>
          <t>SR1432</t>
        </is>
      </c>
      <c r="C121" s="23" t="inlineStr">
        <is>
          <t>CHINNATHAMBI M</t>
        </is>
      </c>
      <c r="D121" s="23" t="inlineStr">
        <is>
          <t>PRODUCTION</t>
        </is>
      </c>
      <c r="E121" s="24" t="inlineStr">
        <is>
          <t>BIAS MARANGONI&amp;BESTRY</t>
        </is>
      </c>
      <c r="F121" s="29" t="n">
        <v>45684</v>
      </c>
      <c r="G121" s="30">
        <f>NOW()-F121</f>
        <v/>
      </c>
      <c r="H121" s="144" t="inlineStr">
        <is>
          <t>L</t>
        </is>
      </c>
      <c r="I121" s="144" t="inlineStr">
        <is>
          <t>I</t>
        </is>
      </c>
      <c r="J121" s="144" t="n"/>
      <c r="K121" s="144" t="n"/>
      <c r="L121" s="144" t="n"/>
      <c r="M121" s="144" t="n"/>
      <c r="N121" s="144" t="n"/>
      <c r="O121" s="104">
        <f>SUM(J121:N121)</f>
        <v/>
      </c>
      <c r="P121" s="12">
        <f>O121/IF(H121="L",20,IF(H121="U",30,IF(H121="O",40,IF(H121="I",20,""))))</f>
        <v/>
      </c>
      <c r="Q121" s="145">
        <f>IF(AND(H121="L", P121&gt;=50%), "Pass",
IF(AND(H121="U", P121&gt;=60%), "Pass",
IF(AND(H121="O", P121&gt;=75%), "Pass", "Fail")))</f>
        <v/>
      </c>
      <c r="R121" s="146" t="n"/>
      <c r="S121" s="146" t="n"/>
      <c r="T121" s="146" t="n"/>
      <c r="U121" s="104">
        <f>SUM(S121:T121)</f>
        <v/>
      </c>
      <c r="V121" s="12">
        <f>U121/IF(H121="L",35,IF(H121="U",35,IF(H121="O",35,IF(H121="I",35,""))))</f>
        <v/>
      </c>
      <c r="W121" s="145">
        <f>IF(AND(H121="L", V121&gt;=50%), "Pass",
IF(AND(H121="U", V121&gt;=60%), "Pass",
IF(AND(H121="O", V121&gt;=75%), "Pass", "Fail")))</f>
        <v/>
      </c>
      <c r="X121" s="145">
        <f>IF(AND(Q121="Pass", W121="Pass"), "Pass", "Fail")</f>
        <v/>
      </c>
      <c r="Y121" s="15">
        <f>IF($X121="Pass",$H121,
IF(H121="L","I",
IF(H121="U","L",
IF(H121="O","U",
"I"))))</f>
        <v/>
      </c>
      <c r="AA121">
        <f>VLOOKUP($B121,[1]Sheet1!$B:$B,1,0)</f>
        <v/>
      </c>
      <c r="AB121">
        <f>VLOOKUP($B121,'[3]Left Employee Report'!$D:$D,1,0)</f>
        <v/>
      </c>
    </row>
    <row r="122">
      <c r="A122" s="1">
        <f>ROW()-2</f>
        <v/>
      </c>
      <c r="B122" s="28" t="inlineStr">
        <is>
          <t>SR1437</t>
        </is>
      </c>
      <c r="C122" s="23" t="inlineStr">
        <is>
          <t>MUPPIDATHI V</t>
        </is>
      </c>
      <c r="D122" s="23" t="inlineStr">
        <is>
          <t>PRODUCTION</t>
        </is>
      </c>
      <c r="E122" s="24" t="inlineStr">
        <is>
          <t>SOLID TYRE</t>
        </is>
      </c>
      <c r="F122" s="29" t="n">
        <v>45686</v>
      </c>
      <c r="G122" s="30">
        <f>NOW()-F122</f>
        <v/>
      </c>
      <c r="H122" s="144" t="inlineStr">
        <is>
          <t>L</t>
        </is>
      </c>
      <c r="I122" s="144" t="inlineStr">
        <is>
          <t>L</t>
        </is>
      </c>
      <c r="J122" s="144" t="n"/>
      <c r="K122" s="144" t="n"/>
      <c r="L122" s="144" t="n"/>
      <c r="M122" s="144" t="n"/>
      <c r="N122" s="144" t="n"/>
      <c r="O122" s="104">
        <f>SUM(J122:N122)</f>
        <v/>
      </c>
      <c r="P122" s="12">
        <f>O122/IF(H122="L",20,IF(H122="U",30,IF(H122="O",40,IF(H122="I",20,""))))</f>
        <v/>
      </c>
      <c r="Q122" s="145">
        <f>IF(AND(H122="L", P122&gt;=50%), "Pass",
IF(AND(H122="U", P122&gt;=60%), "Pass",
IF(AND(H122="O", P122&gt;=75%), "Pass", "Fail")))</f>
        <v/>
      </c>
      <c r="R122" s="146" t="n"/>
      <c r="S122" s="146" t="n"/>
      <c r="T122" s="146" t="n"/>
      <c r="U122" s="104">
        <f>SUM(S122:T122)</f>
        <v/>
      </c>
      <c r="V122" s="12">
        <f>U122/IF(H122="L",35,IF(H122="U",35,IF(H122="O",35,IF(H122="I",35,""))))</f>
        <v/>
      </c>
      <c r="W122" s="145">
        <f>IF(AND(H122="L", V122&gt;=50%), "Pass",
IF(AND(H122="U", V122&gt;=60%), "Pass",
IF(AND(H122="O", V122&gt;=75%), "Pass", "Fail")))</f>
        <v/>
      </c>
      <c r="X122" s="145">
        <f>IF(AND(Q122="Pass", W122="Pass"), "Pass", "Fail")</f>
        <v/>
      </c>
      <c r="Y122" s="15">
        <f>IF($X122="Pass",$H122,
IF(H122="L","I",
IF(H122="U","L",
IF(H122="O","U",
"I"))))</f>
        <v/>
      </c>
      <c r="AA122">
        <f>VLOOKUP($B122,[1]Sheet1!$B:$B,1,0)</f>
        <v/>
      </c>
      <c r="AB122">
        <f>VLOOKUP($B122,'[3]Left Employee Report'!$D:$D,1,0)</f>
        <v/>
      </c>
    </row>
    <row r="123">
      <c r="A123" s="1">
        <f>ROW()-2</f>
        <v/>
      </c>
      <c r="B123" s="28" t="inlineStr">
        <is>
          <t>SR1439</t>
        </is>
      </c>
      <c r="C123" s="23" t="inlineStr">
        <is>
          <t>KATHIRVEL S</t>
        </is>
      </c>
      <c r="D123" s="23" t="inlineStr">
        <is>
          <t>PRODUCTION</t>
        </is>
      </c>
      <c r="E123" s="24" t="inlineStr">
        <is>
          <t>TYRE BUILDING-P3</t>
        </is>
      </c>
      <c r="F123" s="29" t="n">
        <v>45686</v>
      </c>
      <c r="G123" s="30">
        <f>NOW()-F123</f>
        <v/>
      </c>
      <c r="H123" s="144" t="inlineStr">
        <is>
          <t>L</t>
        </is>
      </c>
      <c r="I123" s="144" t="inlineStr">
        <is>
          <t>L</t>
        </is>
      </c>
      <c r="J123" s="144" t="n"/>
      <c r="K123" s="144" t="n"/>
      <c r="L123" s="144" t="n"/>
      <c r="M123" s="144" t="n"/>
      <c r="N123" s="144" t="n"/>
      <c r="O123" s="104">
        <f>SUM(J123:N123)</f>
        <v/>
      </c>
      <c r="P123" s="12">
        <f>O123/IF(H123="L",20,IF(H123="U",30,IF(H123="O",40,IF(H123="I",20,""))))</f>
        <v/>
      </c>
      <c r="Q123" s="145">
        <f>IF(AND(H123="L", P123&gt;=50%), "Pass",
IF(AND(H123="U", P123&gt;=60%), "Pass",
IF(AND(H123="O", P123&gt;=75%), "Pass", "Fail")))</f>
        <v/>
      </c>
      <c r="R123" s="146" t="n"/>
      <c r="S123" s="146" t="n"/>
      <c r="T123" s="146" t="n"/>
      <c r="U123" s="104">
        <f>SUM(S123:T123)</f>
        <v/>
      </c>
      <c r="V123" s="12">
        <f>U123/IF(H123="L",35,IF(H123="U",35,IF(H123="O",35,IF(H123="I",35,""))))</f>
        <v/>
      </c>
      <c r="W123" s="145">
        <f>IF(AND(H123="L", V123&gt;=50%), "Pass",
IF(AND(H123="U", V123&gt;=60%), "Pass",
IF(AND(H123="O", V123&gt;=75%), "Pass", "Fail")))</f>
        <v/>
      </c>
      <c r="X123" s="145">
        <f>IF(AND(Q123="Pass", W123="Pass"), "Pass", "Fail")</f>
        <v/>
      </c>
      <c r="Y123" s="15">
        <f>IF($X123="Pass",$H123,
IF(H123="L","I",
IF(H123="U","L",
IF(H123="O","U",
"I"))))</f>
        <v/>
      </c>
      <c r="AA123">
        <f>VLOOKUP($B123,[1]Sheet1!$B:$B,1,0)</f>
        <v/>
      </c>
      <c r="AB123">
        <f>VLOOKUP($B123,'[3]Left Employee Report'!$D:$D,1,0)</f>
        <v/>
      </c>
    </row>
    <row r="124">
      <c r="A124" s="1">
        <f>ROW()-2</f>
        <v/>
      </c>
      <c r="B124" s="28" t="inlineStr">
        <is>
          <t>SR1470</t>
        </is>
      </c>
      <c r="C124" s="23" t="inlineStr">
        <is>
          <t>RAMASUBRAMANIAN</t>
        </is>
      </c>
      <c r="D124" s="23" t="inlineStr">
        <is>
          <t>PRODUCTION</t>
        </is>
      </c>
      <c r="E124" s="24" t="inlineStr">
        <is>
          <t>TYRE BUILDING-P3</t>
        </is>
      </c>
      <c r="F124" s="29" t="n">
        <v>45789</v>
      </c>
      <c r="G124" s="30">
        <f>NOW()-F124</f>
        <v/>
      </c>
      <c r="H124" s="144" t="inlineStr">
        <is>
          <t>I</t>
        </is>
      </c>
      <c r="I124" s="144" t="inlineStr">
        <is>
          <t>I</t>
        </is>
      </c>
      <c r="J124" s="144" t="n"/>
      <c r="K124" s="144" t="n"/>
      <c r="L124" s="144" t="n"/>
      <c r="M124" s="144" t="n"/>
      <c r="N124" s="144" t="n"/>
      <c r="O124" s="104">
        <f>SUM(J124:N124)</f>
        <v/>
      </c>
      <c r="P124" s="12">
        <f>O124/IF(H124="L",20,IF(H124="U",30,IF(H124="O",40,IF(H124="I",20,""))))</f>
        <v/>
      </c>
      <c r="Q124" s="145">
        <f>IF(AND(H124="L", P124&gt;=50%), "Pass",
IF(AND(H124="U", P124&gt;=60%), "Pass",
IF(AND(H124="O", P124&gt;=75%), "Pass", "Fail")))</f>
        <v/>
      </c>
      <c r="R124" s="146" t="n"/>
      <c r="S124" s="146" t="n"/>
      <c r="T124" s="146" t="n"/>
      <c r="U124" s="104">
        <f>SUM(S124:T124)</f>
        <v/>
      </c>
      <c r="V124" s="12">
        <f>U124/IF(H124="L",35,IF(H124="U",35,IF(H124="O",35,IF(H124="I",35,""))))</f>
        <v/>
      </c>
      <c r="W124" s="145">
        <f>IF(AND(H124="L", V124&gt;=50%), "Pass",
IF(AND(H124="U", V124&gt;=60%), "Pass",
IF(AND(H124="O", V124&gt;=75%), "Pass", "Fail")))</f>
        <v/>
      </c>
      <c r="X124" s="145">
        <f>IF(AND(Q124="Pass", W124="Pass"), "Pass", "Fail")</f>
        <v/>
      </c>
      <c r="Y124" s="15">
        <f>IF($X124="Pass",$H124,
IF(H124="L","I",
IF(H124="U","L",
IF(H124="O","U",
"I"))))</f>
        <v/>
      </c>
      <c r="AA124">
        <f>VLOOKUP($B124,[1]Sheet1!$B:$B,1,0)</f>
        <v/>
      </c>
      <c r="AB124">
        <f>VLOOKUP($B124,'[3]Left Employee Report'!$D:$D,1,0)</f>
        <v/>
      </c>
    </row>
    <row r="125">
      <c r="A125" s="1">
        <f>ROW()-2</f>
        <v/>
      </c>
      <c r="B125" s="28" t="inlineStr">
        <is>
          <t>SR1474</t>
        </is>
      </c>
      <c r="C125" s="23" t="inlineStr">
        <is>
          <t>RAM PRATHAPH P</t>
        </is>
      </c>
      <c r="D125" s="23" t="inlineStr">
        <is>
          <t>PRODUCTION</t>
        </is>
      </c>
      <c r="E125" s="24" t="inlineStr">
        <is>
          <t>BEAD WINDING</t>
        </is>
      </c>
      <c r="F125" s="29" t="n">
        <v>45796</v>
      </c>
      <c r="G125" s="30">
        <f>NOW()-F125</f>
        <v/>
      </c>
      <c r="H125" s="144" t="inlineStr">
        <is>
          <t>I</t>
        </is>
      </c>
      <c r="I125" s="144" t="inlineStr">
        <is>
          <t>I</t>
        </is>
      </c>
      <c r="J125" s="144" t="n"/>
      <c r="K125" s="144" t="n"/>
      <c r="L125" s="144" t="n"/>
      <c r="M125" s="144" t="n"/>
      <c r="N125" s="144" t="n"/>
      <c r="O125" s="104">
        <f>SUM(J125:N125)</f>
        <v/>
      </c>
      <c r="P125" s="12">
        <f>O125/IF(H125="L",20,IF(H125="U",30,IF(H125="O",40,IF(H125="I",20,""))))</f>
        <v/>
      </c>
      <c r="Q125" s="145">
        <f>IF(AND(H125="L", P125&gt;=50%), "Pass",
IF(AND(H125="U", P125&gt;=60%), "Pass",
IF(AND(H125="O", P125&gt;=75%), "Pass", "Fail")))</f>
        <v/>
      </c>
      <c r="R125" s="146" t="n"/>
      <c r="S125" s="146" t="n"/>
      <c r="T125" s="146" t="n"/>
      <c r="U125" s="104">
        <f>SUM(S125:T125)</f>
        <v/>
      </c>
      <c r="V125" s="12">
        <f>U125/IF(H125="L",35,IF(H125="U",35,IF(H125="O",35,IF(H125="I",35,""))))</f>
        <v/>
      </c>
      <c r="W125" s="145">
        <f>IF(AND(H125="L", V125&gt;=50%), "Pass",
IF(AND(H125="U", V125&gt;=60%), "Pass",
IF(AND(H125="O", V125&gt;=75%), "Pass", "Fail")))</f>
        <v/>
      </c>
      <c r="X125" s="145">
        <f>IF(AND(Q125="Pass", W125="Pass"), "Pass", "Fail")</f>
        <v/>
      </c>
      <c r="Y125" s="15">
        <f>IF($X125="Pass",$H125,
IF(H125="L","I",
IF(H125="U","L",
IF(H125="O","U",
"I"))))</f>
        <v/>
      </c>
      <c r="AA125">
        <f>VLOOKUP($B125,[1]Sheet1!$B:$B,1,0)</f>
        <v/>
      </c>
      <c r="AB125">
        <f>VLOOKUP($B125,'[3]Left Employee Report'!$D:$D,1,0)</f>
        <v/>
      </c>
    </row>
    <row r="126">
      <c r="A126" s="1">
        <f>ROW()-2</f>
        <v/>
      </c>
      <c r="B126" s="28" t="inlineStr">
        <is>
          <t>SR1500</t>
        </is>
      </c>
      <c r="C126" s="23" t="inlineStr">
        <is>
          <t>MAHESHWARAN S</t>
        </is>
      </c>
      <c r="D126" s="23" t="inlineStr">
        <is>
          <t>PRODUCTION</t>
        </is>
      </c>
      <c r="E126" s="24" t="inlineStr">
        <is>
          <t>BAND BUILDING-P1</t>
        </is>
      </c>
      <c r="F126" s="29" t="n">
        <v>45831</v>
      </c>
      <c r="G126" s="30">
        <f>NOW()-F126</f>
        <v/>
      </c>
      <c r="H126" s="144" t="inlineStr">
        <is>
          <t>I</t>
        </is>
      </c>
      <c r="I126" s="144" t="inlineStr">
        <is>
          <t>I</t>
        </is>
      </c>
      <c r="J126" s="144" t="n"/>
      <c r="K126" s="144" t="n"/>
      <c r="L126" s="144" t="n"/>
      <c r="M126" s="144" t="n"/>
      <c r="N126" s="144" t="n"/>
      <c r="O126" s="104">
        <f>SUM(J126:N126)</f>
        <v/>
      </c>
      <c r="P126" s="12">
        <f>O126/IF(H126="L",20,IF(H126="U",30,IF(H126="O",40,IF(H126="I",20,""))))</f>
        <v/>
      </c>
      <c r="Q126" s="145">
        <f>IF(AND(H126="L", P126&gt;=50%), "Pass",
IF(AND(H126="U", P126&gt;=60%), "Pass",
IF(AND(H126="O", P126&gt;=75%), "Pass", "Fail")))</f>
        <v/>
      </c>
      <c r="R126" s="146" t="n"/>
      <c r="S126" s="146" t="n"/>
      <c r="T126" s="146" t="n"/>
      <c r="U126" s="104">
        <f>SUM(S126:T126)</f>
        <v/>
      </c>
      <c r="V126" s="12">
        <f>U126/IF(H126="L",35,IF(H126="U",35,IF(H126="O",35,IF(H126="I",35,""))))</f>
        <v/>
      </c>
      <c r="W126" s="145">
        <f>IF(AND(H126="L", V126&gt;=50%), "Pass",
IF(AND(H126="U", V126&gt;=60%), "Pass",
IF(AND(H126="O", V126&gt;=75%), "Pass", "Fail")))</f>
        <v/>
      </c>
      <c r="X126" s="145">
        <f>IF(AND(Q126="Pass", W126="Pass"), "Pass", "Fail")</f>
        <v/>
      </c>
      <c r="Y126" s="15">
        <f>IF($X126="Pass",$H126,
IF(H126="L","I",
IF(H126="U","L",
IF(H126="O","U",
"I"))))</f>
        <v/>
      </c>
      <c r="AA126">
        <f>VLOOKUP($B126,[1]Sheet1!$B:$B,1,0)</f>
        <v/>
      </c>
      <c r="AB126">
        <f>VLOOKUP($B126,'[3]Left Employee Report'!$D:$D,1,0)</f>
        <v/>
      </c>
    </row>
    <row r="127">
      <c r="A127" s="1">
        <f>ROW()-2</f>
        <v/>
      </c>
      <c r="B127" s="28" t="inlineStr">
        <is>
          <t>LN0829</t>
        </is>
      </c>
      <c r="C127" s="23" t="inlineStr">
        <is>
          <t>M ARUN</t>
        </is>
      </c>
      <c r="D127" s="23" t="inlineStr">
        <is>
          <t>PRODUCTION</t>
        </is>
      </c>
      <c r="E127" s="24" t="inlineStr">
        <is>
          <t>3 ROLL-P2</t>
        </is>
      </c>
      <c r="F127" s="29" t="n">
        <v>45768</v>
      </c>
      <c r="G127" s="30">
        <f>NOW()-F127</f>
        <v/>
      </c>
      <c r="H127" s="144" t="inlineStr">
        <is>
          <t>I</t>
        </is>
      </c>
      <c r="I127" s="144" t="inlineStr">
        <is>
          <t>I</t>
        </is>
      </c>
      <c r="J127" s="144" t="n"/>
      <c r="K127" s="144" t="n"/>
      <c r="L127" s="144" t="n"/>
      <c r="M127" s="144" t="n"/>
      <c r="N127" s="144" t="n"/>
      <c r="O127" s="104">
        <f>SUM(J127:N127)</f>
        <v/>
      </c>
      <c r="P127" s="12">
        <f>O127/IF(H127="L",20,IF(H127="U",30,IF(H127="O",40,IF(H127="I",20,""))))</f>
        <v/>
      </c>
      <c r="Q127" s="145">
        <f>IF(AND(H127="L", P127&gt;=50%), "Pass",
IF(AND(H127="U", P127&gt;=60%), "Pass",
IF(AND(H127="O", P127&gt;=75%), "Pass", "Fail")))</f>
        <v/>
      </c>
      <c r="R127" s="146" t="n"/>
      <c r="S127" s="146" t="n"/>
      <c r="T127" s="146" t="n"/>
      <c r="U127" s="104">
        <f>SUM(S127:T127)</f>
        <v/>
      </c>
      <c r="V127" s="12">
        <f>U127/IF(H127="L",35,IF(H127="U",35,IF(H127="O",35,IF(H127="I",35,""))))</f>
        <v/>
      </c>
      <c r="W127" s="145">
        <f>IF(AND(H127="L", V127&gt;=50%), "Pass",
IF(AND(H127="U", V127&gt;=60%), "Pass",
IF(AND(H127="O", V127&gt;=75%), "Pass", "Fail")))</f>
        <v/>
      </c>
      <c r="X127" s="145">
        <f>IF(AND(Q127="Pass", W127="Pass"), "Pass", "Fail")</f>
        <v/>
      </c>
      <c r="Y127" s="15">
        <f>IF($X127="Pass",$H127,
IF(H127="L","I",
IF(H127="U","L",
IF(H127="O","U",
"I"))))</f>
        <v/>
      </c>
      <c r="AA127">
        <f>VLOOKUP($B127,[1]Sheet1!$B:$B,1,0)</f>
        <v/>
      </c>
      <c r="AB127">
        <f>VLOOKUP($B127,'[3]Left Employee Report'!$D:$D,1,0)</f>
        <v/>
      </c>
    </row>
    <row r="128">
      <c r="A128" s="1">
        <f>ROW()-2</f>
        <v/>
      </c>
      <c r="B128" s="28" t="inlineStr">
        <is>
          <t>SK3602</t>
        </is>
      </c>
      <c r="C128" s="23" t="inlineStr">
        <is>
          <t>MOHAMED PARVESH</t>
        </is>
      </c>
      <c r="D128" s="23" t="inlineStr">
        <is>
          <t>PRODUCTION</t>
        </is>
      </c>
      <c r="E128" s="24" t="inlineStr">
        <is>
          <t>BAND BUILDING-P1</t>
        </is>
      </c>
      <c r="F128" s="29" t="n">
        <v>45684</v>
      </c>
      <c r="G128" s="30">
        <f>NOW()-F128</f>
        <v/>
      </c>
      <c r="H128" s="144" t="inlineStr">
        <is>
          <t>L</t>
        </is>
      </c>
      <c r="I128" s="144" t="inlineStr">
        <is>
          <t>I</t>
        </is>
      </c>
      <c r="J128" s="144" t="n"/>
      <c r="K128" s="144" t="n"/>
      <c r="L128" s="144" t="n"/>
      <c r="M128" s="144" t="n"/>
      <c r="N128" s="144" t="n"/>
      <c r="O128" s="104">
        <f>SUM(J128:N128)</f>
        <v/>
      </c>
      <c r="P128" s="12">
        <f>O128/IF(H128="L",20,IF(H128="U",30,IF(H128="O",40,IF(H128="I",20,""))))</f>
        <v/>
      </c>
      <c r="Q128" s="145">
        <f>IF(AND(H128="L", P128&gt;=50%), "Pass",
IF(AND(H128="U", P128&gt;=60%), "Pass",
IF(AND(H128="O", P128&gt;=75%), "Pass", "Fail")))</f>
        <v/>
      </c>
      <c r="R128" s="146" t="n"/>
      <c r="S128" s="146" t="n"/>
      <c r="T128" s="146" t="n"/>
      <c r="U128" s="104">
        <f>SUM(S128:T128)</f>
        <v/>
      </c>
      <c r="V128" s="12">
        <f>U128/IF(H128="L",35,IF(H128="U",35,IF(H128="O",35,IF(H128="I",35,""))))</f>
        <v/>
      </c>
      <c r="W128" s="145">
        <f>IF(AND(H128="L", V128&gt;=50%), "Pass",
IF(AND(H128="U", V128&gt;=60%), "Pass",
IF(AND(H128="O", V128&gt;=75%), "Pass", "Fail")))</f>
        <v/>
      </c>
      <c r="X128" s="145">
        <f>IF(AND(Q128="Pass", W128="Pass"), "Pass", "Fail")</f>
        <v/>
      </c>
      <c r="Y128" s="15">
        <f>IF($X128="Pass",$H128,
IF(H128="L","I",
IF(H128="U","L",
IF(H128="O","U",
"I"))))</f>
        <v/>
      </c>
      <c r="AA128">
        <f>VLOOKUP($B128,[1]Sheet1!$B:$B,1,0)</f>
        <v/>
      </c>
      <c r="AB128">
        <f>VLOOKUP($B128,'[3]Left Employee Report'!$D:$D,1,0)</f>
        <v/>
      </c>
    </row>
    <row r="129">
      <c r="A129" s="1">
        <f>ROW()-2</f>
        <v/>
      </c>
      <c r="B129" s="28" t="inlineStr">
        <is>
          <t>KK0574</t>
        </is>
      </c>
      <c r="C129" s="23" t="inlineStr">
        <is>
          <t>RAJA SELVAM T</t>
        </is>
      </c>
      <c r="D129" s="23" t="inlineStr">
        <is>
          <t>PRODUCTION</t>
        </is>
      </c>
      <c r="E129" s="24" t="inlineStr">
        <is>
          <t>BAND BUILDING-P2</t>
        </is>
      </c>
      <c r="F129" s="29" t="n">
        <v>42362</v>
      </c>
      <c r="G129" s="30">
        <f>NOW()-F129</f>
        <v/>
      </c>
      <c r="H129" s="144" t="inlineStr">
        <is>
          <t>O</t>
        </is>
      </c>
      <c r="I129" s="144" t="inlineStr">
        <is>
          <t>O</t>
        </is>
      </c>
      <c r="J129" s="144" t="n">
        <v>9</v>
      </c>
      <c r="K129" s="144" t="n">
        <v>10</v>
      </c>
      <c r="L129" s="144" t="n">
        <v>7</v>
      </c>
      <c r="M129" s="144" t="n">
        <v>8</v>
      </c>
      <c r="N129" s="144" t="n"/>
      <c r="O129" s="104">
        <f>SUM(J129:N129)</f>
        <v/>
      </c>
      <c r="P129" s="12">
        <f>O129/IF(H129="L",20,IF(H129="U",30,IF(H129="O",40,IF(H129="I",20,""))))</f>
        <v/>
      </c>
      <c r="Q129" s="145">
        <f>IF(AND(H129="L", P129&gt;=50%), "Pass",
IF(AND(H129="U", P129&gt;=60%), "Pass",
IF(AND(H129="O", P129&gt;=75%), "Pass", "Fail")))</f>
        <v/>
      </c>
      <c r="R129" s="146" t="n"/>
      <c r="S129" s="146" t="n"/>
      <c r="T129" s="146" t="n"/>
      <c r="U129" s="104">
        <f>SUM(S129:T129)</f>
        <v/>
      </c>
      <c r="V129" s="12">
        <f>U129/IF(H129="L",35,IF(H129="U",35,IF(H129="O",35,IF(H129="I",35,""))))</f>
        <v/>
      </c>
      <c r="W129" s="145">
        <f>IF(AND(H129="L", V129&gt;=50%), "Pass",
IF(AND(H129="U", V129&gt;=60%), "Pass",
IF(AND(H129="O", V129&gt;=75%), "Pass", "Fail")))</f>
        <v/>
      </c>
      <c r="X129" s="145">
        <f>IF(AND(Q129="Pass", W129="Pass"), "Pass", "Fail")</f>
        <v/>
      </c>
      <c r="Y129" s="15">
        <f>IF($X129="Pass",$H129,
IF(H129="L","I",
IF(H129="U","L",
IF(H129="O","U",
"I"))))</f>
        <v/>
      </c>
      <c r="AA129">
        <f>VLOOKUP($B129,[1]Sheet1!$B:$B,1,0)</f>
        <v/>
      </c>
      <c r="AB129">
        <f>VLOOKUP($B129,'[3]Left Employee Report'!$D:$D,1,0)</f>
        <v/>
      </c>
    </row>
    <row r="130">
      <c r="A130" s="1">
        <f>ROW()-2</f>
        <v/>
      </c>
      <c r="B130" s="28" t="inlineStr">
        <is>
          <t>SK3635</t>
        </is>
      </c>
      <c r="C130" s="23" t="inlineStr">
        <is>
          <t>ESAKKIRAJA T</t>
        </is>
      </c>
      <c r="D130" s="23" t="inlineStr">
        <is>
          <t>PRODUCTION</t>
        </is>
      </c>
      <c r="E130" s="24" t="inlineStr">
        <is>
          <t>BAND BUILDING-P2</t>
        </is>
      </c>
      <c r="F130" s="29" t="n">
        <v>45789</v>
      </c>
      <c r="G130" s="30">
        <f>NOW()-F130</f>
        <v/>
      </c>
      <c r="H130" s="144" t="inlineStr">
        <is>
          <t>I</t>
        </is>
      </c>
      <c r="I130" s="144" t="inlineStr">
        <is>
          <t>I</t>
        </is>
      </c>
      <c r="J130" s="144" t="n"/>
      <c r="K130" s="144" t="n"/>
      <c r="L130" s="144" t="n"/>
      <c r="M130" s="144" t="n"/>
      <c r="N130" s="144" t="n"/>
      <c r="O130" s="104">
        <f>SUM(J130:N130)</f>
        <v/>
      </c>
      <c r="P130" s="12">
        <f>O130/IF(H130="L",20,IF(H130="U",30,IF(H130="O",40,IF(H130="I",20,""))))</f>
        <v/>
      </c>
      <c r="Q130" s="145">
        <f>IF(AND(H130="L", P130&gt;=50%), "Pass",
 IF(AND(H130="U", P130&gt;=60%), "Pass",
 IF(AND(H130="O", P130&gt;=75%), "Pass", "Fail")))</f>
        <v/>
      </c>
      <c r="R130" s="146" t="n"/>
      <c r="S130" s="146" t="n"/>
      <c r="T130" s="146" t="n"/>
      <c r="U130" s="104">
        <f>SUM(S130:T130)</f>
        <v/>
      </c>
      <c r="V130" s="12">
        <f>U130/IF(H130="L",35,IF(H130="U",35,IF(H130="O",35,IF(H130="I",35,""))))</f>
        <v/>
      </c>
      <c r="W130" s="145">
        <f>IF(AND(H130="L", V130&gt;=50%), "Pass",
 IF(AND(H130="U", V130&gt;=60%), "Pass",
 IF(AND(H130="O", V130&gt;=75%), "Pass", "Fail")))</f>
        <v/>
      </c>
      <c r="X130" s="145">
        <f>IF(AND(Q130="Pass", W130="Pass"), "Pass", "Fail")</f>
        <v/>
      </c>
      <c r="Y130" s="15">
        <f>IF($X130="Pass",$H130,
IF(H130="L","I",
IF(H130="U","L",
IF(H130="O","U",
"I"))))</f>
        <v/>
      </c>
      <c r="AA130">
        <f>VLOOKUP($B130,[1]Sheet1!$B:$B,1,0)</f>
        <v/>
      </c>
      <c r="AB130">
        <f>VLOOKUP($B130,'[3]Left Employee Report'!$D:$D,1,0)</f>
        <v/>
      </c>
    </row>
    <row r="131">
      <c r="A131" s="1">
        <f>ROW()-2</f>
        <v/>
      </c>
      <c r="B131" s="28" t="inlineStr">
        <is>
          <t>SR1464</t>
        </is>
      </c>
      <c r="C131" s="23" t="inlineStr">
        <is>
          <t>ESAKKIRAJA S</t>
        </is>
      </c>
      <c r="D131" s="23" t="inlineStr">
        <is>
          <t>PRODUCTION</t>
        </is>
      </c>
      <c r="E131" s="24" t="inlineStr">
        <is>
          <t>BAND BUILDING-P2</t>
        </is>
      </c>
      <c r="F131" s="29" t="n">
        <v>45789</v>
      </c>
      <c r="G131" s="30">
        <f>NOW()-F131</f>
        <v/>
      </c>
      <c r="H131" s="144" t="inlineStr">
        <is>
          <t>I</t>
        </is>
      </c>
      <c r="I131" s="144" t="inlineStr">
        <is>
          <t>I</t>
        </is>
      </c>
      <c r="J131" s="144" t="n"/>
      <c r="K131" s="144" t="n"/>
      <c r="L131" s="144" t="n"/>
      <c r="M131" s="144" t="n"/>
      <c r="N131" s="144" t="n"/>
      <c r="O131" s="104">
        <f>SUM(J131:N131)</f>
        <v/>
      </c>
      <c r="P131" s="12">
        <f>O131/IF(H131="L",20,IF(H131="U",30,IF(H131="O",40,IF(H131="I",20,""))))</f>
        <v/>
      </c>
      <c r="Q131" s="145">
        <f>IF(AND(H131="L", P131&gt;=50%), "Pass",
IF(AND(H131="U", P131&gt;=60%), "Pass",
IF(AND(H131="O", P131&gt;=75%), "Pass", "Fail")))</f>
        <v/>
      </c>
      <c r="R131" s="146" t="n"/>
      <c r="S131" s="146" t="n"/>
      <c r="T131" s="146" t="n"/>
      <c r="U131" s="104">
        <f>SUM(S131:T131)</f>
        <v/>
      </c>
      <c r="V131" s="12">
        <f>U131/IF(H131="L",35,IF(H131="U",35,IF(H131="O",35,IF(H131="I",35,""))))</f>
        <v/>
      </c>
      <c r="W131" s="145">
        <f>IF(AND(H131="L", V131&gt;=50%), "Pass",
IF(AND(H131="U", V131&gt;=60%), "Pass",
IF(AND(H131="O", V131&gt;=75%), "Pass", "Fail")))</f>
        <v/>
      </c>
      <c r="X131" s="145">
        <f>IF(AND(Q131="Pass", W131="Pass"), "Pass", "Fail")</f>
        <v/>
      </c>
      <c r="Y131" s="15">
        <f>IF($X131="Pass",$H131,
IF(H131="L","I",
IF(H131="U","L",
IF(H131="O","U",
"I"))))</f>
        <v/>
      </c>
      <c r="AA131">
        <f>VLOOKUP($B131,[1]Sheet1!$B:$B,1,0)</f>
        <v/>
      </c>
      <c r="AB131">
        <f>VLOOKUP($B131,'[3]Left Employee Report'!$D:$D,1,0)</f>
        <v/>
      </c>
    </row>
    <row r="132">
      <c r="A132" s="1">
        <f>ROW()-2</f>
        <v/>
      </c>
      <c r="B132" s="28" t="inlineStr">
        <is>
          <t>LN0800</t>
        </is>
      </c>
      <c r="C132" s="23" t="inlineStr">
        <is>
          <t>KANNAN S</t>
        </is>
      </c>
      <c r="D132" s="23" t="inlineStr">
        <is>
          <t>PRODUCTION</t>
        </is>
      </c>
      <c r="E132" s="24" t="inlineStr">
        <is>
          <t>BEAD WINDING</t>
        </is>
      </c>
      <c r="F132" s="29" t="n">
        <v>45754</v>
      </c>
      <c r="G132" s="30">
        <f>NOW()-F132</f>
        <v/>
      </c>
      <c r="H132" s="144" t="inlineStr">
        <is>
          <t>I</t>
        </is>
      </c>
      <c r="I132" s="144" t="inlineStr">
        <is>
          <t>I</t>
        </is>
      </c>
      <c r="J132" s="144" t="n"/>
      <c r="K132" s="144" t="n"/>
      <c r="L132" s="144" t="n"/>
      <c r="M132" s="144" t="n"/>
      <c r="N132" s="144" t="n"/>
      <c r="O132" s="104">
        <f>SUM(J132:N132)</f>
        <v/>
      </c>
      <c r="P132" s="12">
        <f>O132/IF(H132="L",20,IF(H132="U",30,IF(H132="O",40,IF(H132="I",20,""))))</f>
        <v/>
      </c>
      <c r="Q132" s="145">
        <f>IF(AND(H132="L", P132&gt;=50%), "Pass",
IF(AND(H132="U", P132&gt;=60%), "Pass",
IF(AND(H132="O", P132&gt;=75%), "Pass", "Fail")))</f>
        <v/>
      </c>
      <c r="R132" s="146" t="n"/>
      <c r="S132" s="146" t="n"/>
      <c r="T132" s="146" t="n"/>
      <c r="U132" s="104">
        <f>SUM(S132:T132)</f>
        <v/>
      </c>
      <c r="V132" s="12">
        <f>U132/IF(H132="L",35,IF(H132="U",35,IF(H132="O",35,IF(H132="I",35,""))))</f>
        <v/>
      </c>
      <c r="W132" s="145">
        <f>IF(AND(H132="L", V132&gt;=50%), "Pass",
IF(AND(H132="U", V132&gt;=60%), "Pass",
IF(AND(H132="O", V132&gt;=75%), "Pass", "Fail")))</f>
        <v/>
      </c>
      <c r="X132" s="145">
        <f>IF(AND(Q132="Pass", W132="Pass"), "Pass", "Fail")</f>
        <v/>
      </c>
      <c r="Y132" s="15">
        <f>IF($X132="Pass",$H132,
IF(H132="L","I",
IF(H132="U","L",
IF(H132="O","U",
"I"))))</f>
        <v/>
      </c>
      <c r="AA132">
        <f>VLOOKUP($B132,[1]Sheet1!$B:$B,1,0)</f>
        <v/>
      </c>
      <c r="AB132">
        <f>VLOOKUP($B132,'[3]Left Employee Report'!$D:$D,1,0)</f>
        <v/>
      </c>
    </row>
    <row r="133">
      <c r="A133" s="1">
        <f>ROW()-2</f>
        <v/>
      </c>
      <c r="B133" s="28" t="inlineStr">
        <is>
          <t>PK1593</t>
        </is>
      </c>
      <c r="C133" s="23" t="inlineStr">
        <is>
          <t>TAMILSELVAN T</t>
        </is>
      </c>
      <c r="D133" s="23" t="inlineStr">
        <is>
          <t>PRODUCTION</t>
        </is>
      </c>
      <c r="E133" s="24" t="inlineStr">
        <is>
          <t>BEAD WINDING</t>
        </is>
      </c>
      <c r="F133" s="29" t="n">
        <v>45797</v>
      </c>
      <c r="G133" s="30">
        <f>NOW()-F133</f>
        <v/>
      </c>
      <c r="H133" s="144" t="inlineStr">
        <is>
          <t>I</t>
        </is>
      </c>
      <c r="I133" s="144" t="inlineStr">
        <is>
          <t>I</t>
        </is>
      </c>
      <c r="J133" s="144" t="n"/>
      <c r="K133" s="144" t="n"/>
      <c r="L133" s="144" t="n"/>
      <c r="M133" s="144" t="n"/>
      <c r="N133" s="144" t="n"/>
      <c r="O133" s="104">
        <f>SUM(J133:N133)</f>
        <v/>
      </c>
      <c r="P133" s="12">
        <f>O133/IF(H133="L",20,IF(H133="U",30,IF(H133="O",40,IF(H133="I",20,""))))</f>
        <v/>
      </c>
      <c r="Q133" s="145">
        <f>IF(AND(H133="L", P133&gt;=50%), "Pass",
IF(AND(H133="U", P133&gt;=60%), "Pass",
IF(AND(H133="O", P133&gt;=75%), "Pass", "Fail")))</f>
        <v/>
      </c>
      <c r="R133" s="146" t="n"/>
      <c r="S133" s="146" t="n"/>
      <c r="T133" s="146" t="n"/>
      <c r="U133" s="104">
        <f>SUM(S133:T133)</f>
        <v/>
      </c>
      <c r="V133" s="12">
        <f>U133/IF(H133="L",35,IF(H133="U",35,IF(H133="O",35,IF(H133="I",35,""))))</f>
        <v/>
      </c>
      <c r="W133" s="145">
        <f>IF(AND(H133="L", V133&gt;=50%), "Pass",
IF(AND(H133="U", V133&gt;=60%), "Pass",
IF(AND(H133="O", V133&gt;=75%), "Pass", "Fail")))</f>
        <v/>
      </c>
      <c r="X133" s="145">
        <f>IF(AND(Q133="Pass", W133="Pass"), "Pass", "Fail")</f>
        <v/>
      </c>
      <c r="Y133" s="15">
        <f>IF($X133="Pass",$H133,
IF(H133="L","I",
IF(H133="U","L",
IF(H133="O","U",
"I"))))</f>
        <v/>
      </c>
      <c r="AA133">
        <f>VLOOKUP($B133,[1]Sheet1!$B:$B,1,0)</f>
        <v/>
      </c>
      <c r="AB133">
        <f>VLOOKUP($B133,'[3]Left Employee Report'!$D:$D,1,0)</f>
        <v/>
      </c>
    </row>
    <row r="134">
      <c r="A134" s="1">
        <f>ROW()-2</f>
        <v/>
      </c>
      <c r="B134" s="28" t="inlineStr">
        <is>
          <t>SK3680</t>
        </is>
      </c>
      <c r="C134" s="23" t="inlineStr">
        <is>
          <t>MANIKANDAN A</t>
        </is>
      </c>
      <c r="D134" s="23" t="inlineStr">
        <is>
          <t>PRODUCTION</t>
        </is>
      </c>
      <c r="E134" s="24" t="inlineStr">
        <is>
          <t>BEAD WINDING</t>
        </is>
      </c>
      <c r="F134" s="29" t="n">
        <v>45817</v>
      </c>
      <c r="G134" s="30">
        <f>NOW()-F134</f>
        <v/>
      </c>
      <c r="H134" s="144" t="inlineStr">
        <is>
          <t>I</t>
        </is>
      </c>
      <c r="I134" s="144" t="inlineStr">
        <is>
          <t>I</t>
        </is>
      </c>
      <c r="J134" s="144" t="n"/>
      <c r="K134" s="144" t="n"/>
      <c r="L134" s="144" t="n"/>
      <c r="M134" s="144" t="n"/>
      <c r="N134" s="144" t="n"/>
      <c r="O134" s="104">
        <f>SUM(J134:N134)</f>
        <v/>
      </c>
      <c r="P134" s="12">
        <f>O134/IF(H134="L",20,IF(H134="U",30,IF(H134="O",40,IF(H134="I",20,""))))</f>
        <v/>
      </c>
      <c r="Q134" s="145">
        <f>IF(AND(H134="L", P134&gt;=50%), "Pass",
IF(AND(H134="U", P134&gt;=60%), "Pass",
IF(AND(H134="O", P134&gt;=75%), "Pass", "Fail")))</f>
        <v/>
      </c>
      <c r="R134" s="146" t="n"/>
      <c r="S134" s="146" t="n"/>
      <c r="T134" s="146" t="n"/>
      <c r="U134" s="104">
        <f>SUM(S134:T134)</f>
        <v/>
      </c>
      <c r="V134" s="12">
        <f>U134/IF(H134="L",35,IF(H134="U",35,IF(H134="O",35,IF(H134="I",35,""))))</f>
        <v/>
      </c>
      <c r="W134" s="145">
        <f>IF(AND(H134="L", V134&gt;=50%), "Pass",
IF(AND(H134="U", V134&gt;=60%), "Pass",
IF(AND(H134="O", V134&gt;=75%), "Pass", "Fail")))</f>
        <v/>
      </c>
      <c r="X134" s="145">
        <f>IF(AND(Q134="Pass", W134="Pass"), "Pass", "Fail")</f>
        <v/>
      </c>
      <c r="Y134" s="15">
        <f>IF($X134="Pass",$H134,
IF(H134="L","I",
IF(H134="U","L",
IF(H134="O","U",
"I"))))</f>
        <v/>
      </c>
      <c r="AA134">
        <f>VLOOKUP($B134,[1]Sheet1!$B:$B,1,0)</f>
        <v/>
      </c>
      <c r="AB134">
        <f>VLOOKUP($B134,'[3]Left Employee Report'!$D:$D,1,0)</f>
        <v/>
      </c>
    </row>
    <row r="135">
      <c r="A135" s="1">
        <f>ROW()-2</f>
        <v/>
      </c>
      <c r="B135" s="28" t="inlineStr">
        <is>
          <t>SR1501</t>
        </is>
      </c>
      <c r="C135" s="23" t="inlineStr">
        <is>
          <t>HARIHARA SUDHAN K</t>
        </is>
      </c>
      <c r="D135" s="23" t="inlineStr">
        <is>
          <t>PRODUCTION</t>
        </is>
      </c>
      <c r="E135" s="24" t="inlineStr">
        <is>
          <t>BEAD WINDING</t>
        </is>
      </c>
      <c r="F135" s="29" t="n">
        <v>45831</v>
      </c>
      <c r="G135" s="30">
        <f>NOW()-F135</f>
        <v/>
      </c>
      <c r="H135" s="144" t="inlineStr">
        <is>
          <t>I</t>
        </is>
      </c>
      <c r="I135" s="144" t="inlineStr">
        <is>
          <t>I</t>
        </is>
      </c>
      <c r="J135" s="144" t="n"/>
      <c r="K135" s="144" t="n"/>
      <c r="L135" s="144" t="n"/>
      <c r="M135" s="144" t="n"/>
      <c r="N135" s="144" t="n"/>
      <c r="O135" s="104">
        <f>SUM(J135:N135)</f>
        <v/>
      </c>
      <c r="P135" s="12">
        <f>O135/IF(H135="L",20,IF(H135="U",30,IF(H135="O",40,IF(H135="I",20,""))))</f>
        <v/>
      </c>
      <c r="Q135" s="145">
        <f>IF(AND(H135="L", P135&gt;=50%), "Pass",
IF(AND(H135="U", P135&gt;=60%), "Pass",
IF(AND(H135="O", P135&gt;=75%), "Pass", "Fail")))</f>
        <v/>
      </c>
      <c r="R135" s="146" t="n"/>
      <c r="S135" s="146" t="n"/>
      <c r="T135" s="146" t="n"/>
      <c r="U135" s="104">
        <f>SUM(S135:T135)</f>
        <v/>
      </c>
      <c r="V135" s="12">
        <f>U135/IF(H135="L",35,IF(H135="U",35,IF(H135="O",35,IF(H135="I",35,""))))</f>
        <v/>
      </c>
      <c r="W135" s="145">
        <f>IF(AND(H135="L", V135&gt;=50%), "Pass",
IF(AND(H135="U", V135&gt;=60%), "Pass",
IF(AND(H135="O", V135&gt;=75%), "Pass", "Fail")))</f>
        <v/>
      </c>
      <c r="X135" s="145">
        <f>IF(AND(Q135="Pass", W135="Pass"), "Pass", "Fail")</f>
        <v/>
      </c>
      <c r="Y135" s="15">
        <f>IF($X135="Pass",$H135,
IF(H135="L","I",
IF(H135="U","L",
IF(H135="O","U",
"I"))))</f>
        <v/>
      </c>
      <c r="AA135">
        <f>VLOOKUP($B135,[1]Sheet1!$B:$B,1,0)</f>
        <v/>
      </c>
      <c r="AB135">
        <f>VLOOKUP($B135,'[3]Left Employee Report'!$D:$D,1,0)</f>
        <v/>
      </c>
    </row>
    <row r="136">
      <c r="A136" s="1">
        <f>ROW()-2</f>
        <v/>
      </c>
      <c r="B136" s="28" t="inlineStr">
        <is>
          <t>MG1606</t>
        </is>
      </c>
      <c r="C136" s="23" t="inlineStr">
        <is>
          <t>SUBASH</t>
        </is>
      </c>
      <c r="D136" s="23" t="inlineStr">
        <is>
          <t>PRODUCTION</t>
        </is>
      </c>
      <c r="E136" s="24" t="inlineStr">
        <is>
          <t>BIAS CUTTING-1</t>
        </is>
      </c>
      <c r="F136" s="29" t="n">
        <v>45791</v>
      </c>
      <c r="G136" s="30">
        <f>NOW()-F136</f>
        <v/>
      </c>
      <c r="H136" s="144" t="inlineStr">
        <is>
          <t>I</t>
        </is>
      </c>
      <c r="I136" s="144" t="inlineStr">
        <is>
          <t>I</t>
        </is>
      </c>
      <c r="J136" s="144" t="n"/>
      <c r="K136" s="144" t="n"/>
      <c r="L136" s="144" t="n"/>
      <c r="M136" s="144" t="n"/>
      <c r="N136" s="144" t="n"/>
      <c r="O136" s="104">
        <f>SUM(J136:N136)</f>
        <v/>
      </c>
      <c r="P136" s="12">
        <f>O136/IF(H136="L",20,IF(H136="U",30,IF(H136="O",40,IF(H136="I",20,""))))</f>
        <v/>
      </c>
      <c r="Q136" s="145">
        <f>IF(AND(H136="L", P136&gt;=50%), "Pass",
IF(AND(H136="U", P136&gt;=60%), "Pass",
IF(AND(H136="O", P136&gt;=75%), "Pass", "Fail")))</f>
        <v/>
      </c>
      <c r="R136" s="146" t="n"/>
      <c r="S136" s="146" t="n"/>
      <c r="T136" s="146" t="n"/>
      <c r="U136" s="104">
        <f>SUM(S136:T136)</f>
        <v/>
      </c>
      <c r="V136" s="12">
        <f>U136/IF(H136="L",35,IF(H136="U",35,IF(H136="O",35,IF(H136="I",35,""))))</f>
        <v/>
      </c>
      <c r="W136" s="145">
        <f>IF(AND(H136="L", V136&gt;=50%), "Pass",
IF(AND(H136="U", V136&gt;=60%), "Pass",
IF(AND(H136="O", V136&gt;=75%), "Pass", "Fail")))</f>
        <v/>
      </c>
      <c r="X136" s="145">
        <f>IF(AND(Q136="Pass", W136="Pass"), "Pass", "Fail")</f>
        <v/>
      </c>
      <c r="Y136" s="15">
        <f>IF($X136="Pass",$H136,
IF(H136="L","I",
IF(H136="U","L",
IF(H136="O","U",
"I"))))</f>
        <v/>
      </c>
      <c r="AA136">
        <f>VLOOKUP($B136,[1]Sheet1!$B:$B,1,0)</f>
        <v/>
      </c>
      <c r="AB136">
        <f>VLOOKUP($B136,'[3]Left Employee Report'!$D:$D,1,0)</f>
        <v/>
      </c>
    </row>
    <row r="137">
      <c r="A137" s="1">
        <f>ROW()-2</f>
        <v/>
      </c>
      <c r="B137" s="28" t="inlineStr">
        <is>
          <t>KK1494</t>
        </is>
      </c>
      <c r="C137" s="23" t="inlineStr">
        <is>
          <t>FRANCIS BALAN X</t>
        </is>
      </c>
      <c r="D137" s="23" t="inlineStr">
        <is>
          <t>PRODUCTION</t>
        </is>
      </c>
      <c r="E137" s="24" t="inlineStr">
        <is>
          <t>BIAS CUTTING-4</t>
        </is>
      </c>
      <c r="F137" s="29" t="n">
        <v>45791</v>
      </c>
      <c r="G137" s="30">
        <f>NOW()-F137</f>
        <v/>
      </c>
      <c r="H137" s="144" t="inlineStr">
        <is>
          <t>I</t>
        </is>
      </c>
      <c r="I137" s="144" t="inlineStr">
        <is>
          <t>I</t>
        </is>
      </c>
      <c r="J137" s="144" t="n"/>
      <c r="K137" s="144" t="n"/>
      <c r="L137" s="144" t="n"/>
      <c r="M137" s="144" t="n"/>
      <c r="N137" s="144" t="n"/>
      <c r="O137" s="104">
        <f>SUM(J137:N137)</f>
        <v/>
      </c>
      <c r="P137" s="12">
        <f>O137/IF(H137="L",20,IF(H137="U",30,IF(H137="O",40,IF(H137="I",20,""))))</f>
        <v/>
      </c>
      <c r="Q137" s="145">
        <f>IF(AND(H137="L", P137&gt;=50%), "Pass",
IF(AND(H137="U", P137&gt;=60%), "Pass",
IF(AND(H137="O", P137&gt;=75%), "Pass", "Fail")))</f>
        <v/>
      </c>
      <c r="R137" s="146" t="n"/>
      <c r="S137" s="146" t="n"/>
      <c r="T137" s="146" t="n"/>
      <c r="U137" s="104">
        <f>SUM(S137:T137)</f>
        <v/>
      </c>
      <c r="V137" s="12">
        <f>U137/IF(H137="L",35,IF(H137="U",35,IF(H137="O",35,IF(H137="I",35,""))))</f>
        <v/>
      </c>
      <c r="W137" s="145">
        <f>IF(AND(H137="L", V137&gt;=50%), "Pass",
IF(AND(H137="U", V137&gt;=60%), "Pass",
IF(AND(H137="O", V137&gt;=75%), "Pass", "Fail")))</f>
        <v/>
      </c>
      <c r="X137" s="145">
        <f>IF(AND(Q137="Pass", W137="Pass"), "Pass", "Fail")</f>
        <v/>
      </c>
      <c r="Y137" s="15">
        <f>IF($X137="Pass",$H137,
IF(H137="L","I",
IF(H137="U","L",
IF(H137="O","U",
"I"))))</f>
        <v/>
      </c>
      <c r="AA137">
        <f>VLOOKUP($B137,[1]Sheet1!$B:$B,1,0)</f>
        <v/>
      </c>
      <c r="AB137">
        <f>VLOOKUP($B137,'[3]Left Employee Report'!$D:$D,1,0)</f>
        <v/>
      </c>
    </row>
    <row r="138">
      <c r="A138" s="1">
        <f>ROW()-2</f>
        <v/>
      </c>
      <c r="B138" s="28" t="inlineStr">
        <is>
          <t>SK3694</t>
        </is>
      </c>
      <c r="C138" s="23" t="inlineStr">
        <is>
          <t>RAMESH V</t>
        </is>
      </c>
      <c r="D138" s="23" t="inlineStr">
        <is>
          <t>PRODUCTION</t>
        </is>
      </c>
      <c r="E138" s="24" t="inlineStr">
        <is>
          <t>BIAS CUTTING-4</t>
        </is>
      </c>
      <c r="F138" s="29" t="n">
        <v>45831</v>
      </c>
      <c r="G138" s="30">
        <f>NOW()-F138</f>
        <v/>
      </c>
      <c r="H138" s="144" t="inlineStr">
        <is>
          <t>I</t>
        </is>
      </c>
      <c r="I138" s="144" t="inlineStr">
        <is>
          <t>I</t>
        </is>
      </c>
      <c r="J138" s="144" t="n"/>
      <c r="K138" s="144" t="n"/>
      <c r="L138" s="144" t="n"/>
      <c r="M138" s="144" t="n"/>
      <c r="N138" s="144" t="n"/>
      <c r="O138" s="104">
        <f>SUM(J138:N138)</f>
        <v/>
      </c>
      <c r="P138" s="12">
        <f>O138/IF(H138="L",20,IF(H138="U",30,IF(H138="O",40,IF(H138="I",20,""))))</f>
        <v/>
      </c>
      <c r="Q138" s="145">
        <f>IF(AND(H138="L", P138&gt;=50%), "Pass",
IF(AND(H138="U", P138&gt;=60%), "Pass",
IF(AND(H138="O", P138&gt;=75%), "Pass", "Fail")))</f>
        <v/>
      </c>
      <c r="R138" s="146" t="n"/>
      <c r="S138" s="146" t="n"/>
      <c r="T138" s="146" t="n"/>
      <c r="U138" s="104">
        <f>SUM(S138:T138)</f>
        <v/>
      </c>
      <c r="V138" s="12">
        <f>U138/IF(H138="L",35,IF(H138="U",35,IF(H138="O",35,IF(H138="I",35,""))))</f>
        <v/>
      </c>
      <c r="W138" s="145">
        <f>IF(AND(H138="L", V138&gt;=50%), "Pass",
IF(AND(H138="U", V138&gt;=60%), "Pass",
IF(AND(H138="O", V138&gt;=75%), "Pass", "Fail")))</f>
        <v/>
      </c>
      <c r="X138" s="145">
        <f>IF(AND(Q138="Pass", W138="Pass"), "Pass", "Fail")</f>
        <v/>
      </c>
      <c r="Y138" s="15">
        <f>IF($X138="Pass",$H138,
IF(H138="L","I",
IF(H138="U","L",
IF(H138="O","U",
"I"))))</f>
        <v/>
      </c>
      <c r="AA138">
        <f>VLOOKUP($B138,[1]Sheet1!$B:$B,1,0)</f>
        <v/>
      </c>
      <c r="AB138">
        <f>VLOOKUP($B138,'[3]Left Employee Report'!$D:$D,1,0)</f>
        <v/>
      </c>
    </row>
    <row r="139">
      <c r="A139" s="1">
        <f>ROW()-2</f>
        <v/>
      </c>
      <c r="B139" s="28" t="inlineStr">
        <is>
          <t>LN0897</t>
        </is>
      </c>
      <c r="C139" s="23" t="inlineStr">
        <is>
          <t>CHINNADURAI R</t>
        </is>
      </c>
      <c r="D139" s="23" t="inlineStr">
        <is>
          <t>PRODUCTION</t>
        </is>
      </c>
      <c r="E139" s="24" t="inlineStr">
        <is>
          <t>EXTRUDER</t>
        </is>
      </c>
      <c r="F139" s="29" t="n">
        <v>45811</v>
      </c>
      <c r="G139" s="30">
        <f>NOW()-F139</f>
        <v/>
      </c>
      <c r="H139" s="144" t="inlineStr">
        <is>
          <t>I</t>
        </is>
      </c>
      <c r="I139" s="144" t="inlineStr">
        <is>
          <t>I</t>
        </is>
      </c>
      <c r="J139" s="144" t="n"/>
      <c r="K139" s="144" t="n"/>
      <c r="L139" s="144" t="n"/>
      <c r="M139" s="144" t="n"/>
      <c r="N139" s="144" t="n"/>
      <c r="O139" s="104">
        <f>SUM(J139:N139)</f>
        <v/>
      </c>
      <c r="P139" s="12">
        <f>O139/IF(H139="L",20,IF(H139="U",30,IF(H139="O",40,IF(H139="I",20,""))))</f>
        <v/>
      </c>
      <c r="Q139" s="145">
        <f>IF(AND(H139="L", P139&gt;=50%), "Pass",
IF(AND(H139="U", P139&gt;=60%), "Pass",
IF(AND(H139="O", P139&gt;=75%), "Pass", "Fail")))</f>
        <v/>
      </c>
      <c r="R139" s="146" t="n"/>
      <c r="S139" s="146" t="n"/>
      <c r="T139" s="146" t="n"/>
      <c r="U139" s="104">
        <f>SUM(S139:T139)</f>
        <v/>
      </c>
      <c r="V139" s="12">
        <f>U139/IF(H139="L",35,IF(H139="U",35,IF(H139="O",35,IF(H139="I",35,""))))</f>
        <v/>
      </c>
      <c r="W139" s="145">
        <f>IF(AND(H139="L", V139&gt;=50%), "Pass",
IF(AND(H139="U", V139&gt;=60%), "Pass",
IF(AND(H139="O", V139&gt;=75%), "Pass", "Fail")))</f>
        <v/>
      </c>
      <c r="X139" s="145">
        <f>IF(AND(Q139="Pass", W139="Pass"), "Pass", "Fail")</f>
        <v/>
      </c>
      <c r="Y139" s="15">
        <f>IF($X139="Pass",$H139,
IF(H139="L","I",
IF(H139="U","L",
IF(H139="O","U",
"I"))))</f>
        <v/>
      </c>
      <c r="AA139">
        <f>VLOOKUP($B139,[1]Sheet1!$B:$B,1,0)</f>
        <v/>
      </c>
      <c r="AB139">
        <f>VLOOKUP($B139,'[3]Left Employee Report'!$D:$D,1,0)</f>
        <v/>
      </c>
    </row>
    <row r="140">
      <c r="A140" s="1">
        <f>ROW()-2</f>
        <v/>
      </c>
      <c r="B140" s="28" t="inlineStr">
        <is>
          <t>SK3644</t>
        </is>
      </c>
      <c r="C140" s="23" t="inlineStr">
        <is>
          <t>CHIDAMBARAM C</t>
        </is>
      </c>
      <c r="D140" s="23" t="inlineStr">
        <is>
          <t>PRODUCTION</t>
        </is>
      </c>
      <c r="E140" s="24" t="inlineStr">
        <is>
          <t>MIXING</t>
        </is>
      </c>
      <c r="F140" s="29" t="n">
        <v>45796</v>
      </c>
      <c r="G140" s="30">
        <f>NOW()-F140</f>
        <v/>
      </c>
      <c r="H140" s="144" t="inlineStr">
        <is>
          <t>I</t>
        </is>
      </c>
      <c r="I140" s="144" t="inlineStr">
        <is>
          <t>I</t>
        </is>
      </c>
      <c r="J140" s="144" t="n"/>
      <c r="K140" s="144" t="n"/>
      <c r="L140" s="144" t="n"/>
      <c r="M140" s="144" t="n"/>
      <c r="N140" s="144" t="n"/>
      <c r="O140" s="104">
        <f>SUM(J140:N140)</f>
        <v/>
      </c>
      <c r="P140" s="12">
        <f>O140/IF(H140="L",20,IF(H140="U",30,IF(H140="O",40,IF(H140="I",20,""))))</f>
        <v/>
      </c>
      <c r="Q140" s="145">
        <f>IF(AND(H140="L", P140&gt;=50%), "Pass",
IF(AND(H140="U", P140&gt;=60%), "Pass",
IF(AND(H140="O", P140&gt;=75%), "Pass", "Fail")))</f>
        <v/>
      </c>
      <c r="R140" s="146" t="n"/>
      <c r="S140" s="146" t="n"/>
      <c r="T140" s="146" t="n"/>
      <c r="U140" s="104">
        <f>SUM(S140:T140)</f>
        <v/>
      </c>
      <c r="V140" s="12">
        <f>U140/IF(H140="L",35,IF(H140="U",35,IF(H140="O",35,IF(H140="I",35,""))))</f>
        <v/>
      </c>
      <c r="W140" s="145">
        <f>IF(AND(H140="L", V140&gt;=50%), "Pass",
IF(AND(H140="U", V140&gt;=60%), "Pass",
IF(AND(H140="O", V140&gt;=75%), "Pass", "Fail")))</f>
        <v/>
      </c>
      <c r="X140" s="145">
        <f>IF(AND(Q140="Pass", W140="Pass"), "Pass", "Fail")</f>
        <v/>
      </c>
      <c r="Y140" s="15">
        <f>IF($X140="Pass",$H140,
IF(H140="L","I",
IF(H140="U","L",
IF(H140="O","U",
"I"))))</f>
        <v/>
      </c>
      <c r="AA140">
        <f>VLOOKUP($B140,[1]Sheet1!$B:$B,1,0)</f>
        <v/>
      </c>
      <c r="AB140">
        <f>VLOOKUP($B140,'[3]Left Employee Report'!$D:$D,1,0)</f>
        <v/>
      </c>
    </row>
    <row r="141">
      <c r="A141" s="1">
        <f>ROW()-2</f>
        <v/>
      </c>
      <c r="B141" s="28" t="inlineStr">
        <is>
          <t>LN0805</t>
        </is>
      </c>
      <c r="C141" s="23" t="inlineStr">
        <is>
          <t>MURUGAN S</t>
        </is>
      </c>
      <c r="D141" s="23" t="inlineStr">
        <is>
          <t>PRODUCTION</t>
        </is>
      </c>
      <c r="E141" s="24" t="inlineStr">
        <is>
          <t>SOLID TYRE</t>
        </is>
      </c>
      <c r="F141" s="29" t="n">
        <v>45754</v>
      </c>
      <c r="G141" s="30">
        <f>NOW()-F141</f>
        <v/>
      </c>
      <c r="H141" s="144" t="inlineStr">
        <is>
          <t>I</t>
        </is>
      </c>
      <c r="I141" s="144" t="inlineStr">
        <is>
          <t>I</t>
        </is>
      </c>
      <c r="J141" s="144" t="n"/>
      <c r="K141" s="144" t="n"/>
      <c r="L141" s="144" t="n"/>
      <c r="M141" s="144" t="n"/>
      <c r="N141" s="144" t="n"/>
      <c r="O141" s="104">
        <f>SUM(J141:N141)</f>
        <v/>
      </c>
      <c r="P141" s="12">
        <f>O141/IF(H141="L",20,IF(H141="U",30,IF(H141="O",40,IF(H141="I",20,""))))</f>
        <v/>
      </c>
      <c r="Q141" s="145">
        <f>IF(AND(H141="L", P141&gt;=50%), "Pass",
IF(AND(H141="U", P141&gt;=60%), "Pass",
IF(AND(H141="O", P141&gt;=75%), "Pass", "Fail")))</f>
        <v/>
      </c>
      <c r="R141" s="146" t="n"/>
      <c r="S141" s="146" t="n"/>
      <c r="T141" s="146" t="n"/>
      <c r="U141" s="104">
        <f>SUM(S141:T141)</f>
        <v/>
      </c>
      <c r="V141" s="12">
        <f>U141/IF(H141="L",35,IF(H141="U",35,IF(H141="O",35,IF(H141="I",35,""))))</f>
        <v/>
      </c>
      <c r="W141" s="145">
        <f>IF(AND(H141="L", V141&gt;=50%), "Pass",
IF(AND(H141="U", V141&gt;=60%), "Pass",
IF(AND(H141="O", V141&gt;=75%), "Pass", "Fail")))</f>
        <v/>
      </c>
      <c r="X141" s="145">
        <f>IF(AND(Q141="Pass", W141="Pass"), "Pass", "Fail")</f>
        <v/>
      </c>
      <c r="Y141" s="15">
        <f>IF($X141="Pass",$H141,
IF(H141="L","I",
IF(H141="U","L",
IF(H141="O","U",
"I"))))</f>
        <v/>
      </c>
      <c r="AA141">
        <f>VLOOKUP($B141,[1]Sheet1!$B:$B,1,0)</f>
        <v/>
      </c>
      <c r="AB141">
        <f>VLOOKUP($B141,'[3]Left Employee Report'!$D:$D,1,0)</f>
        <v/>
      </c>
    </row>
    <row r="142">
      <c r="A142" s="1">
        <f>ROW()-2</f>
        <v/>
      </c>
      <c r="B142" s="28" t="inlineStr">
        <is>
          <t>PK1600</t>
        </is>
      </c>
      <c r="C142" s="23" t="inlineStr">
        <is>
          <t>MARIA RATHISH</t>
        </is>
      </c>
      <c r="D142" s="23" t="inlineStr">
        <is>
          <t>PRODUCTION</t>
        </is>
      </c>
      <c r="E142" s="24" t="inlineStr">
        <is>
          <t>SOLID TYRE</t>
        </is>
      </c>
      <c r="F142" s="29" t="n">
        <v>45810</v>
      </c>
      <c r="G142" s="30">
        <f>NOW()-F142</f>
        <v/>
      </c>
      <c r="H142" s="144" t="inlineStr">
        <is>
          <t>I</t>
        </is>
      </c>
      <c r="I142" s="144" t="inlineStr">
        <is>
          <t>I</t>
        </is>
      </c>
      <c r="J142" s="144" t="n"/>
      <c r="K142" s="144" t="n"/>
      <c r="L142" s="144" t="n"/>
      <c r="M142" s="144" t="n"/>
      <c r="N142" s="144" t="n"/>
      <c r="O142" s="104">
        <f>SUM(J142:N142)</f>
        <v/>
      </c>
      <c r="P142" s="12">
        <f>O142/IF(H142="L",20,IF(H142="U",30,IF(H142="O",40,IF(H142="I",20,""))))</f>
        <v/>
      </c>
      <c r="Q142" s="145">
        <f>IF(AND(H142="L", P142&gt;=50%), "Pass",
IF(AND(H142="U", P142&gt;=60%), "Pass",
IF(AND(H142="O", P142&gt;=75%), "Pass", "Fail")))</f>
        <v/>
      </c>
      <c r="R142" s="146" t="n"/>
      <c r="S142" s="146" t="n"/>
      <c r="T142" s="146" t="n"/>
      <c r="U142" s="104">
        <f>SUM(S142:T142)</f>
        <v/>
      </c>
      <c r="V142" s="12">
        <f>U142/IF(H142="L",35,IF(H142="U",35,IF(H142="O",35,IF(H142="I",35,""))))</f>
        <v/>
      </c>
      <c r="W142" s="145">
        <f>IF(AND(H142="L", V142&gt;=50%), "Pass",
IF(AND(H142="U", V142&gt;=60%), "Pass",
IF(AND(H142="O", V142&gt;=75%), "Pass", "Fail")))</f>
        <v/>
      </c>
      <c r="X142" s="145">
        <f>IF(AND(Q142="Pass", W142="Pass"), "Pass", "Fail")</f>
        <v/>
      </c>
      <c r="Y142" s="15">
        <f>IF($X142="Pass",$H142,
IF(H142="L","I",
IF(H142="U","L",
IF(H142="O","U",
"I"))))</f>
        <v/>
      </c>
      <c r="AA142">
        <f>VLOOKUP($B142,[1]Sheet1!$B:$B,1,0)</f>
        <v/>
      </c>
      <c r="AB142">
        <f>VLOOKUP($B142,'[3]Left Employee Report'!$D:$D,1,0)</f>
        <v/>
      </c>
    </row>
    <row r="143">
      <c r="A143" s="1">
        <f>ROW()-2</f>
        <v/>
      </c>
      <c r="B143" s="28" t="inlineStr">
        <is>
          <t>LN0828</t>
        </is>
      </c>
      <c r="C143" s="23" t="inlineStr">
        <is>
          <t>RAMAYA RAMESH</t>
        </is>
      </c>
      <c r="D143" s="23" t="inlineStr">
        <is>
          <t>PRODUCTION</t>
        </is>
      </c>
      <c r="E143" s="24" t="inlineStr">
        <is>
          <t>STEELASTIC</t>
        </is>
      </c>
      <c r="F143" s="29" t="n">
        <v>45768</v>
      </c>
      <c r="G143" s="30">
        <f>NOW()-F143</f>
        <v/>
      </c>
      <c r="H143" s="144" t="inlineStr">
        <is>
          <t>I</t>
        </is>
      </c>
      <c r="I143" s="144" t="inlineStr">
        <is>
          <t>I</t>
        </is>
      </c>
      <c r="J143" s="144" t="n"/>
      <c r="K143" s="144" t="n"/>
      <c r="L143" s="144" t="n"/>
      <c r="M143" s="144" t="n"/>
      <c r="N143" s="144" t="n"/>
      <c r="O143" s="104">
        <f>SUM(J143:N143)</f>
        <v/>
      </c>
      <c r="P143" s="12">
        <f>O143/IF(H143="L",20,IF(H143="U",30,IF(H143="O",40,IF(H143="I",20,""))))</f>
        <v/>
      </c>
      <c r="Q143" s="145">
        <f>IF(AND(H143="L", P143&gt;=50%), "Pass",
IF(AND(H143="U", P143&gt;=60%), "Pass",
IF(AND(H143="O", P143&gt;=75%), "Pass", "Fail")))</f>
        <v/>
      </c>
      <c r="R143" s="146" t="n"/>
      <c r="S143" s="146" t="n"/>
      <c r="T143" s="146" t="n"/>
      <c r="U143" s="104">
        <f>SUM(S143:T143)</f>
        <v/>
      </c>
      <c r="V143" s="12">
        <f>U143/IF(H143="L",35,IF(H143="U",35,IF(H143="O",35,IF(H143="I",35,""))))</f>
        <v/>
      </c>
      <c r="W143" s="145">
        <f>IF(AND(H143="L", V143&gt;=50%), "Pass",
IF(AND(H143="U", V143&gt;=60%), "Pass",
IF(AND(H143="O", V143&gt;=75%), "Pass", "Fail")))</f>
        <v/>
      </c>
      <c r="X143" s="145">
        <f>IF(AND(Q143="Pass", W143="Pass"), "Pass", "Fail")</f>
        <v/>
      </c>
      <c r="Y143" s="15">
        <f>IF($X143="Pass",$H143,
IF(H143="L","I",
IF(H143="U","L",
IF(H143="O","U",
"I"))))</f>
        <v/>
      </c>
      <c r="AA143">
        <f>VLOOKUP($B143,[1]Sheet1!$B:$B,1,0)</f>
        <v/>
      </c>
      <c r="AB143">
        <f>VLOOKUP($B143,'[3]Left Employee Report'!$D:$D,1,0)</f>
        <v/>
      </c>
    </row>
    <row r="144">
      <c r="A144" s="1">
        <f>ROW()-2</f>
        <v/>
      </c>
      <c r="B144" s="28" t="inlineStr">
        <is>
          <t>PK1531</t>
        </is>
      </c>
      <c r="C144" s="23" t="inlineStr">
        <is>
          <t>SUDHAN</t>
        </is>
      </c>
      <c r="D144" s="23" t="inlineStr">
        <is>
          <t>PRODUCTION</t>
        </is>
      </c>
      <c r="E144" s="24" t="inlineStr">
        <is>
          <t>TYRE BUILDING-P1</t>
        </is>
      </c>
      <c r="F144" s="29" t="n">
        <v>45684</v>
      </c>
      <c r="G144" s="30">
        <f>NOW()-F144</f>
        <v/>
      </c>
      <c r="H144" s="144" t="inlineStr">
        <is>
          <t>L</t>
        </is>
      </c>
      <c r="I144" s="144" t="inlineStr">
        <is>
          <t>L</t>
        </is>
      </c>
      <c r="J144" s="144" t="n"/>
      <c r="K144" s="144" t="n"/>
      <c r="L144" s="144" t="n"/>
      <c r="M144" s="144" t="n"/>
      <c r="N144" s="144" t="n"/>
      <c r="O144" s="104">
        <f>SUM(J144:N144)</f>
        <v/>
      </c>
      <c r="P144" s="12">
        <f>O144/IF(H144="L",20,IF(H144="U",30,IF(H144="O",40,IF(H144="I",20,""))))</f>
        <v/>
      </c>
      <c r="Q144" s="145">
        <f>IF(AND(H144="L", P144&gt;=50%), "Pass",
IF(AND(H144="U", P144&gt;=60%), "Pass",
IF(AND(H144="O", P144&gt;=75%), "Pass", "Fail")))</f>
        <v/>
      </c>
      <c r="R144" s="146" t="n"/>
      <c r="S144" s="146" t="n"/>
      <c r="T144" s="146" t="n"/>
      <c r="U144" s="104">
        <f>SUM(S144:T144)</f>
        <v/>
      </c>
      <c r="V144" s="12">
        <f>U144/IF(H144="L",35,IF(H144="U",35,IF(H144="O",35,IF(H144="I",35,""))))</f>
        <v/>
      </c>
      <c r="W144" s="145">
        <f>IF(AND(H144="L", V144&gt;=50%), "Pass",
IF(AND(H144="U", V144&gt;=60%), "Pass",
IF(AND(H144="O", V144&gt;=75%), "Pass", "Fail")))</f>
        <v/>
      </c>
      <c r="X144" s="145">
        <f>IF(AND(Q144="Pass", W144="Pass"), "Pass", "Fail")</f>
        <v/>
      </c>
      <c r="Y144" s="15">
        <f>IF($X144="Pass",$H144,
IF(H144="L","I",
IF(H144="U","L",
IF(H144="O","U",
"I"))))</f>
        <v/>
      </c>
      <c r="AA144">
        <f>VLOOKUP($B144,[1]Sheet1!$B:$B,1,0)</f>
        <v/>
      </c>
      <c r="AB144">
        <f>VLOOKUP($B144,'[3]Left Employee Report'!$D:$D,1,0)</f>
        <v/>
      </c>
    </row>
    <row r="145">
      <c r="A145" s="1">
        <f>ROW()-2</f>
        <v/>
      </c>
      <c r="B145" s="28" t="inlineStr">
        <is>
          <t>SK3642</t>
        </is>
      </c>
      <c r="C145" s="23" t="inlineStr">
        <is>
          <t>S MAHARAJA</t>
        </is>
      </c>
      <c r="D145" s="23" t="inlineStr">
        <is>
          <t>PRODUCTION</t>
        </is>
      </c>
      <c r="E145" s="24" t="inlineStr">
        <is>
          <t>TYRE BUILDING-P1</t>
        </is>
      </c>
      <c r="F145" s="29" t="n">
        <v>45789</v>
      </c>
      <c r="G145" s="30">
        <f>NOW()-F145</f>
        <v/>
      </c>
      <c r="H145" s="144" t="inlineStr">
        <is>
          <t>I</t>
        </is>
      </c>
      <c r="I145" s="144" t="inlineStr">
        <is>
          <t>I</t>
        </is>
      </c>
      <c r="J145" s="144" t="n"/>
      <c r="K145" s="144" t="n"/>
      <c r="L145" s="144" t="n"/>
      <c r="M145" s="144" t="n"/>
      <c r="N145" s="144" t="n"/>
      <c r="O145" s="104">
        <f>SUM(J145:N145)</f>
        <v/>
      </c>
      <c r="P145" s="12">
        <f>O145/IF(H145="L",20,IF(H145="U",30,IF(H145="O",40,IF(H145="I",20,""))))</f>
        <v/>
      </c>
      <c r="Q145" s="145">
        <f>IF(AND(H145="L", P145&gt;=50%), "Pass",
IF(AND(H145="U", P145&gt;=60%), "Pass",
IF(AND(H145="O", P145&gt;=75%), "Pass", "Fail")))</f>
        <v/>
      </c>
      <c r="R145" s="146" t="n"/>
      <c r="S145" s="146" t="n"/>
      <c r="T145" s="146" t="n"/>
      <c r="U145" s="104">
        <f>SUM(S145:T145)</f>
        <v/>
      </c>
      <c r="V145" s="12">
        <f>U145/IF(H145="L",35,IF(H145="U",35,IF(H145="O",35,IF(H145="I",35,""))))</f>
        <v/>
      </c>
      <c r="W145" s="145">
        <f>IF(AND(H145="L", V145&gt;=50%), "Pass",
IF(AND(H145="U", V145&gt;=60%), "Pass",
IF(AND(H145="O", V145&gt;=75%), "Pass", "Fail")))</f>
        <v/>
      </c>
      <c r="X145" s="145">
        <f>IF(AND(Q145="Pass", W145="Pass"), "Pass", "Fail")</f>
        <v/>
      </c>
      <c r="Y145" s="15">
        <f>IF($X145="Pass",$H145,
IF(H145="L","I",
IF(H145="U","L",
IF(H145="O","U",
"I"))))</f>
        <v/>
      </c>
      <c r="AA145">
        <f>VLOOKUP($B145,[1]Sheet1!$B:$B,1,0)</f>
        <v/>
      </c>
      <c r="AB145">
        <f>VLOOKUP($B145,'[3]Left Employee Report'!$D:$D,1,0)</f>
        <v/>
      </c>
    </row>
    <row r="146">
      <c r="A146" s="1">
        <f>ROW()-2</f>
        <v/>
      </c>
      <c r="B146" s="28" t="inlineStr">
        <is>
          <t>SK3652</t>
        </is>
      </c>
      <c r="C146" s="23" t="inlineStr">
        <is>
          <t>ANGNU ORAON</t>
        </is>
      </c>
      <c r="D146" s="23" t="inlineStr">
        <is>
          <t>PRODUCTION</t>
        </is>
      </c>
      <c r="E146" s="24" t="inlineStr">
        <is>
          <t>TYRE BUILDING-P1</t>
        </is>
      </c>
      <c r="F146" s="29" t="n">
        <v>45799</v>
      </c>
      <c r="G146" s="30">
        <f>NOW()-F146</f>
        <v/>
      </c>
      <c r="H146" s="144" t="inlineStr">
        <is>
          <t>I</t>
        </is>
      </c>
      <c r="I146" s="144" t="inlineStr">
        <is>
          <t>I</t>
        </is>
      </c>
      <c r="J146" s="144" t="n"/>
      <c r="K146" s="144" t="n"/>
      <c r="L146" s="144" t="n"/>
      <c r="M146" s="144" t="n"/>
      <c r="N146" s="144" t="n"/>
      <c r="O146" s="104">
        <f>SUM(J146:N146)</f>
        <v/>
      </c>
      <c r="P146" s="12">
        <f>O146/IF(H146="L",20,IF(H146="U",30,IF(H146="O",40,IF(H146="I",20,""))))</f>
        <v/>
      </c>
      <c r="Q146" s="145">
        <f>IF(AND(H146="L", P146&gt;=50%), "Pass",
IF(AND(H146="U", P146&gt;=60%), "Pass",
IF(AND(H146="O", P146&gt;=75%), "Pass", "Fail")))</f>
        <v/>
      </c>
      <c r="R146" s="146" t="n"/>
      <c r="S146" s="146" t="n"/>
      <c r="T146" s="146" t="n"/>
      <c r="U146" s="104">
        <f>SUM(S146:T146)</f>
        <v/>
      </c>
      <c r="V146" s="12">
        <f>U146/IF(H146="L",35,IF(H146="U",35,IF(H146="O",35,IF(H146="I",35,""))))</f>
        <v/>
      </c>
      <c r="W146" s="145">
        <f>IF(AND(H146="L", V146&gt;=50%), "Pass",
IF(AND(H146="U", V146&gt;=60%), "Pass",
IF(AND(H146="O", V146&gt;=75%), "Pass", "Fail")))</f>
        <v/>
      </c>
      <c r="X146" s="145">
        <f>IF(AND(Q146="Pass", W146="Pass"), "Pass", "Fail")</f>
        <v/>
      </c>
      <c r="Y146" s="15">
        <f>IF($X146="Pass",$H146,
IF(H146="L","I",
IF(H146="U","L",
IF(H146="O","U",
"I"))))</f>
        <v/>
      </c>
      <c r="AA146">
        <f>VLOOKUP($B146,[1]Sheet1!$B:$B,1,0)</f>
        <v/>
      </c>
      <c r="AB146">
        <f>VLOOKUP($B146,'[3]Left Employee Report'!$D:$D,1,0)</f>
        <v/>
      </c>
    </row>
    <row r="147">
      <c r="A147" s="1">
        <f>ROW()-2</f>
        <v/>
      </c>
      <c r="B147" s="28" t="inlineStr">
        <is>
          <t>SK3658</t>
        </is>
      </c>
      <c r="C147" s="23" t="inlineStr">
        <is>
          <t>SHILA ORAON</t>
        </is>
      </c>
      <c r="D147" s="23" t="inlineStr">
        <is>
          <t>PRODUCTION</t>
        </is>
      </c>
      <c r="E147" s="24" t="inlineStr">
        <is>
          <t>TYRE BUILDING-P1</t>
        </is>
      </c>
      <c r="F147" s="29" t="n">
        <v>45799</v>
      </c>
      <c r="G147" s="30">
        <f>NOW()-F147</f>
        <v/>
      </c>
      <c r="H147" s="144" t="inlineStr">
        <is>
          <t>I</t>
        </is>
      </c>
      <c r="I147" s="144" t="inlineStr">
        <is>
          <t>I</t>
        </is>
      </c>
      <c r="J147" s="144" t="n"/>
      <c r="K147" s="144" t="n"/>
      <c r="L147" s="144" t="n"/>
      <c r="M147" s="144" t="n"/>
      <c r="N147" s="144" t="n"/>
      <c r="O147" s="104">
        <f>SUM(J147:N147)</f>
        <v/>
      </c>
      <c r="P147" s="12">
        <f>O147/IF(H147="L",20,IF(H147="U",30,IF(H147="O",40,IF(H147="I",20,""))))</f>
        <v/>
      </c>
      <c r="Q147" s="145">
        <f>IF(AND(H147="L", P147&gt;=50%), "Pass",
IF(AND(H147="U", P147&gt;=60%), "Pass",
IF(AND(H147="O", P147&gt;=75%), "Pass", "Fail")))</f>
        <v/>
      </c>
      <c r="R147" s="146" t="n"/>
      <c r="S147" s="146" t="n"/>
      <c r="T147" s="146" t="n"/>
      <c r="U147" s="104">
        <f>SUM(S147:T147)</f>
        <v/>
      </c>
      <c r="V147" s="12">
        <f>U147/IF(H147="L",35,IF(H147="U",35,IF(H147="O",35,IF(H147="I",35,""))))</f>
        <v/>
      </c>
      <c r="W147" s="145">
        <f>IF(AND(H147="L", V147&gt;=50%), "Pass",
IF(AND(H147="U", V147&gt;=60%), "Pass",
IF(AND(H147="O", V147&gt;=75%), "Pass", "Fail")))</f>
        <v/>
      </c>
      <c r="X147" s="145">
        <f>IF(AND(Q147="Pass", W147="Pass"), "Pass", "Fail")</f>
        <v/>
      </c>
      <c r="Y147" s="15">
        <f>IF($X147="Pass",$H147,
IF(H147="L","I",
IF(H147="U","L",
IF(H147="O","U",
"I"))))</f>
        <v/>
      </c>
      <c r="AA147">
        <f>VLOOKUP($B147,[1]Sheet1!$B:$B,1,0)</f>
        <v/>
      </c>
      <c r="AB147">
        <f>VLOOKUP($B147,'[3]Left Employee Report'!$D:$D,1,0)</f>
        <v/>
      </c>
    </row>
    <row r="148">
      <c r="A148" s="1">
        <f>ROW()-2</f>
        <v/>
      </c>
      <c r="B148" s="28" t="inlineStr">
        <is>
          <t>SK3659</t>
        </is>
      </c>
      <c r="C148" s="23" t="inlineStr">
        <is>
          <t>PRADIP ORAON</t>
        </is>
      </c>
      <c r="D148" s="23" t="inlineStr">
        <is>
          <t>PRODUCTION</t>
        </is>
      </c>
      <c r="E148" s="24" t="inlineStr">
        <is>
          <t>TYRE BUILDING-P1</t>
        </is>
      </c>
      <c r="F148" s="29" t="n">
        <v>45799</v>
      </c>
      <c r="G148" s="30">
        <f>NOW()-F148</f>
        <v/>
      </c>
      <c r="H148" s="144" t="inlineStr">
        <is>
          <t>I</t>
        </is>
      </c>
      <c r="I148" s="144" t="inlineStr">
        <is>
          <t>I</t>
        </is>
      </c>
      <c r="J148" s="144" t="n"/>
      <c r="K148" s="144" t="n"/>
      <c r="L148" s="144" t="n"/>
      <c r="M148" s="144" t="n"/>
      <c r="N148" s="144" t="n"/>
      <c r="O148" s="104">
        <f>SUM(J148:N148)</f>
        <v/>
      </c>
      <c r="P148" s="12">
        <f>O148/IF(H148="L",20,IF(H148="U",30,IF(H148="O",40,IF(H148="I",20,""))))</f>
        <v/>
      </c>
      <c r="Q148" s="145">
        <f>IF(AND(H148="L", P148&gt;=50%), "Pass",
IF(AND(H148="U", P148&gt;=60%), "Pass",
IF(AND(H148="O", P148&gt;=75%), "Pass", "Fail")))</f>
        <v/>
      </c>
      <c r="R148" s="146" t="n"/>
      <c r="S148" s="146" t="n"/>
      <c r="T148" s="146" t="n"/>
      <c r="U148" s="104">
        <f>SUM(S148:T148)</f>
        <v/>
      </c>
      <c r="V148" s="12">
        <f>U148/IF(H148="L",35,IF(H148="U",35,IF(H148="O",35,IF(H148="I",35,""))))</f>
        <v/>
      </c>
      <c r="W148" s="145">
        <f>IF(AND(H148="L", V148&gt;=50%), "Pass",
IF(AND(H148="U", V148&gt;=60%), "Pass",
IF(AND(H148="O", V148&gt;=75%), "Pass", "Fail")))</f>
        <v/>
      </c>
      <c r="X148" s="145">
        <f>IF(AND(Q148="Pass", W148="Pass"), "Pass", "Fail")</f>
        <v/>
      </c>
      <c r="Y148" s="15">
        <f>IF($X148="Pass",$H148,
IF(H148="L","I",
IF(H148="U","L",
IF(H148="O","U",
"I"))))</f>
        <v/>
      </c>
      <c r="AA148">
        <f>VLOOKUP($B148,[1]Sheet1!$B:$B,1,0)</f>
        <v/>
      </c>
      <c r="AB148">
        <f>VLOOKUP($B148,'[3]Left Employee Report'!$D:$D,1,0)</f>
        <v/>
      </c>
    </row>
    <row r="149">
      <c r="A149" s="1">
        <f>ROW()-2</f>
        <v/>
      </c>
      <c r="B149" s="28" t="inlineStr">
        <is>
          <t>SK3663</t>
        </is>
      </c>
      <c r="C149" s="23" t="inlineStr">
        <is>
          <t>NANDA ORAON</t>
        </is>
      </c>
      <c r="D149" s="23" t="inlineStr">
        <is>
          <t>PRODUCTION</t>
        </is>
      </c>
      <c r="E149" s="24" t="inlineStr">
        <is>
          <t>TYRE BUILDING-P1</t>
        </is>
      </c>
      <c r="F149" s="29" t="n">
        <v>45800</v>
      </c>
      <c r="G149" s="30">
        <f>NOW()-F149</f>
        <v/>
      </c>
      <c r="H149" s="144" t="inlineStr">
        <is>
          <t>I</t>
        </is>
      </c>
      <c r="I149" s="144" t="inlineStr">
        <is>
          <t>I</t>
        </is>
      </c>
      <c r="J149" s="144" t="n"/>
      <c r="K149" s="144" t="n"/>
      <c r="L149" s="144" t="n"/>
      <c r="M149" s="144" t="n"/>
      <c r="N149" s="144" t="n"/>
      <c r="O149" s="104">
        <f>SUM(J149:N149)</f>
        <v/>
      </c>
      <c r="P149" s="12">
        <f>O149/IF(H149="L",20,IF(H149="U",30,IF(H149="O",40,IF(H149="I",20,""))))</f>
        <v/>
      </c>
      <c r="Q149" s="145">
        <f>IF(AND(H149="L", P149&gt;=50%), "Pass",
IF(AND(H149="U", P149&gt;=60%), "Pass",
IF(AND(H149="O", P149&gt;=75%), "Pass", "Fail")))</f>
        <v/>
      </c>
      <c r="R149" s="146" t="n"/>
      <c r="S149" s="146" t="n"/>
      <c r="T149" s="146" t="n"/>
      <c r="U149" s="104">
        <f>SUM(S149:T149)</f>
        <v/>
      </c>
      <c r="V149" s="12">
        <f>U149/IF(H149="L",35,IF(H149="U",35,IF(H149="O",35,IF(H149="I",35,""))))</f>
        <v/>
      </c>
      <c r="W149" s="145">
        <f>IF(AND(H149="L", V149&gt;=50%), "Pass",
IF(AND(H149="U", V149&gt;=60%), "Pass",
IF(AND(H149="O", V149&gt;=75%), "Pass", "Fail")))</f>
        <v/>
      </c>
      <c r="X149" s="145">
        <f>IF(AND(Q149="Pass", W149="Pass"), "Pass", "Fail")</f>
        <v/>
      </c>
      <c r="Y149" s="15">
        <f>IF($X149="Pass",$H149,
IF(H149="L","I",
IF(H149="U","L",
IF(H149="O","U",
"I"))))</f>
        <v/>
      </c>
      <c r="AA149">
        <f>VLOOKUP($B149,[1]Sheet1!$B:$B,1,0)</f>
        <v/>
      </c>
      <c r="AB149">
        <f>VLOOKUP($B149,'[3]Left Employee Report'!$D:$D,1,0)</f>
        <v/>
      </c>
    </row>
    <row r="150">
      <c r="A150" s="1">
        <f>ROW()-2</f>
        <v/>
      </c>
      <c r="B150" s="28" t="inlineStr">
        <is>
          <t>SK3682</t>
        </is>
      </c>
      <c r="C150" s="23" t="inlineStr">
        <is>
          <t>ASHIK BHASAT</t>
        </is>
      </c>
      <c r="D150" s="23" t="inlineStr">
        <is>
          <t>PRODUCTION</t>
        </is>
      </c>
      <c r="E150" s="24" t="inlineStr">
        <is>
          <t>TYRE BUILDING-P1</t>
        </is>
      </c>
      <c r="F150" s="29" t="n">
        <v>45817</v>
      </c>
      <c r="G150" s="30">
        <f>NOW()-F150</f>
        <v/>
      </c>
      <c r="H150" s="144" t="inlineStr">
        <is>
          <t>I</t>
        </is>
      </c>
      <c r="I150" s="144" t="inlineStr">
        <is>
          <t>I</t>
        </is>
      </c>
      <c r="J150" s="144" t="n"/>
      <c r="K150" s="144" t="n"/>
      <c r="L150" s="144" t="n"/>
      <c r="M150" s="144" t="n"/>
      <c r="N150" s="144" t="n"/>
      <c r="O150" s="104">
        <f>SUM(J150:N150)</f>
        <v/>
      </c>
      <c r="P150" s="12">
        <f>O150/IF(H150="L",20,IF(H150="U",30,IF(H150="O",40,IF(H150="I",20,""))))</f>
        <v/>
      </c>
      <c r="Q150" s="145">
        <f>IF(AND(H150="L", P150&gt;=50%), "Pass",
IF(AND(H150="U", P150&gt;=60%), "Pass",
IF(AND(H150="O", P150&gt;=75%), "Pass", "Fail")))</f>
        <v/>
      </c>
      <c r="R150" s="146" t="n"/>
      <c r="S150" s="146" t="n"/>
      <c r="T150" s="146" t="n"/>
      <c r="U150" s="104">
        <f>SUM(S150:T150)</f>
        <v/>
      </c>
      <c r="V150" s="12">
        <f>U150/IF(H150="L",35,IF(H150="U",35,IF(H150="O",35,IF(H150="I",35,""))))</f>
        <v/>
      </c>
      <c r="W150" s="145">
        <f>IF(AND(H150="L", V150&gt;=50%), "Pass",
IF(AND(H150="U", V150&gt;=60%), "Pass",
IF(AND(H150="O", V150&gt;=75%), "Pass", "Fail")))</f>
        <v/>
      </c>
      <c r="X150" s="145">
        <f>IF(AND(Q150="Pass", W150="Pass"), "Pass", "Fail")</f>
        <v/>
      </c>
      <c r="Y150" s="15">
        <f>IF($X150="Pass",$H150,
IF(H150="L","I",
IF(H150="U","L",
IF(H150="O","U",
"I"))))</f>
        <v/>
      </c>
      <c r="AA150">
        <f>VLOOKUP($B150,[1]Sheet1!$B:$B,1,0)</f>
        <v/>
      </c>
      <c r="AB150">
        <f>VLOOKUP($B150,'[3]Left Employee Report'!$D:$D,1,0)</f>
        <v/>
      </c>
    </row>
    <row r="151">
      <c r="A151" s="1">
        <f>ROW()-2</f>
        <v/>
      </c>
      <c r="B151" s="28" t="inlineStr">
        <is>
          <t>LN0016</t>
        </is>
      </c>
      <c r="C151" s="23" t="inlineStr">
        <is>
          <t>MAHESHKUMAR ANBURAJ</t>
        </is>
      </c>
      <c r="D151" s="23" t="inlineStr">
        <is>
          <t>PRODUCTION</t>
        </is>
      </c>
      <c r="E151" s="24" t="inlineStr">
        <is>
          <t>TYRE BUILDING-P2</t>
        </is>
      </c>
      <c r="F151" s="29" t="n">
        <v>45266</v>
      </c>
      <c r="G151" s="30">
        <f>NOW()-F151</f>
        <v/>
      </c>
      <c r="H151" s="144" t="inlineStr">
        <is>
          <t>L</t>
        </is>
      </c>
      <c r="I151" s="144" t="inlineStr">
        <is>
          <t>I</t>
        </is>
      </c>
      <c r="J151" s="144" t="n"/>
      <c r="K151" s="144" t="n"/>
      <c r="L151" s="144" t="n"/>
      <c r="M151" s="144" t="n"/>
      <c r="N151" s="144" t="n"/>
      <c r="O151" s="104">
        <f>SUM(J151:N151)</f>
        <v/>
      </c>
      <c r="P151" s="12">
        <f>O151/IF(H151="L",20,IF(H151="U",30,IF(H151="O",40,IF(H151="I",20,""))))</f>
        <v/>
      </c>
      <c r="Q151" s="145">
        <f>IF(AND(H151="L", P151&gt;=50%), "Pass",
IF(AND(H151="U", P151&gt;=60%), "Pass",
IF(AND(H151="O", P151&gt;=75%), "Pass", "Fail")))</f>
        <v/>
      </c>
      <c r="R151" s="146" t="n"/>
      <c r="S151" s="146" t="n"/>
      <c r="T151" s="146" t="n"/>
      <c r="U151" s="104">
        <f>SUM(S151:T151)</f>
        <v/>
      </c>
      <c r="V151" s="12">
        <f>U151/IF(H151="L",35,IF(H151="U",35,IF(H151="O",35,IF(H151="I",35,""))))</f>
        <v/>
      </c>
      <c r="W151" s="145">
        <f>IF(AND(H151="L", V151&gt;=50%), "Pass",
IF(AND(H151="U", V151&gt;=60%), "Pass",
IF(AND(H151="O", V151&gt;=75%), "Pass", "Fail")))</f>
        <v/>
      </c>
      <c r="X151" s="145">
        <f>IF(AND(Q151="Pass", W151="Pass"), "Pass", "Fail")</f>
        <v/>
      </c>
      <c r="Y151" s="15">
        <f>IF($X151="Pass",$H151,
IF(H151="L","I",
IF(H151="U","L",
IF(H151="O","U",
"I"))))</f>
        <v/>
      </c>
      <c r="AA151">
        <f>VLOOKUP($B151,[1]Sheet1!$B:$B,1,0)</f>
        <v/>
      </c>
      <c r="AB151">
        <f>VLOOKUP($B151,'[3]Left Employee Report'!$D:$D,1,0)</f>
        <v/>
      </c>
    </row>
    <row r="152">
      <c r="A152" s="1">
        <f>ROW()-2</f>
        <v/>
      </c>
      <c r="B152" s="28" t="inlineStr">
        <is>
          <t>SK3579</t>
        </is>
      </c>
      <c r="C152" s="23" t="inlineStr">
        <is>
          <t>PRAMOD ORAON</t>
        </is>
      </c>
      <c r="D152" s="23" t="inlineStr">
        <is>
          <t>PRODUCTION</t>
        </is>
      </c>
      <c r="E152" s="24" t="inlineStr">
        <is>
          <t>TYRE BUILDING-P2</t>
        </is>
      </c>
      <c r="F152" s="29" t="n">
        <v>45678</v>
      </c>
      <c r="G152" s="30">
        <f>NOW()-F152</f>
        <v/>
      </c>
      <c r="H152" s="144" t="inlineStr">
        <is>
          <t>L</t>
        </is>
      </c>
      <c r="I152" s="144" t="inlineStr">
        <is>
          <t>I</t>
        </is>
      </c>
      <c r="J152" s="144" t="n"/>
      <c r="K152" s="144" t="n"/>
      <c r="L152" s="144" t="n"/>
      <c r="M152" s="144" t="n"/>
      <c r="N152" s="144" t="n"/>
      <c r="O152" s="104">
        <f>SUM(J152:N152)</f>
        <v/>
      </c>
      <c r="P152" s="12">
        <f>O152/IF(H152="L",20,IF(H152="U",30,IF(H152="O",40,IF(H152="I",20,""))))</f>
        <v/>
      </c>
      <c r="Q152" s="145">
        <f>IF(AND(H152="L", P152&gt;=50%), "Pass",
IF(AND(H152="U", P152&gt;=60%), "Pass",
IF(AND(H152="O", P152&gt;=75%), "Pass", "Fail")))</f>
        <v/>
      </c>
      <c r="R152" s="146" t="n"/>
      <c r="S152" s="146" t="n"/>
      <c r="T152" s="146" t="n"/>
      <c r="U152" s="104">
        <f>SUM(S152:T152)</f>
        <v/>
      </c>
      <c r="V152" s="12">
        <f>U152/IF(H152="L",35,IF(H152="U",35,IF(H152="O",35,IF(H152="I",35,""))))</f>
        <v/>
      </c>
      <c r="W152" s="145">
        <f>IF(AND(H152="L", V152&gt;=50%), "Pass",
IF(AND(H152="U", V152&gt;=60%), "Pass",
IF(AND(H152="O", V152&gt;=75%), "Pass", "Fail")))</f>
        <v/>
      </c>
      <c r="X152" s="145">
        <f>IF(AND(Q152="Pass", W152="Pass"), "Pass", "Fail")</f>
        <v/>
      </c>
      <c r="Y152" s="15">
        <f>IF($X152="Pass",$H152,
IF(H152="L","I",
IF(H152="U","L",
IF(H152="O","U",
"I"))))</f>
        <v/>
      </c>
      <c r="AA152">
        <f>VLOOKUP($B152,[1]Sheet1!$B:$B,1,0)</f>
        <v/>
      </c>
      <c r="AB152">
        <f>VLOOKUP($B152,'[3]Left Employee Report'!$D:$D,1,0)</f>
        <v/>
      </c>
    </row>
    <row r="153">
      <c r="A153" s="1">
        <f>ROW()-2</f>
        <v/>
      </c>
      <c r="B153" s="28" t="inlineStr">
        <is>
          <t>SK3610</t>
        </is>
      </c>
      <c r="C153" s="23" t="inlineStr">
        <is>
          <t>DHANESHWAR ORAON</t>
        </is>
      </c>
      <c r="D153" s="23" t="inlineStr">
        <is>
          <t>PRODUCTION</t>
        </is>
      </c>
      <c r="E153" s="24" t="inlineStr">
        <is>
          <t>TYRE BUILDING-P2</t>
        </is>
      </c>
      <c r="F153" s="29" t="n">
        <v>45686</v>
      </c>
      <c r="G153" s="30">
        <f>NOW()-F153</f>
        <v/>
      </c>
      <c r="H153" s="144" t="inlineStr">
        <is>
          <t>L</t>
        </is>
      </c>
      <c r="I153" s="144" t="inlineStr">
        <is>
          <t>I</t>
        </is>
      </c>
      <c r="J153" s="144" t="n"/>
      <c r="K153" s="144" t="n"/>
      <c r="L153" s="144" t="n"/>
      <c r="M153" s="144" t="n"/>
      <c r="N153" s="144" t="n"/>
      <c r="O153" s="104">
        <f>SUM(J153:N153)</f>
        <v/>
      </c>
      <c r="P153" s="12">
        <f>O153/IF(H153="L",20,IF(H153="U",30,IF(H153="O",40,IF(H153="I",20,""))))</f>
        <v/>
      </c>
      <c r="Q153" s="145">
        <f>IF(AND(H153="L", P153&gt;=50%), "Pass",
IF(AND(H153="U", P153&gt;=60%), "Pass",
IF(AND(H153="O", P153&gt;=75%), "Pass", "Fail")))</f>
        <v/>
      </c>
      <c r="R153" s="146" t="n"/>
      <c r="S153" s="146" t="n"/>
      <c r="T153" s="146" t="n"/>
      <c r="U153" s="104">
        <f>SUM(S153:T153)</f>
        <v/>
      </c>
      <c r="V153" s="12">
        <f>U153/IF(H153="L",35,IF(H153="U",35,IF(H153="O",35,IF(H153="I",35,""))))</f>
        <v/>
      </c>
      <c r="W153" s="145">
        <f>IF(AND(H153="L", V153&gt;=50%), "Pass",
IF(AND(H153="U", V153&gt;=60%), "Pass",
IF(AND(H153="O", V153&gt;=75%), "Pass", "Fail")))</f>
        <v/>
      </c>
      <c r="X153" s="145">
        <f>IF(AND(Q153="Pass", W153="Pass"), "Pass", "Fail")</f>
        <v/>
      </c>
      <c r="Y153" s="15">
        <f>IF($X153="Pass",$H153,
IF(H153="L","I",
IF(H153="U","L",
IF(H153="O","U",
"I"))))</f>
        <v/>
      </c>
      <c r="AA153">
        <f>VLOOKUP($B153,[1]Sheet1!$B:$B,1,0)</f>
        <v/>
      </c>
      <c r="AB153">
        <f>VLOOKUP($B153,'[3]Left Employee Report'!$D:$D,1,0)</f>
        <v/>
      </c>
    </row>
    <row r="154">
      <c r="A154" s="1">
        <f>ROW()-2</f>
        <v/>
      </c>
      <c r="B154" s="28" t="inlineStr">
        <is>
          <t>SK3636</t>
        </is>
      </c>
      <c r="C154" s="23" t="inlineStr">
        <is>
          <t>KARUPPASAMY S</t>
        </is>
      </c>
      <c r="D154" s="23" t="inlineStr">
        <is>
          <t>PRODUCTION</t>
        </is>
      </c>
      <c r="E154" s="24" t="inlineStr">
        <is>
          <t>TYRE BUILDING-P2</t>
        </is>
      </c>
      <c r="F154" s="29" t="n">
        <v>45789</v>
      </c>
      <c r="G154" s="30">
        <f>NOW()-F154</f>
        <v/>
      </c>
      <c r="H154" s="144" t="inlineStr">
        <is>
          <t>I</t>
        </is>
      </c>
      <c r="I154" s="144" t="inlineStr">
        <is>
          <t>I</t>
        </is>
      </c>
      <c r="J154" s="144" t="n"/>
      <c r="K154" s="144" t="n"/>
      <c r="L154" s="144" t="n"/>
      <c r="M154" s="144" t="n"/>
      <c r="N154" s="144" t="n"/>
      <c r="O154" s="104">
        <f>SUM(J154:N154)</f>
        <v/>
      </c>
      <c r="P154" s="12">
        <f>O154/IF(H154="L",20,IF(H154="U",30,IF(H154="O",40,IF(H154="I",20,""))))</f>
        <v/>
      </c>
      <c r="Q154" s="145">
        <f>IF(AND(H154="L", P154&gt;=50%), "Pass",
IF(AND(H154="U", P154&gt;=60%), "Pass",
IF(AND(H154="O", P154&gt;=75%), "Pass", "Fail")))</f>
        <v/>
      </c>
      <c r="R154" s="146" t="n"/>
      <c r="S154" s="146" t="n"/>
      <c r="T154" s="146" t="n"/>
      <c r="U154" s="104">
        <f>SUM(S154:T154)</f>
        <v/>
      </c>
      <c r="V154" s="12">
        <f>U154/IF(H154="L",35,IF(H154="U",35,IF(H154="O",35,IF(H154="I",35,""))))</f>
        <v/>
      </c>
      <c r="W154" s="145">
        <f>IF(AND(H154="L", V154&gt;=50%), "Pass",
IF(AND(H154="U", V154&gt;=60%), "Pass",
IF(AND(H154="O", V154&gt;=75%), "Pass", "Fail")))</f>
        <v/>
      </c>
      <c r="X154" s="145">
        <f>IF(AND(Q154="Pass", W154="Pass"), "Pass", "Fail")</f>
        <v/>
      </c>
      <c r="Y154" s="15">
        <f>IF($X154="Pass",$H154,
IF(H154="L","I",
IF(H154="U","L",
IF(H154="O","U",
"I"))))</f>
        <v/>
      </c>
      <c r="AA154">
        <f>VLOOKUP($B154,[1]Sheet1!$B:$B,1,0)</f>
        <v/>
      </c>
      <c r="AB154">
        <f>VLOOKUP($B154,'[3]Left Employee Report'!$D:$D,1,0)</f>
        <v/>
      </c>
    </row>
    <row r="155">
      <c r="A155" s="1">
        <f>ROW()-2</f>
        <v/>
      </c>
      <c r="B155" s="28" t="inlineStr">
        <is>
          <t>KK1394</t>
        </is>
      </c>
      <c r="C155" s="23" t="inlineStr">
        <is>
          <t>K MUPPIDATHI ALIAS SELVAKUMAR</t>
        </is>
      </c>
      <c r="D155" s="23" t="inlineStr">
        <is>
          <t>PRODUCTION</t>
        </is>
      </c>
      <c r="E155" s="24" t="inlineStr">
        <is>
          <t>TYRE BUILDING-P3</t>
        </is>
      </c>
      <c r="F155" s="29" t="n">
        <v>44712</v>
      </c>
      <c r="G155" s="30">
        <f>NOW()-F155</f>
        <v/>
      </c>
      <c r="H155" s="144" t="inlineStr">
        <is>
          <t>U</t>
        </is>
      </c>
      <c r="I155" s="144" t="inlineStr">
        <is>
          <t>U</t>
        </is>
      </c>
      <c r="J155" s="144" t="n"/>
      <c r="K155" s="144" t="n"/>
      <c r="L155" s="144" t="n"/>
      <c r="M155" s="144" t="n"/>
      <c r="N155" s="144" t="n"/>
      <c r="O155" s="104">
        <f>SUM(J155:N155)</f>
        <v/>
      </c>
      <c r="P155" s="12">
        <f>O155/IF(H155="L",20,IF(H155="U",30,IF(H155="O",40,IF(H155="I",20,""))))</f>
        <v/>
      </c>
      <c r="Q155" s="145">
        <f>IF(AND(H155="L", P155&gt;=50%), "Pass",
IF(AND(H155="U", P155&gt;=60%), "Pass",
IF(AND(H155="O", P155&gt;=75%), "Pass", "Fail")))</f>
        <v/>
      </c>
      <c r="R155" s="146" t="n"/>
      <c r="S155" s="146" t="n"/>
      <c r="T155" s="146" t="n"/>
      <c r="U155" s="104">
        <f>SUM(S155:T155)</f>
        <v/>
      </c>
      <c r="V155" s="12">
        <f>U155/IF(H155="L",35,IF(H155="U",35,IF(H155="O",35,IF(H155="I",35,""))))</f>
        <v/>
      </c>
      <c r="W155" s="145">
        <f>IF(AND(H155="L", V155&gt;=50%), "Pass",
IF(AND(H155="U", V155&gt;=60%), "Pass",
IF(AND(H155="O", V155&gt;=75%), "Pass", "Fail")))</f>
        <v/>
      </c>
      <c r="X155" s="145">
        <f>IF(AND(Q155="Pass", W155="Pass"), "Pass", "Fail")</f>
        <v/>
      </c>
      <c r="Y155" s="15">
        <f>IF($X155="Pass",$H155,
IF(H155="L","I",
IF(H155="U","L",
IF(H155="O","U",
"I"))))</f>
        <v/>
      </c>
      <c r="AA155">
        <f>VLOOKUP($B155,[1]Sheet1!$B:$B,1,0)</f>
        <v/>
      </c>
      <c r="AB155">
        <f>VLOOKUP($B155,'[3]Left Employee Report'!$D:$D,1,0)</f>
        <v/>
      </c>
    </row>
    <row r="156">
      <c r="A156" s="1">
        <f>ROW()-2</f>
        <v/>
      </c>
      <c r="B156" s="28" t="inlineStr">
        <is>
          <t>KK1509</t>
        </is>
      </c>
      <c r="C156" s="23" t="inlineStr">
        <is>
          <t>MUTHU NAVEEN S</t>
        </is>
      </c>
      <c r="D156" s="23" t="inlineStr">
        <is>
          <t>PRODUCTION</t>
        </is>
      </c>
      <c r="E156" s="24" t="inlineStr">
        <is>
          <t>TYRE BUILDING-P3</t>
        </is>
      </c>
      <c r="F156" s="29" t="n">
        <v>45831</v>
      </c>
      <c r="G156" s="30">
        <f>NOW()-F156</f>
        <v/>
      </c>
      <c r="H156" s="144" t="inlineStr">
        <is>
          <t>I</t>
        </is>
      </c>
      <c r="I156" s="144" t="inlineStr">
        <is>
          <t>I</t>
        </is>
      </c>
      <c r="J156" s="144" t="n"/>
      <c r="K156" s="144" t="n"/>
      <c r="L156" s="144" t="n"/>
      <c r="M156" s="144" t="n"/>
      <c r="N156" s="144" t="n"/>
      <c r="O156" s="104">
        <f>SUM(J156:N156)</f>
        <v/>
      </c>
      <c r="P156" s="12">
        <f>O156/IF(H156="L",20,IF(H156="U",30,IF(H156="O",40,IF(H156="I",20,""))))</f>
        <v/>
      </c>
      <c r="Q156" s="145">
        <f>IF(AND(H156="L", P156&gt;=50%), "Pass",
IF(AND(H156="U", P156&gt;=60%), "Pass",
IF(AND(H156="O", P156&gt;=75%), "Pass", "Fail")))</f>
        <v/>
      </c>
      <c r="R156" s="146" t="n"/>
      <c r="S156" s="146" t="n"/>
      <c r="T156" s="146" t="n"/>
      <c r="U156" s="104">
        <f>SUM(S156:T156)</f>
        <v/>
      </c>
      <c r="V156" s="12">
        <f>U156/IF(H156="L",35,IF(H156="U",35,IF(H156="O",35,IF(H156="I",35,""))))</f>
        <v/>
      </c>
      <c r="W156" s="145">
        <f>IF(AND(H156="L", V156&gt;=50%), "Pass",
IF(AND(H156="U", V156&gt;=60%), "Pass",
IF(AND(H156="O", V156&gt;=75%), "Pass", "Fail")))</f>
        <v/>
      </c>
      <c r="X156" s="145">
        <f>IF(AND(Q156="Pass", W156="Pass"), "Pass", "Fail")</f>
        <v/>
      </c>
      <c r="Y156" s="15">
        <f>IF($X156="Pass",$H156,
IF(H156="L","I",
IF(H156="U","L",
IF(H156="O","U",
"I"))))</f>
        <v/>
      </c>
      <c r="AA156">
        <f>VLOOKUP($B156,[1]Sheet1!$B:$B,1,0)</f>
        <v/>
      </c>
      <c r="AB156">
        <f>VLOOKUP($B156,'[3]Left Employee Report'!$D:$D,1,0)</f>
        <v/>
      </c>
    </row>
    <row r="157">
      <c r="A157" s="1">
        <f>ROW()-2</f>
        <v/>
      </c>
      <c r="B157" s="28" t="inlineStr">
        <is>
          <t>LN0074</t>
        </is>
      </c>
      <c r="C157" s="23" t="inlineStr">
        <is>
          <t>JITENDRA KUSHWAHA</t>
        </is>
      </c>
      <c r="D157" s="23" t="inlineStr">
        <is>
          <t>PRODUCTION</t>
        </is>
      </c>
      <c r="E157" s="24" t="inlineStr">
        <is>
          <t>TYRE BUILDING-P3</t>
        </is>
      </c>
      <c r="F157" s="29" t="n">
        <v>45281</v>
      </c>
      <c r="G157" s="30">
        <f>NOW()-F157</f>
        <v/>
      </c>
      <c r="H157" s="144" t="inlineStr">
        <is>
          <t>L</t>
        </is>
      </c>
      <c r="I157" s="144" t="inlineStr">
        <is>
          <t>L</t>
        </is>
      </c>
      <c r="J157" s="144" t="n"/>
      <c r="K157" s="144" t="n"/>
      <c r="L157" s="144" t="n"/>
      <c r="M157" s="144" t="n"/>
      <c r="N157" s="144" t="n"/>
      <c r="O157" s="104">
        <f>SUM(J157:N157)</f>
        <v/>
      </c>
      <c r="P157" s="12">
        <f>O157/IF(H157="L",20,IF(H157="U",30,IF(H157="O",40,IF(H157="I",20,""))))</f>
        <v/>
      </c>
      <c r="Q157" s="145">
        <f>IF(AND(H157="L", P157&gt;=50%), "Pass",
IF(AND(H157="U", P157&gt;=60%), "Pass",
IF(AND(H157="O", P157&gt;=75%), "Pass", "Fail")))</f>
        <v/>
      </c>
      <c r="R157" s="146" t="n"/>
      <c r="S157" s="146" t="n"/>
      <c r="T157" s="146" t="n"/>
      <c r="U157" s="104">
        <f>SUM(S157:T157)</f>
        <v/>
      </c>
      <c r="V157" s="12">
        <f>U157/IF(H157="L",35,IF(H157="U",35,IF(H157="O",35,IF(H157="I",35,""))))</f>
        <v/>
      </c>
      <c r="W157" s="145">
        <f>IF(AND(H157="L", V157&gt;=50%), "Pass",
IF(AND(H157="U", V157&gt;=60%), "Pass",
IF(AND(H157="O", V157&gt;=75%), "Pass", "Fail")))</f>
        <v/>
      </c>
      <c r="X157" s="145">
        <f>IF(AND(Q157="Pass", W157="Pass"), "Pass", "Fail")</f>
        <v/>
      </c>
      <c r="Y157" s="15">
        <f>IF($X157="Pass",$H157,
IF(H157="L","I",
IF(H157="U","L",
IF(H157="O","U",
"I"))))</f>
        <v/>
      </c>
      <c r="AA157">
        <f>VLOOKUP($B157,[1]Sheet1!$B:$B,1,0)</f>
        <v/>
      </c>
      <c r="AB157">
        <f>VLOOKUP($B157,'[3]Left Employee Report'!$D:$D,1,0)</f>
        <v/>
      </c>
    </row>
    <row r="158">
      <c r="A158" s="1">
        <f>ROW()-2</f>
        <v/>
      </c>
      <c r="B158" s="28" t="inlineStr">
        <is>
          <t>LN0594</t>
        </is>
      </c>
      <c r="C158" s="23" t="inlineStr">
        <is>
          <t>VINOTHKUMAR C</t>
        </is>
      </c>
      <c r="D158" s="23" t="inlineStr">
        <is>
          <t>PRODUCTION</t>
        </is>
      </c>
      <c r="E158" s="24" t="inlineStr">
        <is>
          <t>TYRE BUILDING-P3</t>
        </is>
      </c>
      <c r="F158" s="29" t="n">
        <v>45618</v>
      </c>
      <c r="G158" s="30">
        <f>NOW()-F158</f>
        <v/>
      </c>
      <c r="H158" s="144" t="inlineStr">
        <is>
          <t>L</t>
        </is>
      </c>
      <c r="I158" s="144" t="inlineStr">
        <is>
          <t>L</t>
        </is>
      </c>
      <c r="J158" s="144" t="n"/>
      <c r="K158" s="144" t="n"/>
      <c r="L158" s="144" t="n"/>
      <c r="M158" s="144" t="n"/>
      <c r="N158" s="144" t="n"/>
      <c r="O158" s="104">
        <f>SUM(J158:N158)</f>
        <v/>
      </c>
      <c r="P158" s="12">
        <f>O158/IF(H158="L",20,IF(H158="U",30,IF(H158="O",40,IF(H158="I",20,""))))</f>
        <v/>
      </c>
      <c r="Q158" s="145">
        <f>IF(AND(H158="L", P158&gt;=50%), "Pass",
IF(AND(H158="U", P158&gt;=60%), "Pass",
IF(AND(H158="O", P158&gt;=75%), "Pass", "Fail")))</f>
        <v/>
      </c>
      <c r="R158" s="146" t="n"/>
      <c r="S158" s="146" t="n"/>
      <c r="T158" s="146" t="n"/>
      <c r="U158" s="104">
        <f>SUM(S158:T158)</f>
        <v/>
      </c>
      <c r="V158" s="12">
        <f>U158/IF(H158="L",35,IF(H158="U",35,IF(H158="O",35,IF(H158="I",35,""))))</f>
        <v/>
      </c>
      <c r="W158" s="145">
        <f>IF(AND(H158="L", V158&gt;=50%), "Pass",
IF(AND(H158="U", V158&gt;=60%), "Pass",
IF(AND(H158="O", V158&gt;=75%), "Pass", "Fail")))</f>
        <v/>
      </c>
      <c r="X158" s="145">
        <f>IF(AND(Q158="Pass", W158="Pass"), "Pass", "Fail")</f>
        <v/>
      </c>
      <c r="Y158" s="15">
        <f>IF($X158="Pass",$H158,
IF(H158="L","I",
IF(H158="U","L",
IF(H158="O","U",
"I"))))</f>
        <v/>
      </c>
      <c r="AA158">
        <f>VLOOKUP($B158,[1]Sheet1!$B:$B,1,0)</f>
        <v/>
      </c>
      <c r="AB158">
        <f>VLOOKUP($B158,'[3]Left Employee Report'!$D:$D,1,0)</f>
        <v/>
      </c>
    </row>
    <row r="159">
      <c r="A159" s="1">
        <f>ROW()-2</f>
        <v/>
      </c>
      <c r="B159" s="28" t="inlineStr">
        <is>
          <t>LN0735</t>
        </is>
      </c>
      <c r="C159" s="23" t="inlineStr">
        <is>
          <t>SURESH SUDALAI KUMAR</t>
        </is>
      </c>
      <c r="D159" s="23" t="inlineStr">
        <is>
          <t>PRODUCTION</t>
        </is>
      </c>
      <c r="E159" s="24" t="inlineStr">
        <is>
          <t>TYRE BUILDING-P3</t>
        </is>
      </c>
      <c r="F159" s="29" t="n">
        <v>45674</v>
      </c>
      <c r="G159" s="30">
        <f>NOW()-F159</f>
        <v/>
      </c>
      <c r="H159" s="144" t="inlineStr">
        <is>
          <t>L</t>
        </is>
      </c>
      <c r="I159" s="144" t="inlineStr">
        <is>
          <t>L</t>
        </is>
      </c>
      <c r="J159" s="144" t="n"/>
      <c r="K159" s="144" t="n"/>
      <c r="L159" s="144" t="n"/>
      <c r="M159" s="144" t="n"/>
      <c r="N159" s="144" t="n"/>
      <c r="O159" s="104">
        <f>SUM(J159:N159)</f>
        <v/>
      </c>
      <c r="P159" s="12">
        <f>O159/IF(H159="L",20,IF(H159="U",30,IF(H159="O",40,IF(H159="I",20,""))))</f>
        <v/>
      </c>
      <c r="Q159" s="145">
        <f>IF(AND(H159="L", P159&gt;=50%), "Pass",
IF(AND(H159="U", P159&gt;=60%), "Pass",
IF(AND(H159="O", P159&gt;=75%), "Pass", "Fail")))</f>
        <v/>
      </c>
      <c r="R159" s="146" t="n"/>
      <c r="S159" s="146" t="n"/>
      <c r="T159" s="146" t="n"/>
      <c r="U159" s="104">
        <f>SUM(S159:T159)</f>
        <v/>
      </c>
      <c r="V159" s="12">
        <f>U159/IF(H159="L",35,IF(H159="U",35,IF(H159="O",35,IF(H159="I",35,""))))</f>
        <v/>
      </c>
      <c r="W159" s="145">
        <f>IF(AND(H159="L", V159&gt;=50%), "Pass",
IF(AND(H159="U", V159&gt;=60%), "Pass",
IF(AND(H159="O", V159&gt;=75%), "Pass", "Fail")))</f>
        <v/>
      </c>
      <c r="X159" s="145">
        <f>IF(AND(Q159="Pass", W159="Pass"), "Pass", "Fail")</f>
        <v/>
      </c>
      <c r="Y159" s="15">
        <f>IF($X159="Pass",$H159,
IF(H159="L","I",
IF(H159="U","L",
IF(H159="O","U",
"I"))))</f>
        <v/>
      </c>
      <c r="AA159">
        <f>VLOOKUP($B159,[1]Sheet1!$B:$B,1,0)</f>
        <v/>
      </c>
      <c r="AB159">
        <f>VLOOKUP($B159,'[3]Left Employee Report'!$D:$D,1,0)</f>
        <v/>
      </c>
    </row>
    <row r="160">
      <c r="A160" s="1">
        <f>ROW()-2</f>
        <v/>
      </c>
      <c r="B160" s="28" t="inlineStr">
        <is>
          <t>MG1596</t>
        </is>
      </c>
      <c r="C160" s="23" t="inlineStr">
        <is>
          <t>PONGALRAJ L</t>
        </is>
      </c>
      <c r="D160" s="23" t="inlineStr">
        <is>
          <t>PRODUCTION</t>
        </is>
      </c>
      <c r="E160" s="24" t="inlineStr">
        <is>
          <t>TYRE BUILDING-P3</t>
        </is>
      </c>
      <c r="F160" s="29" t="n">
        <v>45696</v>
      </c>
      <c r="G160" s="30">
        <f>NOW()-F160</f>
        <v/>
      </c>
      <c r="H160" s="144" t="inlineStr">
        <is>
          <t>L</t>
        </is>
      </c>
      <c r="I160" s="144" t="inlineStr">
        <is>
          <t>L</t>
        </is>
      </c>
      <c r="J160" s="144" t="n"/>
      <c r="K160" s="144" t="n"/>
      <c r="L160" s="144" t="n"/>
      <c r="M160" s="144" t="n"/>
      <c r="N160" s="144" t="n"/>
      <c r="O160" s="104">
        <f>SUM(J160:N160)</f>
        <v/>
      </c>
      <c r="P160" s="12">
        <f>O160/IF(H160="L",20,IF(H160="U",30,IF(H160="O",40,IF(H160="I",20,""))))</f>
        <v/>
      </c>
      <c r="Q160" s="145">
        <f>IF(AND(H160="L", P160&gt;=50%), "Pass",
IF(AND(H160="U", P160&gt;=60%), "Pass",
IF(AND(H160="O", P160&gt;=75%), "Pass", "Fail")))</f>
        <v/>
      </c>
      <c r="R160" s="146" t="n"/>
      <c r="S160" s="146" t="n"/>
      <c r="T160" s="146" t="n"/>
      <c r="U160" s="104">
        <f>SUM(S160:T160)</f>
        <v/>
      </c>
      <c r="V160" s="12">
        <f>U160/IF(H160="L",35,IF(H160="U",35,IF(H160="O",35,IF(H160="I",35,""))))</f>
        <v/>
      </c>
      <c r="W160" s="145">
        <f>IF(AND(H160="L", V160&gt;=50%), "Pass",
IF(AND(H160="U", V160&gt;=60%), "Pass",
IF(AND(H160="O", V160&gt;=75%), "Pass", "Fail")))</f>
        <v/>
      </c>
      <c r="X160" s="145">
        <f>IF(AND(Q160="Pass", W160="Pass"), "Pass", "Fail")</f>
        <v/>
      </c>
      <c r="Y160" s="15">
        <f>IF($X160="Pass",$H160,
IF(H160="L","I",
IF(H160="U","L",
IF(H160="O","U",
"I"))))</f>
        <v/>
      </c>
      <c r="AA160">
        <f>VLOOKUP($B160,[1]Sheet1!$B:$B,1,0)</f>
        <v/>
      </c>
      <c r="AB160">
        <f>VLOOKUP($B160,'[3]Left Employee Report'!$D:$D,1,0)</f>
        <v/>
      </c>
    </row>
    <row r="161">
      <c r="A161" s="1">
        <f>ROW()-2</f>
        <v/>
      </c>
      <c r="B161" s="28" t="inlineStr">
        <is>
          <t>PK1603</t>
        </is>
      </c>
      <c r="C161" s="23" t="inlineStr">
        <is>
          <t>ARVIND BHARTIYA</t>
        </is>
      </c>
      <c r="D161" s="23" t="inlineStr">
        <is>
          <t>PRODUCTION</t>
        </is>
      </c>
      <c r="E161" s="24" t="inlineStr">
        <is>
          <t>TYRE BUILDING-P3</t>
        </is>
      </c>
      <c r="F161" s="29" t="n">
        <v>45815</v>
      </c>
      <c r="G161" s="30">
        <f>NOW()-F161</f>
        <v/>
      </c>
      <c r="H161" s="144" t="inlineStr">
        <is>
          <t>I</t>
        </is>
      </c>
      <c r="I161" s="144" t="inlineStr">
        <is>
          <t>I</t>
        </is>
      </c>
      <c r="J161" s="144" t="n"/>
      <c r="K161" s="144" t="n"/>
      <c r="L161" s="144" t="n"/>
      <c r="M161" s="144" t="n"/>
      <c r="N161" s="144" t="n"/>
      <c r="O161" s="104">
        <f>SUM(J161:N161)</f>
        <v/>
      </c>
      <c r="P161" s="12">
        <f>O161/IF(H161="L",20,IF(H161="U",30,IF(H161="O",40,IF(H161="I",20,""))))</f>
        <v/>
      </c>
      <c r="Q161" s="145">
        <f>IF(AND(H161="L", P161&gt;=50%), "Pass",
IF(AND(H161="U", P161&gt;=60%), "Pass",
IF(AND(H161="O", P161&gt;=75%), "Pass", "Fail")))</f>
        <v/>
      </c>
      <c r="R161" s="146" t="n"/>
      <c r="S161" s="146" t="n"/>
      <c r="T161" s="146" t="n"/>
      <c r="U161" s="104">
        <f>SUM(S161:T161)</f>
        <v/>
      </c>
      <c r="V161" s="12">
        <f>U161/IF(H161="L",35,IF(H161="U",35,IF(H161="O",35,IF(H161="I",35,""))))</f>
        <v/>
      </c>
      <c r="W161" s="145">
        <f>IF(AND(H161="L", V161&gt;=50%), "Pass",
IF(AND(H161="U", V161&gt;=60%), "Pass",
IF(AND(H161="O", V161&gt;=75%), "Pass", "Fail")))</f>
        <v/>
      </c>
      <c r="X161" s="145">
        <f>IF(AND(Q161="Pass", W161="Pass"), "Pass", "Fail")</f>
        <v/>
      </c>
      <c r="Y161" s="15">
        <f>IF($X161="Pass",$H161,
IF(H161="L","I",
IF(H161="U","L",
IF(H161="O","U",
"I"))))</f>
        <v/>
      </c>
      <c r="AA161">
        <f>VLOOKUP($B161,[1]Sheet1!$B:$B,1,0)</f>
        <v/>
      </c>
      <c r="AB161">
        <f>VLOOKUP($B161,'[3]Left Employee Report'!$D:$D,1,0)</f>
        <v/>
      </c>
    </row>
    <row r="162">
      <c r="A162" s="1">
        <f>ROW()-2</f>
        <v/>
      </c>
      <c r="B162" s="28" t="inlineStr">
        <is>
          <t>PK1631</t>
        </is>
      </c>
      <c r="C162" s="23" t="inlineStr">
        <is>
          <t>VENKADESHWARAN M</t>
        </is>
      </c>
      <c r="D162" s="23" t="inlineStr">
        <is>
          <t>PRODUCTION</t>
        </is>
      </c>
      <c r="E162" s="24" t="inlineStr">
        <is>
          <t>TYRE BUILDING-P3</t>
        </is>
      </c>
      <c r="F162" s="29" t="n">
        <v>45831</v>
      </c>
      <c r="G162" s="30">
        <f>NOW()-F162</f>
        <v/>
      </c>
      <c r="H162" s="144" t="inlineStr">
        <is>
          <t>I</t>
        </is>
      </c>
      <c r="I162" s="144" t="inlineStr">
        <is>
          <t>I</t>
        </is>
      </c>
      <c r="J162" s="144" t="n"/>
      <c r="K162" s="144" t="n"/>
      <c r="L162" s="144" t="n"/>
      <c r="M162" s="144" t="n"/>
      <c r="N162" s="144" t="n"/>
      <c r="O162" s="104">
        <f>SUM(J162:N162)</f>
        <v/>
      </c>
      <c r="P162" s="12">
        <f>O162/IF(H162="L",20,IF(H162="U",30,IF(H162="O",40,IF(H162="I",20,""))))</f>
        <v/>
      </c>
      <c r="Q162" s="145">
        <f>IF(AND(H162="L", P162&gt;=50%), "Pass",
 IF(AND(H162="U", P162&gt;=60%), "Pass",
 IF(AND(H162="O", P162&gt;=75%), "Pass", "Fail")))</f>
        <v/>
      </c>
      <c r="R162" s="146" t="n"/>
      <c r="S162" s="146" t="n"/>
      <c r="T162" s="146" t="n"/>
      <c r="U162" s="104">
        <f>SUM(S162:T162)</f>
        <v/>
      </c>
      <c r="V162" s="12">
        <f>U162/IF(H162="L",35,IF(H162="U",35,IF(H162="O",35,IF(H162="I",35,""))))</f>
        <v/>
      </c>
      <c r="W162" s="145">
        <f>IF(AND(H162="L", V162&gt;=50%), "Pass",
 IF(AND(H162="U", V162&gt;=60%), "Pass",
 IF(AND(H162="O", V162&gt;=75%), "Pass", "Fail")))</f>
        <v/>
      </c>
      <c r="X162" s="145">
        <f>IF(AND(Q162="Pass", W162="Pass"), "Pass", "Fail")</f>
        <v/>
      </c>
      <c r="Y162" s="15">
        <f>IF($X162="Pass",$H162,
IF(H162="L","I",
IF(H162="U","L",
IF(H162="O","U",
"I"))))</f>
        <v/>
      </c>
      <c r="AA162">
        <f>VLOOKUP($B162,[1]Sheet1!$B:$B,1,0)</f>
        <v/>
      </c>
      <c r="AB162">
        <f>VLOOKUP($B162,'[3]Left Employee Report'!$D:$D,1,0)</f>
        <v/>
      </c>
    </row>
    <row r="163">
      <c r="A163" s="1">
        <f>ROW()-2</f>
        <v/>
      </c>
      <c r="B163" s="28" t="inlineStr">
        <is>
          <t>SK3647</t>
        </is>
      </c>
      <c r="C163" s="23" t="inlineStr">
        <is>
          <t>PRINCE KUMAR</t>
        </is>
      </c>
      <c r="D163" s="23" t="inlineStr">
        <is>
          <t>PRODUCTION</t>
        </is>
      </c>
      <c r="E163" s="24" t="inlineStr">
        <is>
          <t>TYRE BUILDING-P3</t>
        </is>
      </c>
      <c r="F163" s="29" t="n">
        <v>45796</v>
      </c>
      <c r="G163" s="30">
        <f>NOW()-F163</f>
        <v/>
      </c>
      <c r="H163" s="144" t="inlineStr">
        <is>
          <t>I</t>
        </is>
      </c>
      <c r="I163" s="144" t="inlineStr">
        <is>
          <t>I</t>
        </is>
      </c>
      <c r="J163" s="144" t="n"/>
      <c r="K163" s="144" t="n"/>
      <c r="L163" s="144" t="n"/>
      <c r="M163" s="144" t="n"/>
      <c r="N163" s="144" t="n"/>
      <c r="O163" s="104">
        <f>SUM(J163:N163)</f>
        <v/>
      </c>
      <c r="P163" s="12">
        <f>O163/IF(H163="L",20,IF(H163="U",30,IF(H163="O",40,IF(H163="I",20,""))))</f>
        <v/>
      </c>
      <c r="Q163" s="145">
        <f>IF(AND(H163="L", P163&gt;=50%), "Pass",
IF(AND(H163="U", P163&gt;=60%), "Pass",
IF(AND(H163="O", P163&gt;=75%), "Pass", "Fail")))</f>
        <v/>
      </c>
      <c r="R163" s="146" t="n"/>
      <c r="S163" s="146" t="n"/>
      <c r="T163" s="146" t="n"/>
      <c r="U163" s="104">
        <f>SUM(S163:T163)</f>
        <v/>
      </c>
      <c r="V163" s="12">
        <f>U163/IF(H163="L",35,IF(H163="U",35,IF(H163="O",35,IF(H163="I",35,""))))</f>
        <v/>
      </c>
      <c r="W163" s="145">
        <f>IF(AND(H163="L", V163&gt;=50%), "Pass",
IF(AND(H163="U", V163&gt;=60%), "Pass",
IF(AND(H163="O", V163&gt;=75%), "Pass", "Fail")))</f>
        <v/>
      </c>
      <c r="X163" s="145">
        <f>IF(AND(Q163="Pass", W163="Pass"), "Pass", "Fail")</f>
        <v/>
      </c>
      <c r="Y163" s="15">
        <f>IF($X163="Pass",$H163,
IF(H163="L","I",
IF(H163="U","L",
IF(H163="O","U",
"I"))))</f>
        <v/>
      </c>
      <c r="AA163">
        <f>VLOOKUP($B163,[1]Sheet1!$B:$B,1,0)</f>
        <v/>
      </c>
      <c r="AB163">
        <f>VLOOKUP($B163,'[3]Left Employee Report'!$D:$D,1,0)</f>
        <v/>
      </c>
    </row>
    <row r="164">
      <c r="A164" s="1">
        <f>ROW()-2</f>
        <v/>
      </c>
      <c r="B164" s="28" t="inlineStr">
        <is>
          <t>SK3651</t>
        </is>
      </c>
      <c r="C164" s="23" t="inlineStr">
        <is>
          <t>THIRUVALI MUTHU BOTHIKANNU</t>
        </is>
      </c>
      <c r="D164" s="23" t="inlineStr">
        <is>
          <t>PRODUCTION</t>
        </is>
      </c>
      <c r="E164" s="24" t="inlineStr">
        <is>
          <t>TYRE BUILDING-P3</t>
        </is>
      </c>
      <c r="F164" s="29" t="n">
        <v>45796</v>
      </c>
      <c r="G164" s="30">
        <f>NOW()-F164</f>
        <v/>
      </c>
      <c r="H164" s="144" t="inlineStr">
        <is>
          <t>I</t>
        </is>
      </c>
      <c r="I164" s="144" t="inlineStr">
        <is>
          <t>I</t>
        </is>
      </c>
      <c r="J164" s="144" t="n"/>
      <c r="K164" s="144" t="n"/>
      <c r="L164" s="144" t="n"/>
      <c r="M164" s="144" t="n"/>
      <c r="N164" s="144" t="n"/>
      <c r="O164" s="104">
        <f>SUM(J164:N164)</f>
        <v/>
      </c>
      <c r="P164" s="12">
        <f>O164/IF(H164="L",20,IF(H164="U",30,IF(H164="O",40,IF(H164="I",20,""))))</f>
        <v/>
      </c>
      <c r="Q164" s="145">
        <f>IF(AND(H164="L", P164&gt;=50%), "Pass",
IF(AND(H164="U", P164&gt;=60%), "Pass",
IF(AND(H164="O", P164&gt;=75%), "Pass", "Fail")))</f>
        <v/>
      </c>
      <c r="R164" s="146" t="n"/>
      <c r="S164" s="146" t="n"/>
      <c r="T164" s="146" t="n"/>
      <c r="U164" s="104">
        <f>SUM(S164:T164)</f>
        <v/>
      </c>
      <c r="V164" s="12">
        <f>U164/IF(H164="L",35,IF(H164="U",35,IF(H164="O",35,IF(H164="I",35,""))))</f>
        <v/>
      </c>
      <c r="W164" s="145">
        <f>IF(AND(H164="L", V164&gt;=50%), "Pass",
IF(AND(H164="U", V164&gt;=60%), "Pass",
IF(AND(H164="O", V164&gt;=75%), "Pass", "Fail")))</f>
        <v/>
      </c>
      <c r="X164" s="145">
        <f>IF(AND(Q164="Pass", W164="Pass"), "Pass", "Fail")</f>
        <v/>
      </c>
      <c r="Y164" s="15">
        <f>IF($X164="Pass",$H164,
IF(H164="L","I",
IF(H164="U","L",
IF(H164="O","U",
"I"))))</f>
        <v/>
      </c>
      <c r="AA164">
        <f>VLOOKUP($B164,[1]Sheet1!$B:$B,1,0)</f>
        <v/>
      </c>
      <c r="AB164">
        <f>VLOOKUP($B164,'[3]Left Employee Report'!$D:$D,1,0)</f>
        <v/>
      </c>
    </row>
    <row r="165">
      <c r="A165" s="1">
        <f>ROW()-2</f>
        <v/>
      </c>
      <c r="B165" s="28" t="inlineStr">
        <is>
          <t>SK3697</t>
        </is>
      </c>
      <c r="C165" s="23" t="inlineStr">
        <is>
          <t>ARIRAJ</t>
        </is>
      </c>
      <c r="D165" s="23" t="inlineStr">
        <is>
          <t>PRODUCTION</t>
        </is>
      </c>
      <c r="E165" s="24" t="inlineStr">
        <is>
          <t>TYRE BUILDING-P3</t>
        </is>
      </c>
      <c r="F165" s="29" t="n">
        <v>45832</v>
      </c>
      <c r="G165" s="30">
        <f>NOW()-F165</f>
        <v/>
      </c>
      <c r="H165" s="144" t="inlineStr">
        <is>
          <t>I</t>
        </is>
      </c>
      <c r="I165" s="144" t="inlineStr">
        <is>
          <t>I</t>
        </is>
      </c>
      <c r="J165" s="144" t="n"/>
      <c r="K165" s="144" t="n"/>
      <c r="L165" s="144" t="n"/>
      <c r="M165" s="144" t="n"/>
      <c r="N165" s="144" t="n"/>
      <c r="O165" s="104">
        <f>SUM(J165:N165)</f>
        <v/>
      </c>
      <c r="P165" s="12">
        <f>O165/IF(H165="L",20,IF(H165="U",30,IF(H165="O",40,IF(H165="I",20,""))))</f>
        <v/>
      </c>
      <c r="Q165" s="145">
        <f>IF(AND(H165="L", P165&gt;=50%), "Pass",
IF(AND(H165="U", P165&gt;=60%), "Pass",
IF(AND(H165="O", P165&gt;=75%), "Pass", "Fail")))</f>
        <v/>
      </c>
      <c r="R165" s="146" t="n"/>
      <c r="S165" s="146" t="n"/>
      <c r="T165" s="146" t="n"/>
      <c r="U165" s="104">
        <f>SUM(S165:T165)</f>
        <v/>
      </c>
      <c r="V165" s="12">
        <f>U165/IF(H165="L",35,IF(H165="U",35,IF(H165="O",35,IF(H165="I",35,""))))</f>
        <v/>
      </c>
      <c r="W165" s="145">
        <f>IF(AND(H165="L", V165&gt;=50%), "Pass",
IF(AND(H165="U", V165&gt;=60%), "Pass",
IF(AND(H165="O", V165&gt;=75%), "Pass", "Fail")))</f>
        <v/>
      </c>
      <c r="X165" s="145">
        <f>IF(AND(Q165="Pass", W165="Pass"), "Pass", "Fail")</f>
        <v/>
      </c>
      <c r="Y165" s="15">
        <f>IF($X165="Pass",$H165,
IF(H165="L","I",
IF(H165="U","L",
IF(H165="O","U",
"I"))))</f>
        <v/>
      </c>
      <c r="AA165">
        <f>VLOOKUP($B165,[1]Sheet1!$B:$B,1,0)</f>
        <v/>
      </c>
      <c r="AB165">
        <f>VLOOKUP($B165,'[3]Left Employee Report'!$D:$D,1,0)</f>
        <v/>
      </c>
    </row>
    <row r="166">
      <c r="A166" s="1">
        <f>ROW()-2</f>
        <v/>
      </c>
      <c r="B166" s="28" t="inlineStr">
        <is>
          <t>SR1201</t>
        </is>
      </c>
      <c r="C166" s="23" t="inlineStr">
        <is>
          <t>MANIKANDAN M</t>
        </is>
      </c>
      <c r="D166" s="23" t="inlineStr">
        <is>
          <t>PRODUCTION</t>
        </is>
      </c>
      <c r="E166" s="24" t="inlineStr">
        <is>
          <t>TYRE BUILDING-P3</t>
        </is>
      </c>
      <c r="F166" s="29" t="n">
        <v>44518</v>
      </c>
      <c r="G166" s="30">
        <f>NOW()-F166</f>
        <v/>
      </c>
      <c r="H166" s="144" t="inlineStr">
        <is>
          <t>U</t>
        </is>
      </c>
      <c r="I166" s="144" t="inlineStr">
        <is>
          <t>U</t>
        </is>
      </c>
      <c r="J166" s="144" t="n"/>
      <c r="K166" s="144" t="n"/>
      <c r="L166" s="144" t="n"/>
      <c r="M166" s="144" t="n"/>
      <c r="N166" s="144" t="n"/>
      <c r="O166" s="104">
        <f>SUM(J166:N166)</f>
        <v/>
      </c>
      <c r="P166" s="12">
        <f>O166/IF(H166="L",20,IF(H166="U",30,IF(H166="O",40,IF(H166="I",20,""))))</f>
        <v/>
      </c>
      <c r="Q166" s="145">
        <f>IF(AND(H166="L", P166&gt;=50%), "Pass",
IF(AND(H166="U", P166&gt;=60%), "Pass",
IF(AND(H166="O", P166&gt;=75%), "Pass", "Fail")))</f>
        <v/>
      </c>
      <c r="R166" s="146" t="n"/>
      <c r="S166" s="146" t="n"/>
      <c r="T166" s="146" t="n"/>
      <c r="U166" s="104">
        <f>SUM(S166:T166)</f>
        <v/>
      </c>
      <c r="V166" s="12">
        <f>U166/IF(H166="L",35,IF(H166="U",35,IF(H166="O",35,IF(H166="I",35,""))))</f>
        <v/>
      </c>
      <c r="W166" s="145">
        <f>IF(AND(H166="L", V166&gt;=50%), "Pass",
IF(AND(H166="U", V166&gt;=60%), "Pass",
IF(AND(H166="O", V166&gt;=75%), "Pass", "Fail")))</f>
        <v/>
      </c>
      <c r="X166" s="145">
        <f>IF(AND(Q166="Pass", W166="Pass"), "Pass", "Fail")</f>
        <v/>
      </c>
      <c r="Y166" s="15">
        <f>IF($X166="Pass",$H166,
IF(H166="L","I",
IF(H166="U","L",
IF(H166="O","U",
"I"))))</f>
        <v/>
      </c>
      <c r="AA166">
        <f>VLOOKUP($B166,[1]Sheet1!$B:$B,1,0)</f>
        <v/>
      </c>
      <c r="AB166">
        <f>VLOOKUP($B166,'[3]Left Employee Report'!$D:$D,1,0)</f>
        <v/>
      </c>
    </row>
    <row r="167">
      <c r="A167" s="1">
        <f>ROW()-2</f>
        <v/>
      </c>
      <c r="B167" s="28" t="inlineStr">
        <is>
          <t>SR1468</t>
        </is>
      </c>
      <c r="C167" s="23" t="inlineStr">
        <is>
          <t>VELMURUGAN A</t>
        </is>
      </c>
      <c r="D167" s="23" t="inlineStr">
        <is>
          <t>PRODUCTION</t>
        </is>
      </c>
      <c r="E167" s="24" t="inlineStr">
        <is>
          <t>TYRE BUILDING-P3</t>
        </is>
      </c>
      <c r="F167" s="29" t="n">
        <v>45789</v>
      </c>
      <c r="G167" s="30">
        <f>NOW()-F167</f>
        <v/>
      </c>
      <c r="H167" s="144" t="inlineStr">
        <is>
          <t>I</t>
        </is>
      </c>
      <c r="I167" s="144" t="inlineStr">
        <is>
          <t>I</t>
        </is>
      </c>
      <c r="J167" s="144" t="n"/>
      <c r="K167" s="144" t="n"/>
      <c r="L167" s="144" t="n"/>
      <c r="M167" s="144" t="n"/>
      <c r="N167" s="144" t="n"/>
      <c r="O167" s="104">
        <f>SUM(J167:N167)</f>
        <v/>
      </c>
      <c r="P167" s="12">
        <f>O167/IF(H167="L",20,IF(H167="U",30,IF(H167="O",40,IF(H167="I",20,""))))</f>
        <v/>
      </c>
      <c r="Q167" s="145">
        <f>IF(AND(H167="L", P167&gt;=50%), "Pass",
IF(AND(H167="U", P167&gt;=60%), "Pass",
IF(AND(H167="O", P167&gt;=75%), "Pass", "Fail")))</f>
        <v/>
      </c>
      <c r="R167" s="146" t="n"/>
      <c r="S167" s="146" t="n"/>
      <c r="T167" s="146" t="n"/>
      <c r="U167" s="104">
        <f>SUM(S167:T167)</f>
        <v/>
      </c>
      <c r="V167" s="12">
        <f>U167/IF(H167="L",35,IF(H167="U",35,IF(H167="O",35,IF(H167="I",35,""))))</f>
        <v/>
      </c>
      <c r="W167" s="145">
        <f>IF(AND(H167="L", V167&gt;=50%), "Pass",
IF(AND(H167="U", V167&gt;=60%), "Pass",
IF(AND(H167="O", V167&gt;=75%), "Pass", "Fail")))</f>
        <v/>
      </c>
      <c r="X167" s="145">
        <f>IF(AND(Q167="Pass", W167="Pass"), "Pass", "Fail")</f>
        <v/>
      </c>
      <c r="Y167" s="15">
        <f>IF($X167="Pass",$H167,
IF(H167="L","I",
IF(H167="U","L",
IF(H167="O","U",
"I"))))</f>
        <v/>
      </c>
      <c r="AA167">
        <f>VLOOKUP($B167,[1]Sheet1!$B:$B,1,0)</f>
        <v/>
      </c>
      <c r="AB167">
        <f>VLOOKUP($B167,'[3]Left Employee Report'!$D:$D,1,0)</f>
        <v/>
      </c>
    </row>
    <row r="168">
      <c r="A168" s="1">
        <f>ROW()-2</f>
        <v/>
      </c>
      <c r="B168" s="28" t="inlineStr">
        <is>
          <t>SR1502</t>
        </is>
      </c>
      <c r="C168" s="23" t="inlineStr">
        <is>
          <t>BALA B</t>
        </is>
      </c>
      <c r="D168" s="23" t="inlineStr">
        <is>
          <t>PRODUCTION</t>
        </is>
      </c>
      <c r="E168" s="24" t="inlineStr">
        <is>
          <t>TYRE BUILDING-P3</t>
        </is>
      </c>
      <c r="F168" s="29" t="n">
        <v>45831</v>
      </c>
      <c r="G168" s="30">
        <f>NOW()-F168</f>
        <v/>
      </c>
      <c r="H168" s="144" t="inlineStr">
        <is>
          <t>I</t>
        </is>
      </c>
      <c r="I168" s="144" t="inlineStr">
        <is>
          <t>I</t>
        </is>
      </c>
      <c r="J168" s="144" t="n"/>
      <c r="K168" s="144" t="n"/>
      <c r="L168" s="144" t="n"/>
      <c r="M168" s="144" t="n"/>
      <c r="N168" s="144" t="n"/>
      <c r="O168" s="104">
        <f>SUM(J168:N168)</f>
        <v/>
      </c>
      <c r="P168" s="12">
        <f>O168/IF(H168="L",20,IF(H168="U",30,IF(H168="O",40,IF(H168="I",20,""))))</f>
        <v/>
      </c>
      <c r="Q168" s="145">
        <f>IF(AND(H168="L", P168&gt;=50%), "Pass",
IF(AND(H168="U", P168&gt;=60%), "Pass",
IF(AND(H168="O", P168&gt;=75%), "Pass", "Fail")))</f>
        <v/>
      </c>
      <c r="R168" s="146" t="n"/>
      <c r="S168" s="146" t="n"/>
      <c r="T168" s="146" t="n"/>
      <c r="U168" s="104">
        <f>SUM(S168:T168)</f>
        <v/>
      </c>
      <c r="V168" s="12">
        <f>U168/IF(H168="L",35,IF(H168="U",35,IF(H168="O",35,IF(H168="I",35,""))))</f>
        <v/>
      </c>
      <c r="W168" s="145">
        <f>IF(AND(H168="L", V168&gt;=50%), "Pass",
IF(AND(H168="U", V168&gt;=60%), "Pass",
IF(AND(H168="O", V168&gt;=75%), "Pass", "Fail")))</f>
        <v/>
      </c>
      <c r="X168" s="145">
        <f>IF(AND(Q168="Pass", W168="Pass"), "Pass", "Fail")</f>
        <v/>
      </c>
      <c r="Y168" s="15">
        <f>IF($X168="Pass",$H168,
IF(H168="L","I",
IF(H168="U","L",
IF(H168="O","U",
"I"))))</f>
        <v/>
      </c>
      <c r="AA168">
        <f>VLOOKUP($B168,[1]Sheet1!$B:$B,1,0)</f>
        <v/>
      </c>
      <c r="AB168">
        <f>VLOOKUP($B168,'[3]Left Employee Report'!$D:$D,1,0)</f>
        <v/>
      </c>
    </row>
    <row r="169">
      <c r="A169" s="1">
        <f>ROW()-2</f>
        <v/>
      </c>
      <c r="B169" s="28" t="n">
        <v>900215</v>
      </c>
      <c r="C169" s="23" t="inlineStr">
        <is>
          <t>MUNAMKONDAN P</t>
        </is>
      </c>
      <c r="D169" s="23" t="inlineStr">
        <is>
          <t>PRODUCTION</t>
        </is>
      </c>
      <c r="E169" s="24" t="inlineStr">
        <is>
          <t>TYRE CURING</t>
        </is>
      </c>
      <c r="F169" s="29" t="n">
        <v>40634</v>
      </c>
      <c r="G169" s="30">
        <f>NOW()-F169</f>
        <v/>
      </c>
      <c r="H169" s="144" t="inlineStr">
        <is>
          <t>O</t>
        </is>
      </c>
      <c r="I169" s="144" t="inlineStr">
        <is>
          <t>O</t>
        </is>
      </c>
      <c r="J169" s="144" t="n"/>
      <c r="K169" s="144" t="n"/>
      <c r="L169" s="144" t="n"/>
      <c r="M169" s="144" t="n"/>
      <c r="N169" s="144" t="n"/>
      <c r="O169" s="104">
        <f>SUM(J169:N169)</f>
        <v/>
      </c>
      <c r="P169" s="12">
        <f>O169/IF(H169="L",20,IF(H169="U",30,IF(H169="O",40,IF(H169="I",20,""))))</f>
        <v/>
      </c>
      <c r="Q169" s="145">
        <f>IF(AND(H169="L", P169&gt;=50%), "Pass",
IF(AND(H169="U", P169&gt;=60%), "Pass",
IF(AND(H169="O", P169&gt;=75%), "Pass", "Fail")))</f>
        <v/>
      </c>
      <c r="R169" s="146" t="n"/>
      <c r="S169" s="146" t="n"/>
      <c r="T169" s="146" t="n"/>
      <c r="U169" s="104">
        <f>SUM(S169:T169)</f>
        <v/>
      </c>
      <c r="V169" s="12">
        <f>U169/IF(H169="L",35,IF(H169="U",35,IF(H169="O",35,IF(H169="I",35,""))))</f>
        <v/>
      </c>
      <c r="W169" s="145">
        <f>IF(AND(H169="L", V169&gt;=50%), "Pass",
IF(AND(H169="U", V169&gt;=60%), "Pass",
IF(AND(H169="O", V169&gt;=75%), "Pass", "Fail")))</f>
        <v/>
      </c>
      <c r="X169" s="145">
        <f>IF(AND(Q169="Pass", W169="Pass"), "Pass", "Fail")</f>
        <v/>
      </c>
      <c r="Y169" s="15">
        <f>IF($X169="Pass",$H169,
IF(H169="L","I",
IF(H169="U","L",
IF(H169="O","U",
"I"))))</f>
        <v/>
      </c>
      <c r="AA169">
        <f>VLOOKUP($B169,[1]Sheet1!$B:$B,1,0)</f>
        <v/>
      </c>
      <c r="AB169">
        <f>VLOOKUP($B169,'[3]Left Employee Report'!$D:$D,1,0)</f>
        <v/>
      </c>
    </row>
    <row r="170">
      <c r="A170" s="1">
        <f>ROW()-2</f>
        <v/>
      </c>
      <c r="B170" s="28" t="inlineStr">
        <is>
          <t>KK1499</t>
        </is>
      </c>
      <c r="C170" s="23" t="inlineStr">
        <is>
          <t>ARAVINTH M</t>
        </is>
      </c>
      <c r="D170" s="23" t="inlineStr">
        <is>
          <t>PRODUCTION</t>
        </is>
      </c>
      <c r="E170" s="24" t="inlineStr">
        <is>
          <t>TYRE CURING</t>
        </is>
      </c>
      <c r="F170" s="29" t="n">
        <v>45803</v>
      </c>
      <c r="G170" s="30">
        <f>NOW()-F170</f>
        <v/>
      </c>
      <c r="H170" s="144" t="inlineStr">
        <is>
          <t>I</t>
        </is>
      </c>
      <c r="I170" s="144" t="inlineStr">
        <is>
          <t>I</t>
        </is>
      </c>
      <c r="J170" s="144" t="n"/>
      <c r="K170" s="144" t="n"/>
      <c r="L170" s="144" t="n"/>
      <c r="M170" s="144" t="n"/>
      <c r="N170" s="144" t="n"/>
      <c r="O170" s="104">
        <f>SUM(J170:N170)</f>
        <v/>
      </c>
      <c r="P170" s="12">
        <f>O170/IF(H170="L",20,IF(H170="U",30,IF(H170="O",40,IF(H170="I",20,""))))</f>
        <v/>
      </c>
      <c r="Q170" s="145">
        <f>IF(AND(H170="L", P170&gt;=50%), "Pass",
IF(AND(H170="U", P170&gt;=60%), "Pass",
IF(AND(H170="O", P170&gt;=75%), "Pass", "Fail")))</f>
        <v/>
      </c>
      <c r="R170" s="146" t="n"/>
      <c r="S170" s="146" t="n"/>
      <c r="T170" s="146" t="n"/>
      <c r="U170" s="104">
        <f>SUM(S170:T170)</f>
        <v/>
      </c>
      <c r="V170" s="12">
        <f>U170/IF(H170="L",35,IF(H170="U",35,IF(H170="O",35,IF(H170="I",35,""))))</f>
        <v/>
      </c>
      <c r="W170" s="145">
        <f>IF(AND(H170="L", V170&gt;=50%), "Pass",
IF(AND(H170="U", V170&gt;=60%), "Pass",
IF(AND(H170="O", V170&gt;=75%), "Pass", "Fail")))</f>
        <v/>
      </c>
      <c r="X170" s="145">
        <f>IF(AND(Q170="Pass", W170="Pass"), "Pass", "Fail")</f>
        <v/>
      </c>
      <c r="Y170" s="15">
        <f>IF($X170="Pass",$H170,
IF(H170="L","I",
IF(H170="U","L",
IF(H170="O","U",
"I"))))</f>
        <v/>
      </c>
      <c r="AA170">
        <f>VLOOKUP($B170,[1]Sheet1!$B:$B,1,0)</f>
        <v/>
      </c>
      <c r="AB170">
        <f>VLOOKUP($B170,'[3]Left Employee Report'!$D:$D,1,0)</f>
        <v/>
      </c>
    </row>
    <row r="171">
      <c r="A171" s="1">
        <f>ROW()-2</f>
        <v/>
      </c>
      <c r="B171" s="28" t="inlineStr">
        <is>
          <t>KK1507</t>
        </is>
      </c>
      <c r="C171" s="23" t="inlineStr">
        <is>
          <t>MUGESH M</t>
        </is>
      </c>
      <c r="D171" s="23" t="inlineStr">
        <is>
          <t>PRODUCTION</t>
        </is>
      </c>
      <c r="E171" s="24" t="inlineStr">
        <is>
          <t>TYRE CURING</t>
        </is>
      </c>
      <c r="F171" s="29" t="n">
        <v>45831</v>
      </c>
      <c r="G171" s="30">
        <f>NOW()-F171</f>
        <v/>
      </c>
      <c r="H171" s="144" t="inlineStr">
        <is>
          <t>I</t>
        </is>
      </c>
      <c r="I171" s="144" t="inlineStr">
        <is>
          <t>I</t>
        </is>
      </c>
      <c r="J171" s="144" t="n"/>
      <c r="K171" s="144" t="n"/>
      <c r="L171" s="144" t="n"/>
      <c r="M171" s="144" t="n"/>
      <c r="N171" s="144" t="n"/>
      <c r="O171" s="104">
        <f>SUM(J171:N171)</f>
        <v/>
      </c>
      <c r="P171" s="12">
        <f>O171/IF(H171="L",20,IF(H171="U",30,IF(H171="O",40,IF(H171="I",20,""))))</f>
        <v/>
      </c>
      <c r="Q171" s="145">
        <f>IF(AND(H171="L", P171&gt;=50%), "Pass",
IF(AND(H171="U", P171&gt;=60%), "Pass",
IF(AND(H171="O", P171&gt;=75%), "Pass", "Fail")))</f>
        <v/>
      </c>
      <c r="R171" s="146" t="n"/>
      <c r="S171" s="146" t="n"/>
      <c r="T171" s="146" t="n"/>
      <c r="U171" s="104">
        <f>SUM(S171:T171)</f>
        <v/>
      </c>
      <c r="V171" s="12">
        <f>U171/IF(H171="L",35,IF(H171="U",35,IF(H171="O",35,IF(H171="I",35,""))))</f>
        <v/>
      </c>
      <c r="W171" s="145">
        <f>IF(AND(H171="L", V171&gt;=50%), "Pass",
IF(AND(H171="U", V171&gt;=60%), "Pass",
IF(AND(H171="O", V171&gt;=75%), "Pass", "Fail")))</f>
        <v/>
      </c>
      <c r="X171" s="145">
        <f>IF(AND(Q171="Pass", W171="Pass"), "Pass", "Fail")</f>
        <v/>
      </c>
      <c r="Y171" s="15">
        <f>IF($X171="Pass",$H171,
IF(H171="L","I",
IF(H171="U","L",
IF(H171="O","U",
"I"))))</f>
        <v/>
      </c>
      <c r="AA171">
        <f>VLOOKUP($B171,[1]Sheet1!$B:$B,1,0)</f>
        <v/>
      </c>
      <c r="AB171">
        <f>VLOOKUP($B171,'[3]Left Employee Report'!$D:$D,1,0)</f>
        <v/>
      </c>
    </row>
    <row r="172">
      <c r="A172" s="1">
        <f>ROW()-2</f>
        <v/>
      </c>
      <c r="B172" s="28" t="inlineStr">
        <is>
          <t>LN0625</t>
        </is>
      </c>
      <c r="C172" s="23" t="inlineStr">
        <is>
          <t>CHINNA JAI SRI RAM M</t>
        </is>
      </c>
      <c r="D172" s="23" t="inlineStr">
        <is>
          <t>PRODUCTION</t>
        </is>
      </c>
      <c r="E172" s="24" t="inlineStr">
        <is>
          <t>TYRE CURING</t>
        </is>
      </c>
      <c r="F172" s="29" t="n">
        <v>45631</v>
      </c>
      <c r="G172" s="30">
        <f>NOW()-F172</f>
        <v/>
      </c>
      <c r="H172" s="144" t="inlineStr">
        <is>
          <t>L</t>
        </is>
      </c>
      <c r="I172" s="144" t="inlineStr">
        <is>
          <t>L</t>
        </is>
      </c>
      <c r="J172" s="144" t="n"/>
      <c r="K172" s="144" t="n"/>
      <c r="L172" s="144" t="n"/>
      <c r="M172" s="144" t="n"/>
      <c r="N172" s="144" t="n"/>
      <c r="O172" s="104">
        <f>SUM(J172:N172)</f>
        <v/>
      </c>
      <c r="P172" s="12">
        <f>O172/IF(H172="L",20,IF(H172="U",30,IF(H172="O",40,IF(H172="I",20,""))))</f>
        <v/>
      </c>
      <c r="Q172" s="145">
        <f>IF(AND(H172="L", P172&gt;=50%), "Pass",
IF(AND(H172="U", P172&gt;=60%), "Pass",
IF(AND(H172="O", P172&gt;=75%), "Pass", "Fail")))</f>
        <v/>
      </c>
      <c r="R172" s="146" t="n"/>
      <c r="S172" s="146" t="n"/>
      <c r="T172" s="146" t="n"/>
      <c r="U172" s="104">
        <f>SUM(S172:T172)</f>
        <v/>
      </c>
      <c r="V172" s="12">
        <f>U172/IF(H172="L",35,IF(H172="U",35,IF(H172="O",35,IF(H172="I",35,""))))</f>
        <v/>
      </c>
      <c r="W172" s="145">
        <f>IF(AND(H172="L", V172&gt;=50%), "Pass",
IF(AND(H172="U", V172&gt;=60%), "Pass",
IF(AND(H172="O", V172&gt;=75%), "Pass", "Fail")))</f>
        <v/>
      </c>
      <c r="X172" s="145">
        <f>IF(AND(Q172="Pass", W172="Pass"), "Pass", "Fail")</f>
        <v/>
      </c>
      <c r="Y172" s="15">
        <f>IF($X172="Pass",$H172,
IF(H172="L","I",
IF(H172="U","L",
IF(H172="O","U",
"I"))))</f>
        <v/>
      </c>
      <c r="AA172">
        <f>VLOOKUP($B172,[1]Sheet1!$B:$B,1,0)</f>
        <v/>
      </c>
      <c r="AB172">
        <f>VLOOKUP($B172,'[3]Left Employee Report'!$D:$D,1,0)</f>
        <v/>
      </c>
    </row>
    <row r="173">
      <c r="A173" s="1">
        <f>ROW()-2</f>
        <v/>
      </c>
      <c r="B173" s="28" t="inlineStr">
        <is>
          <t>LN0833</t>
        </is>
      </c>
      <c r="C173" s="23" t="inlineStr">
        <is>
          <t>KARTHIK</t>
        </is>
      </c>
      <c r="D173" s="23" t="inlineStr">
        <is>
          <t>PRODUCTION</t>
        </is>
      </c>
      <c r="E173" s="24" t="inlineStr">
        <is>
          <t>TYRE CURING</t>
        </is>
      </c>
      <c r="F173" s="29" t="n">
        <v>45768</v>
      </c>
      <c r="G173" s="30">
        <f>NOW()-F173</f>
        <v/>
      </c>
      <c r="H173" s="144" t="inlineStr">
        <is>
          <t>I</t>
        </is>
      </c>
      <c r="I173" s="144" t="inlineStr">
        <is>
          <t>I</t>
        </is>
      </c>
      <c r="J173" s="144" t="n"/>
      <c r="K173" s="144" t="n"/>
      <c r="L173" s="144" t="n"/>
      <c r="M173" s="144" t="n"/>
      <c r="N173" s="144" t="n"/>
      <c r="O173" s="104">
        <f>SUM(J173:N173)</f>
        <v/>
      </c>
      <c r="P173" s="12">
        <f>O173/IF(H173="L",20,IF(H173="U",30,IF(H173="O",40,IF(H173="I",20,""))))</f>
        <v/>
      </c>
      <c r="Q173" s="145">
        <f>IF(AND(H173="L", P173&gt;=50%), "Pass",
IF(AND(H173="U", P173&gt;=60%), "Pass",
IF(AND(H173="O", P173&gt;=75%), "Pass", "Fail")))</f>
        <v/>
      </c>
      <c r="R173" s="146" t="n"/>
      <c r="S173" s="146" t="n"/>
      <c r="T173" s="146" t="n"/>
      <c r="U173" s="104">
        <f>SUM(S173:T173)</f>
        <v/>
      </c>
      <c r="V173" s="12">
        <f>U173/IF(H173="L",35,IF(H173="U",35,IF(H173="O",35,IF(H173="I",35,""))))</f>
        <v/>
      </c>
      <c r="W173" s="145">
        <f>IF(AND(H173="L", V173&gt;=50%), "Pass",
IF(AND(H173="U", V173&gt;=60%), "Pass",
IF(AND(H173="O", V173&gt;=75%), "Pass", "Fail")))</f>
        <v/>
      </c>
      <c r="X173" s="145">
        <f>IF(AND(Q173="Pass", W173="Pass"), "Pass", "Fail")</f>
        <v/>
      </c>
      <c r="Y173" s="15">
        <f>IF($X173="Pass",$H173,
IF(H173="L","I",
IF(H173="U","L",
IF(H173="O","U",
"I"))))</f>
        <v/>
      </c>
      <c r="AA173">
        <f>VLOOKUP($B173,[1]Sheet1!$B:$B,1,0)</f>
        <v/>
      </c>
      <c r="AB173">
        <f>VLOOKUP($B173,'[3]Left Employee Report'!$D:$D,1,0)</f>
        <v/>
      </c>
    </row>
    <row r="174">
      <c r="A174" s="1">
        <f>ROW()-2</f>
        <v/>
      </c>
      <c r="B174" s="28" t="inlineStr">
        <is>
          <t>LN0906</t>
        </is>
      </c>
      <c r="C174" s="23" t="inlineStr">
        <is>
          <t>GANESH M</t>
        </is>
      </c>
      <c r="D174" s="23" t="inlineStr">
        <is>
          <t>PRODUCTION</t>
        </is>
      </c>
      <c r="E174" s="24" t="inlineStr">
        <is>
          <t>TYRE CURING</t>
        </is>
      </c>
      <c r="F174" s="29" t="n">
        <v>45820</v>
      </c>
      <c r="G174" s="30">
        <f>NOW()-F174</f>
        <v/>
      </c>
      <c r="H174" s="144" t="inlineStr">
        <is>
          <t>I</t>
        </is>
      </c>
      <c r="I174" s="144" t="inlineStr">
        <is>
          <t>I</t>
        </is>
      </c>
      <c r="J174" s="144" t="n"/>
      <c r="K174" s="144" t="n"/>
      <c r="L174" s="144" t="n"/>
      <c r="M174" s="144" t="n"/>
      <c r="N174" s="144" t="n"/>
      <c r="O174" s="104">
        <f>SUM(J174:N174)</f>
        <v/>
      </c>
      <c r="P174" s="12">
        <f>O174/IF(H174="L",20,IF(H174="U",30,IF(H174="O",40,IF(H174="I",20,""))))</f>
        <v/>
      </c>
      <c r="Q174" s="145">
        <f>IF(AND(H174="L", P174&gt;=50%), "Pass",
IF(AND(H174="U", P174&gt;=60%), "Pass",
IF(AND(H174="O", P174&gt;=75%), "Pass", "Fail")))</f>
        <v/>
      </c>
      <c r="R174" s="146" t="n"/>
      <c r="S174" s="146" t="n"/>
      <c r="T174" s="146" t="n"/>
      <c r="U174" s="104">
        <f>SUM(S174:T174)</f>
        <v/>
      </c>
      <c r="V174" s="12">
        <f>U174/IF(H174="L",35,IF(H174="U",35,IF(H174="O",35,IF(H174="I",35,""))))</f>
        <v/>
      </c>
      <c r="W174" s="145">
        <f>IF(AND(H174="L", V174&gt;=50%), "Pass",
IF(AND(H174="U", V174&gt;=60%), "Pass",
IF(AND(H174="O", V174&gt;=75%), "Pass", "Fail")))</f>
        <v/>
      </c>
      <c r="X174" s="145">
        <f>IF(AND(Q174="Pass", W174="Pass"), "Pass", "Fail")</f>
        <v/>
      </c>
      <c r="Y174" s="15">
        <f>IF($X174="Pass",$H174,
IF(H174="L","I",
IF(H174="U","L",
IF(H174="O","U",
"I"))))</f>
        <v/>
      </c>
      <c r="AA174">
        <f>VLOOKUP($B174,[1]Sheet1!$B:$B,1,0)</f>
        <v/>
      </c>
      <c r="AB174">
        <f>VLOOKUP($B174,'[3]Left Employee Report'!$D:$D,1,0)</f>
        <v/>
      </c>
    </row>
    <row r="175">
      <c r="A175" s="1">
        <f>ROW()-2</f>
        <v/>
      </c>
      <c r="B175" s="28" t="inlineStr">
        <is>
          <t>PK0227</t>
        </is>
      </c>
      <c r="C175" s="23" t="inlineStr">
        <is>
          <t>ESAKKIMUTHU M</t>
        </is>
      </c>
      <c r="D175" s="23" t="inlineStr">
        <is>
          <t>PRODUCTION</t>
        </is>
      </c>
      <c r="E175" s="24" t="inlineStr">
        <is>
          <t>TYRE CURING</t>
        </is>
      </c>
      <c r="F175" s="29" t="n">
        <v>41861</v>
      </c>
      <c r="G175" s="30">
        <f>NOW()-F175</f>
        <v/>
      </c>
      <c r="H175" s="144" t="inlineStr">
        <is>
          <t>O</t>
        </is>
      </c>
      <c r="I175" s="144" t="inlineStr">
        <is>
          <t>U</t>
        </is>
      </c>
      <c r="J175" s="144" t="n"/>
      <c r="K175" s="144" t="n"/>
      <c r="L175" s="144" t="n"/>
      <c r="M175" s="144" t="n"/>
      <c r="N175" s="144" t="n"/>
      <c r="O175" s="104">
        <f>SUM(J175:N175)</f>
        <v/>
      </c>
      <c r="P175" s="12">
        <f>O175/IF(H175="L",20,IF(H175="U",30,IF(H175="O",40,IF(H175="I",20,""))))</f>
        <v/>
      </c>
      <c r="Q175" s="145">
        <f>IF(AND(H175="L", P175&gt;=50%), "Pass",
IF(AND(H175="U", P175&gt;=60%), "Pass",
IF(AND(H175="O", P175&gt;=75%), "Pass", "Fail")))</f>
        <v/>
      </c>
      <c r="R175" s="146" t="n"/>
      <c r="S175" s="146" t="n"/>
      <c r="T175" s="146" t="n"/>
      <c r="U175" s="104">
        <f>SUM(S175:T175)</f>
        <v/>
      </c>
      <c r="V175" s="12">
        <f>U175/IF(H175="L",35,IF(H175="U",35,IF(H175="O",35,IF(H175="I",35,""))))</f>
        <v/>
      </c>
      <c r="W175" s="145">
        <f>IF(AND(H175="L", V175&gt;=50%), "Pass",
IF(AND(H175="U", V175&gt;=60%), "Pass",
IF(AND(H175="O", V175&gt;=75%), "Pass", "Fail")))</f>
        <v/>
      </c>
      <c r="X175" s="145">
        <f>IF(AND(Q175="Pass", W175="Pass"), "Pass", "Fail")</f>
        <v/>
      </c>
      <c r="Y175" s="15">
        <f>IF($X175="Pass",$H175,
IF(H175="L","I",
IF(H175="U","L",
IF(H175="O","U",
"I"))))</f>
        <v/>
      </c>
      <c r="AA175">
        <f>VLOOKUP($B175,[1]Sheet1!$B:$B,1,0)</f>
        <v/>
      </c>
      <c r="AB175">
        <f>VLOOKUP($B175,'[3]Left Employee Report'!$D:$D,1,0)</f>
        <v/>
      </c>
    </row>
    <row r="176">
      <c r="A176" s="1">
        <f>ROW()-2</f>
        <v/>
      </c>
      <c r="B176" s="28" t="inlineStr">
        <is>
          <t>PK1448</t>
        </is>
      </c>
      <c r="C176" s="23" t="inlineStr">
        <is>
          <t>ARUMUGAKANI M</t>
        </is>
      </c>
      <c r="D176" s="23" t="inlineStr">
        <is>
          <t>PRODUCTION</t>
        </is>
      </c>
      <c r="E176" s="24" t="inlineStr">
        <is>
          <t>TYRE CURING</t>
        </is>
      </c>
      <c r="F176" s="29" t="n">
        <v>44980</v>
      </c>
      <c r="G176" s="30">
        <f>NOW()-F176</f>
        <v/>
      </c>
      <c r="H176" s="144" t="inlineStr">
        <is>
          <t>U</t>
        </is>
      </c>
      <c r="I176" s="144" t="inlineStr">
        <is>
          <t>U</t>
        </is>
      </c>
      <c r="J176" s="144" t="n"/>
      <c r="K176" s="144" t="n"/>
      <c r="L176" s="144" t="n"/>
      <c r="M176" s="144" t="n"/>
      <c r="N176" s="144" t="n"/>
      <c r="O176" s="104">
        <f>SUM(J176:N176)</f>
        <v/>
      </c>
      <c r="P176" s="12">
        <f>O176/IF(H176="L",20,IF(H176="U",30,IF(H176="O",40,IF(H176="I",20,""))))</f>
        <v/>
      </c>
      <c r="Q176" s="145">
        <f>IF(AND(H176="L", P176&gt;=50%), "Pass",
IF(AND(H176="U", P176&gt;=60%), "Pass",
IF(AND(H176="O", P176&gt;=75%), "Pass", "Fail")))</f>
        <v/>
      </c>
      <c r="R176" s="146" t="n"/>
      <c r="S176" s="146" t="n"/>
      <c r="T176" s="146" t="n"/>
      <c r="U176" s="104">
        <f>SUM(S176:T176)</f>
        <v/>
      </c>
      <c r="V176" s="12">
        <f>U176/IF(H176="L",35,IF(H176="U",35,IF(H176="O",35,IF(H176="I",35,""))))</f>
        <v/>
      </c>
      <c r="W176" s="145">
        <f>IF(AND(H176="L", V176&gt;=50%), "Pass",
IF(AND(H176="U", V176&gt;=60%), "Pass",
IF(AND(H176="O", V176&gt;=75%), "Pass", "Fail")))</f>
        <v/>
      </c>
      <c r="X176" s="145">
        <f>IF(AND(Q176="Pass", W176="Pass"), "Pass", "Fail")</f>
        <v/>
      </c>
      <c r="Y176" s="15">
        <f>IF($X176="Pass",$H176,
IF(H176="L","I",
IF(H176="U","L",
IF(H176="O","U",
"I"))))</f>
        <v/>
      </c>
      <c r="AA176">
        <f>VLOOKUP($B176,[1]Sheet1!$B:$B,1,0)</f>
        <v/>
      </c>
      <c r="AB176">
        <f>VLOOKUP($B176,'[3]Left Employee Report'!$D:$D,1,0)</f>
        <v/>
      </c>
    </row>
    <row r="177">
      <c r="A177" s="1">
        <f>ROW()-2</f>
        <v/>
      </c>
      <c r="B177" s="28" t="inlineStr">
        <is>
          <t>PK1602</t>
        </is>
      </c>
      <c r="C177" s="23" t="inlineStr">
        <is>
          <t>BINOD ORAON</t>
        </is>
      </c>
      <c r="D177" s="23" t="inlineStr">
        <is>
          <t>PRODUCTION</t>
        </is>
      </c>
      <c r="E177" s="24" t="inlineStr">
        <is>
          <t>TYRE CURING</t>
        </is>
      </c>
      <c r="F177" s="29" t="n">
        <v>45815</v>
      </c>
      <c r="G177" s="30">
        <f>NOW()-F177</f>
        <v/>
      </c>
      <c r="H177" s="144" t="inlineStr">
        <is>
          <t>I</t>
        </is>
      </c>
      <c r="I177" s="144" t="inlineStr">
        <is>
          <t>I</t>
        </is>
      </c>
      <c r="J177" s="144" t="n"/>
      <c r="K177" s="144" t="n"/>
      <c r="L177" s="144" t="n"/>
      <c r="M177" s="144" t="n"/>
      <c r="N177" s="144" t="n"/>
      <c r="O177" s="104">
        <f>SUM(J177:N177)</f>
        <v/>
      </c>
      <c r="P177" s="12">
        <f>O177/IF(H177="L",20,IF(H177="U",30,IF(H177="O",40,IF(H177="I",20,""))))</f>
        <v/>
      </c>
      <c r="Q177" s="145">
        <f>IF(AND(H177="L", P177&gt;=50%), "Pass",
IF(AND(H177="U", P177&gt;=60%), "Pass",
IF(AND(H177="O", P177&gt;=75%), "Pass", "Fail")))</f>
        <v/>
      </c>
      <c r="R177" s="146" t="n"/>
      <c r="S177" s="146" t="n"/>
      <c r="T177" s="146" t="n"/>
      <c r="U177" s="104">
        <f>SUM(S177:T177)</f>
        <v/>
      </c>
      <c r="V177" s="12">
        <f>U177/IF(H177="L",35,IF(H177="U",35,IF(H177="O",35,IF(H177="I",35,""))))</f>
        <v/>
      </c>
      <c r="W177" s="145">
        <f>IF(AND(H177="L", V177&gt;=50%), "Pass",
IF(AND(H177="U", V177&gt;=60%), "Pass",
IF(AND(H177="O", V177&gt;=75%), "Pass", "Fail")))</f>
        <v/>
      </c>
      <c r="X177" s="145">
        <f>IF(AND(Q177="Pass", W177="Pass"), "Pass", "Fail")</f>
        <v/>
      </c>
      <c r="Y177" s="15">
        <f>IF($X177="Pass",$H177,
IF(H177="L","I",
IF(H177="U","L",
IF(H177="O","U",
"I"))))</f>
        <v/>
      </c>
      <c r="AA177">
        <f>VLOOKUP($B177,[1]Sheet1!$B:$B,1,0)</f>
        <v/>
      </c>
      <c r="AB177">
        <f>VLOOKUP($B177,'[3]Left Employee Report'!$D:$D,1,0)</f>
        <v/>
      </c>
    </row>
    <row r="178">
      <c r="A178" s="1">
        <f>ROW()-2</f>
        <v/>
      </c>
      <c r="B178" s="28" t="inlineStr">
        <is>
          <t>PK1607</t>
        </is>
      </c>
      <c r="C178" s="23" t="inlineStr">
        <is>
          <t>RIGA ORAON</t>
        </is>
      </c>
      <c r="D178" s="23" t="inlineStr">
        <is>
          <t>PRODUCTION</t>
        </is>
      </c>
      <c r="E178" s="24" t="inlineStr">
        <is>
          <t>TYRE CURING</t>
        </is>
      </c>
      <c r="F178" s="29" t="n">
        <v>45815</v>
      </c>
      <c r="G178" s="30">
        <f>NOW()-F178</f>
        <v/>
      </c>
      <c r="H178" s="144" t="inlineStr">
        <is>
          <t>I</t>
        </is>
      </c>
      <c r="I178" s="144" t="inlineStr">
        <is>
          <t>I</t>
        </is>
      </c>
      <c r="J178" s="144" t="n"/>
      <c r="K178" s="144" t="n"/>
      <c r="L178" s="144" t="n"/>
      <c r="M178" s="144" t="n"/>
      <c r="N178" s="144" t="n"/>
      <c r="O178" s="104">
        <f>SUM(J178:N178)</f>
        <v/>
      </c>
      <c r="P178" s="12">
        <f>O178/IF(H178="L",20,IF(H178="U",30,IF(H178="O",40,IF(H178="I",20,""))))</f>
        <v/>
      </c>
      <c r="Q178" s="145">
        <f>IF(AND(H178="L", P178&gt;=50%), "Pass",
IF(AND(H178="U", P178&gt;=60%), "Pass",
IF(AND(H178="O", P178&gt;=75%), "Pass", "Fail")))</f>
        <v/>
      </c>
      <c r="R178" s="146" t="n"/>
      <c r="S178" s="146" t="n"/>
      <c r="T178" s="146" t="n"/>
      <c r="U178" s="104">
        <f>SUM(S178:T178)</f>
        <v/>
      </c>
      <c r="V178" s="12">
        <f>U178/IF(H178="L",35,IF(H178="U",35,IF(H178="O",35,IF(H178="I",35,""))))</f>
        <v/>
      </c>
      <c r="W178" s="145">
        <f>IF(AND(H178="L", V178&gt;=50%), "Pass",
IF(AND(H178="U", V178&gt;=60%), "Pass",
IF(AND(H178="O", V178&gt;=75%), "Pass", "Fail")))</f>
        <v/>
      </c>
      <c r="X178" s="145">
        <f>IF(AND(Q178="Pass", W178="Pass"), "Pass", "Fail")</f>
        <v/>
      </c>
      <c r="Y178" s="15">
        <f>IF($X178="Pass",$H178,
IF(H178="L","I",
IF(H178="U","L",
IF(H178="O","U",
"I"))))</f>
        <v/>
      </c>
      <c r="AA178">
        <f>VLOOKUP($B178,[1]Sheet1!$B:$B,1,0)</f>
        <v/>
      </c>
      <c r="AB178">
        <f>VLOOKUP($B178,'[3]Left Employee Report'!$D:$D,1,0)</f>
        <v/>
      </c>
    </row>
    <row r="179">
      <c r="A179" s="1">
        <f>ROW()-2</f>
        <v/>
      </c>
      <c r="B179" s="28" t="inlineStr">
        <is>
          <t>PK1608</t>
        </is>
      </c>
      <c r="C179" s="23" t="inlineStr">
        <is>
          <t>SANDIP ORAON</t>
        </is>
      </c>
      <c r="D179" s="23" t="inlineStr">
        <is>
          <t>PRODUCTION</t>
        </is>
      </c>
      <c r="E179" s="24" t="inlineStr">
        <is>
          <t>TYRE CURING</t>
        </is>
      </c>
      <c r="F179" s="29" t="n">
        <v>45815</v>
      </c>
      <c r="G179" s="30">
        <f>NOW()-F179</f>
        <v/>
      </c>
      <c r="H179" s="144" t="inlineStr">
        <is>
          <t>I</t>
        </is>
      </c>
      <c r="I179" s="144" t="inlineStr">
        <is>
          <t>I</t>
        </is>
      </c>
      <c r="J179" s="144" t="n"/>
      <c r="K179" s="144" t="n"/>
      <c r="L179" s="144" t="n"/>
      <c r="M179" s="144" t="n"/>
      <c r="N179" s="144" t="n"/>
      <c r="O179" s="104">
        <f>SUM(J179:N179)</f>
        <v/>
      </c>
      <c r="P179" s="12">
        <f>O179/IF(H179="L",20,IF(H179="U",30,IF(H179="O",40,IF(H179="I",20,""))))</f>
        <v/>
      </c>
      <c r="Q179" s="145">
        <f>IF(AND(H179="L", P179&gt;=50%), "Pass",
IF(AND(H179="U", P179&gt;=60%), "Pass",
IF(AND(H179="O", P179&gt;=75%), "Pass", "Fail")))</f>
        <v/>
      </c>
      <c r="R179" s="146" t="n"/>
      <c r="S179" s="146" t="n"/>
      <c r="T179" s="146" t="n"/>
      <c r="U179" s="104">
        <f>SUM(S179:T179)</f>
        <v/>
      </c>
      <c r="V179" s="12">
        <f>U179/IF(H179="L",35,IF(H179="U",35,IF(H179="O",35,IF(H179="I",35,""))))</f>
        <v/>
      </c>
      <c r="W179" s="145">
        <f>IF(AND(H179="L", V179&gt;=50%), "Pass",
IF(AND(H179="U", V179&gt;=60%), "Pass",
IF(AND(H179="O", V179&gt;=75%), "Pass", "Fail")))</f>
        <v/>
      </c>
      <c r="X179" s="145">
        <f>IF(AND(Q179="Pass", W179="Pass"), "Pass", "Fail")</f>
        <v/>
      </c>
      <c r="Y179" s="15">
        <f>IF($X179="Pass",$H179,
IF(H179="L","I",
IF(H179="U","L",
IF(H179="O","U",
"I"))))</f>
        <v/>
      </c>
      <c r="AA179">
        <f>VLOOKUP($B179,[1]Sheet1!$B:$B,1,0)</f>
        <v/>
      </c>
      <c r="AB179">
        <f>VLOOKUP($B179,'[3]Left Employee Report'!$D:$D,1,0)</f>
        <v/>
      </c>
    </row>
    <row r="180">
      <c r="A180" s="1">
        <f>ROW()-2</f>
        <v/>
      </c>
      <c r="B180" s="28" t="inlineStr">
        <is>
          <t>PK1632</t>
        </is>
      </c>
      <c r="C180" s="23" t="inlineStr">
        <is>
          <t>NAVANEETHAN</t>
        </is>
      </c>
      <c r="D180" s="23" t="inlineStr">
        <is>
          <t>PRODUCTION</t>
        </is>
      </c>
      <c r="E180" s="24" t="inlineStr">
        <is>
          <t>TYRE CURING</t>
        </is>
      </c>
      <c r="F180" s="29" t="n">
        <v>45832</v>
      </c>
      <c r="G180" s="30">
        <f>NOW()-F180</f>
        <v/>
      </c>
      <c r="H180" s="144" t="inlineStr">
        <is>
          <t>I</t>
        </is>
      </c>
      <c r="I180" s="144" t="inlineStr">
        <is>
          <t>I</t>
        </is>
      </c>
      <c r="J180" s="144" t="n"/>
      <c r="K180" s="144" t="n"/>
      <c r="L180" s="144" t="n"/>
      <c r="M180" s="144" t="n"/>
      <c r="N180" s="144" t="n"/>
      <c r="O180" s="104">
        <f>SUM(J180:N180)</f>
        <v/>
      </c>
      <c r="P180" s="12">
        <f>O180/IF(H180="L",20,IF(H180="U",30,IF(H180="O",40,IF(H180="I",20,""))))</f>
        <v/>
      </c>
      <c r="Q180" s="145">
        <f>IF(AND(H180="L", P180&gt;=50%), "Pass",
IF(AND(H180="U", P180&gt;=60%), "Pass",
IF(AND(H180="O", P180&gt;=75%), "Pass", "Fail")))</f>
        <v/>
      </c>
      <c r="R180" s="146" t="n"/>
      <c r="S180" s="146" t="n"/>
      <c r="T180" s="146" t="n"/>
      <c r="U180" s="104">
        <f>SUM(S180:T180)</f>
        <v/>
      </c>
      <c r="V180" s="12">
        <f>U180/IF(H180="L",35,IF(H180="U",35,IF(H180="O",35,IF(H180="I",35,""))))</f>
        <v/>
      </c>
      <c r="W180" s="145">
        <f>IF(AND(H180="L", V180&gt;=50%), "Pass",
IF(AND(H180="U", V180&gt;=60%), "Pass",
IF(AND(H180="O", V180&gt;=75%), "Pass", "Fail")))</f>
        <v/>
      </c>
      <c r="X180" s="145">
        <f>IF(AND(Q180="Pass", W180="Pass"), "Pass", "Fail")</f>
        <v/>
      </c>
      <c r="Y180" s="15">
        <f>IF($X180="Pass",$H180,
IF(H180="L","I",
IF(H180="U","L",
IF(H180="O","U",
"I"))))</f>
        <v/>
      </c>
      <c r="AA180">
        <f>VLOOKUP($B180,[1]Sheet1!$B:$B,1,0)</f>
        <v/>
      </c>
      <c r="AB180">
        <f>VLOOKUP($B180,'[3]Left Employee Report'!$D:$D,1,0)</f>
        <v/>
      </c>
    </row>
    <row r="181">
      <c r="A181" s="1">
        <f>ROW()-2</f>
        <v/>
      </c>
      <c r="B181" s="28" t="inlineStr">
        <is>
          <t>SK3664</t>
        </is>
      </c>
      <c r="C181" s="23" t="inlineStr">
        <is>
          <t>ARUNKUMAR KANMANI</t>
        </is>
      </c>
      <c r="D181" s="23" t="inlineStr">
        <is>
          <t>PRODUCTION</t>
        </is>
      </c>
      <c r="E181" s="24" t="inlineStr">
        <is>
          <t>TYRE CURING</t>
        </is>
      </c>
      <c r="F181" s="29" t="n">
        <v>45803</v>
      </c>
      <c r="G181" s="30">
        <f>NOW()-F181</f>
        <v/>
      </c>
      <c r="H181" s="144" t="inlineStr">
        <is>
          <t>I</t>
        </is>
      </c>
      <c r="I181" s="144" t="inlineStr">
        <is>
          <t>I</t>
        </is>
      </c>
      <c r="J181" s="144" t="n"/>
      <c r="K181" s="144" t="n"/>
      <c r="L181" s="144" t="n"/>
      <c r="M181" s="144" t="n"/>
      <c r="N181" s="144" t="n"/>
      <c r="O181" s="104">
        <f>SUM(J181:N181)</f>
        <v/>
      </c>
      <c r="P181" s="12">
        <f>O181/IF(H181="L",20,IF(H181="U",30,IF(H181="O",40,IF(H181="I",20,""))))</f>
        <v/>
      </c>
      <c r="Q181" s="145">
        <f>IF(AND(H181="L", P181&gt;=50%), "Pass",
IF(AND(H181="U", P181&gt;=60%), "Pass",
IF(AND(H181="O", P181&gt;=75%), "Pass", "Fail")))</f>
        <v/>
      </c>
      <c r="R181" s="146" t="n"/>
      <c r="S181" s="146" t="n"/>
      <c r="T181" s="146" t="n"/>
      <c r="U181" s="104">
        <f>SUM(S181:T181)</f>
        <v/>
      </c>
      <c r="V181" s="12">
        <f>U181/IF(H181="L",35,IF(H181="U",35,IF(H181="O",35,IF(H181="I",35,""))))</f>
        <v/>
      </c>
      <c r="W181" s="145">
        <f>IF(AND(H181="L", V181&gt;=50%), "Pass",
IF(AND(H181="U", V181&gt;=60%), "Pass",
IF(AND(H181="O", V181&gt;=75%), "Pass", "Fail")))</f>
        <v/>
      </c>
      <c r="X181" s="145">
        <f>IF(AND(Q181="Pass", W181="Pass"), "Pass", "Fail")</f>
        <v/>
      </c>
      <c r="Y181" s="15">
        <f>IF($X181="Pass",$H181,
IF(H181="L","I",
IF(H181="U","L",
IF(H181="O","U",
"I"))))</f>
        <v/>
      </c>
      <c r="AA181">
        <f>VLOOKUP($B181,[1]Sheet1!$B:$B,1,0)</f>
        <v/>
      </c>
      <c r="AB181">
        <f>VLOOKUP($B181,'[3]Left Employee Report'!$D:$D,1,0)</f>
        <v/>
      </c>
    </row>
    <row r="182">
      <c r="A182" s="1">
        <f>ROW()-2</f>
        <v/>
      </c>
      <c r="B182" s="28" t="inlineStr">
        <is>
          <t>SK3672</t>
        </is>
      </c>
      <c r="C182" s="23" t="inlineStr">
        <is>
          <t>KARTIK ORAON</t>
        </is>
      </c>
      <c r="D182" s="23" t="inlineStr">
        <is>
          <t>PRODUCTION</t>
        </is>
      </c>
      <c r="E182" s="24" t="inlineStr">
        <is>
          <t>TYRE CURING</t>
        </is>
      </c>
      <c r="F182" s="29" t="n">
        <v>45810</v>
      </c>
      <c r="G182" s="30">
        <f>NOW()-F182</f>
        <v/>
      </c>
      <c r="H182" s="144" t="inlineStr">
        <is>
          <t>I</t>
        </is>
      </c>
      <c r="I182" s="144" t="inlineStr">
        <is>
          <t>I</t>
        </is>
      </c>
      <c r="J182" s="144" t="n"/>
      <c r="K182" s="144" t="n"/>
      <c r="L182" s="144" t="n"/>
      <c r="M182" s="144" t="n"/>
      <c r="N182" s="144" t="n"/>
      <c r="O182" s="104">
        <f>SUM(J182:N182)</f>
        <v/>
      </c>
      <c r="P182" s="12">
        <f>O182/IF(H182="L",20,IF(H182="U",30,IF(H182="O",40,IF(H182="I",20,""))))</f>
        <v/>
      </c>
      <c r="Q182" s="145">
        <f>IF(AND(H182="L", P182&gt;=50%), "Pass",
IF(AND(H182="U", P182&gt;=60%), "Pass",
IF(AND(H182="O", P182&gt;=75%), "Pass", "Fail")))</f>
        <v/>
      </c>
      <c r="R182" s="146" t="n"/>
      <c r="S182" s="146" t="n"/>
      <c r="T182" s="146" t="n"/>
      <c r="U182" s="104">
        <f>SUM(S182:T182)</f>
        <v/>
      </c>
      <c r="V182" s="12">
        <f>U182/IF(H182="L",35,IF(H182="U",35,IF(H182="O",35,IF(H182="I",35,""))))</f>
        <v/>
      </c>
      <c r="W182" s="145">
        <f>IF(AND(H182="L", V182&gt;=50%), "Pass",
IF(AND(H182="U", V182&gt;=60%), "Pass",
IF(AND(H182="O", V182&gt;=75%), "Pass", "Fail")))</f>
        <v/>
      </c>
      <c r="X182" s="145">
        <f>IF(AND(Q182="Pass", W182="Pass"), "Pass", "Fail")</f>
        <v/>
      </c>
      <c r="Y182" s="15">
        <f>IF($X182="Pass",$H182,
IF(H182="L","I",
IF(H182="U","L",
IF(H182="O","U",
"I"))))</f>
        <v/>
      </c>
      <c r="AA182">
        <f>VLOOKUP($B182,[1]Sheet1!$B:$B,1,0)</f>
        <v/>
      </c>
      <c r="AB182">
        <f>VLOOKUP($B182,'[3]Left Employee Report'!$D:$D,1,0)</f>
        <v/>
      </c>
    </row>
    <row r="183">
      <c r="A183" s="1">
        <f>ROW()-2</f>
        <v/>
      </c>
      <c r="B183" s="28" t="inlineStr">
        <is>
          <t>SK3677</t>
        </is>
      </c>
      <c r="C183" s="23" t="inlineStr">
        <is>
          <t>PREMKUMAR Y</t>
        </is>
      </c>
      <c r="D183" s="23" t="inlineStr">
        <is>
          <t>PRODUCTION</t>
        </is>
      </c>
      <c r="E183" s="24" t="inlineStr">
        <is>
          <t>TYRE CURING</t>
        </is>
      </c>
      <c r="F183" s="29" t="n">
        <v>45815</v>
      </c>
      <c r="G183" s="30">
        <f>NOW()-F183</f>
        <v/>
      </c>
      <c r="H183" s="144" t="inlineStr">
        <is>
          <t>I</t>
        </is>
      </c>
      <c r="I183" s="144" t="inlineStr">
        <is>
          <t>I</t>
        </is>
      </c>
      <c r="J183" s="144" t="n"/>
      <c r="K183" s="144" t="n"/>
      <c r="L183" s="144" t="n"/>
      <c r="M183" s="144" t="n"/>
      <c r="N183" s="144" t="n"/>
      <c r="O183" s="104">
        <f>SUM(J183:N183)</f>
        <v/>
      </c>
      <c r="P183" s="12">
        <f>O183/IF(H183="L",20,IF(H183="U",30,IF(H183="O",40,IF(H183="I",20,""))))</f>
        <v/>
      </c>
      <c r="Q183" s="145">
        <f>IF(AND(H183="L", P183&gt;=50%), "Pass",
IF(AND(H183="U", P183&gt;=60%), "Pass",
IF(AND(H183="O", P183&gt;=75%), "Pass", "Fail")))</f>
        <v/>
      </c>
      <c r="R183" s="146" t="n"/>
      <c r="S183" s="146" t="n"/>
      <c r="T183" s="146" t="n"/>
      <c r="U183" s="104">
        <f>SUM(S183:T183)</f>
        <v/>
      </c>
      <c r="V183" s="12">
        <f>U183/IF(H183="L",35,IF(H183="U",35,IF(H183="O",35,IF(H183="I",35,""))))</f>
        <v/>
      </c>
      <c r="W183" s="145">
        <f>IF(AND(H183="L", V183&gt;=50%), "Pass",
IF(AND(H183="U", V183&gt;=60%), "Pass",
IF(AND(H183="O", V183&gt;=75%), "Pass", "Fail")))</f>
        <v/>
      </c>
      <c r="X183" s="145">
        <f>IF(AND(Q183="Pass", W183="Pass"), "Pass", "Fail")</f>
        <v/>
      </c>
      <c r="Y183" s="15">
        <f>IF($X183="Pass",$H183,
IF(H183="L","I",
IF(H183="U","L",
IF(H183="O","U",
"I"))))</f>
        <v/>
      </c>
      <c r="AA183">
        <f>VLOOKUP($B183,[1]Sheet1!$B:$B,1,0)</f>
        <v/>
      </c>
      <c r="AB183">
        <f>VLOOKUP($B183,'[3]Left Employee Report'!$D:$D,1,0)</f>
        <v/>
      </c>
    </row>
    <row r="184">
      <c r="A184" s="1">
        <f>ROW()-2</f>
        <v/>
      </c>
      <c r="B184" s="28" t="inlineStr">
        <is>
          <t>SR1482</t>
        </is>
      </c>
      <c r="C184" s="23" t="inlineStr">
        <is>
          <t>ESAKKIRAJA D</t>
        </is>
      </c>
      <c r="D184" s="23" t="inlineStr">
        <is>
          <t>PRODUCTION</t>
        </is>
      </c>
      <c r="E184" s="24" t="inlineStr">
        <is>
          <t>TYRE CURING</t>
        </is>
      </c>
      <c r="F184" s="29" t="n">
        <v>45810</v>
      </c>
      <c r="G184" s="30">
        <f>NOW()-F184</f>
        <v/>
      </c>
      <c r="H184" s="144" t="inlineStr">
        <is>
          <t>I</t>
        </is>
      </c>
      <c r="I184" s="144" t="inlineStr">
        <is>
          <t>I</t>
        </is>
      </c>
      <c r="J184" s="144" t="n"/>
      <c r="K184" s="144" t="n"/>
      <c r="L184" s="144" t="n"/>
      <c r="M184" s="144" t="n"/>
      <c r="N184" s="144" t="n"/>
      <c r="O184" s="104">
        <f>SUM(J184:N184)</f>
        <v/>
      </c>
      <c r="P184" s="12">
        <f>O184/IF(H184="L",20,IF(H184="U",30,IF(H184="O",40,IF(H184="I",20,""))))</f>
        <v/>
      </c>
      <c r="Q184" s="145">
        <f>IF(AND(H184="L", P184&gt;=50%), "Pass",
IF(AND(H184="U", P184&gt;=60%), "Pass",
IF(AND(H184="O", P184&gt;=75%), "Pass", "Fail")))</f>
        <v/>
      </c>
      <c r="R184" s="146" t="n"/>
      <c r="S184" s="146" t="n"/>
      <c r="T184" s="146" t="n"/>
      <c r="U184" s="104">
        <f>SUM(S184:T184)</f>
        <v/>
      </c>
      <c r="V184" s="12">
        <f>U184/IF(H184="L",35,IF(H184="U",35,IF(H184="O",35,IF(H184="I",35,""))))</f>
        <v/>
      </c>
      <c r="W184" s="145">
        <f>IF(AND(H184="L", V184&gt;=50%), "Pass",
IF(AND(H184="U", V184&gt;=60%), "Pass",
IF(AND(H184="O", V184&gt;=75%), "Pass", "Fail")))</f>
        <v/>
      </c>
      <c r="X184" s="145">
        <f>IF(AND(Q184="Pass", W184="Pass"), "Pass", "Fail")</f>
        <v/>
      </c>
      <c r="Y184" s="15">
        <f>IF($X184="Pass",$H184,
IF(H184="L","I",
IF(H184="U","L",
IF(H184="O","U",
"I"))))</f>
        <v/>
      </c>
      <c r="AA184">
        <f>VLOOKUP($B184,[1]Sheet1!$B:$B,1,0)</f>
        <v/>
      </c>
      <c r="AB184">
        <f>VLOOKUP($B184,'[3]Left Employee Report'!$D:$D,1,0)</f>
        <v/>
      </c>
    </row>
    <row r="185">
      <c r="A185" s="1">
        <f>ROW()-2</f>
        <v/>
      </c>
      <c r="B185" s="28" t="inlineStr">
        <is>
          <t>SR1483</t>
        </is>
      </c>
      <c r="C185" s="23" t="inlineStr">
        <is>
          <t>T MADHESH</t>
        </is>
      </c>
      <c r="D185" s="23" t="inlineStr">
        <is>
          <t>PRODUCTION</t>
        </is>
      </c>
      <c r="E185" s="24" t="inlineStr">
        <is>
          <t>TYRE CURING</t>
        </is>
      </c>
      <c r="F185" s="29" t="n">
        <v>45810</v>
      </c>
      <c r="G185" s="30">
        <f>NOW()-F185</f>
        <v/>
      </c>
      <c r="H185" s="144" t="inlineStr">
        <is>
          <t>I</t>
        </is>
      </c>
      <c r="I185" s="144" t="inlineStr">
        <is>
          <t>I</t>
        </is>
      </c>
      <c r="J185" s="144" t="n"/>
      <c r="K185" s="144" t="n"/>
      <c r="L185" s="144" t="n"/>
      <c r="M185" s="144" t="n"/>
      <c r="N185" s="144" t="n"/>
      <c r="O185" s="104">
        <f>SUM(J185:N185)</f>
        <v/>
      </c>
      <c r="P185" s="12">
        <f>O185/IF(H185="L",20,IF(H185="U",30,IF(H185="O",40,IF(H185="I",20,""))))</f>
        <v/>
      </c>
      <c r="Q185" s="145">
        <f>IF(AND(H185="L", P185&gt;=50%), "Pass",
IF(AND(H185="U", P185&gt;=60%), "Pass",
IF(AND(H185="O", P185&gt;=75%), "Pass", "Fail")))</f>
        <v/>
      </c>
      <c r="R185" s="146" t="n"/>
      <c r="S185" s="146" t="n"/>
      <c r="T185" s="146" t="n"/>
      <c r="U185" s="104">
        <f>SUM(S185:T185)</f>
        <v/>
      </c>
      <c r="V185" s="12">
        <f>U185/IF(H185="L",35,IF(H185="U",35,IF(H185="O",35,IF(H185="I",35,""))))</f>
        <v/>
      </c>
      <c r="W185" s="145">
        <f>IF(AND(H185="L", V185&gt;=50%), "Pass",
IF(AND(H185="U", V185&gt;=60%), "Pass",
IF(AND(H185="O", V185&gt;=75%), "Pass", "Fail")))</f>
        <v/>
      </c>
      <c r="X185" s="145">
        <f>IF(AND(Q185="Pass", W185="Pass"), "Pass", "Fail")</f>
        <v/>
      </c>
      <c r="Y185" s="15">
        <f>IF($X185="Pass",$H185,
IF(H185="L","I",
IF(H185="U","L",
IF(H185="O","U",
"I"))))</f>
        <v/>
      </c>
      <c r="AA185">
        <f>VLOOKUP($B185,[1]Sheet1!$B:$B,1,0)</f>
        <v/>
      </c>
      <c r="AB185">
        <f>VLOOKUP($B185,'[3]Left Employee Report'!$D:$D,1,0)</f>
        <v/>
      </c>
    </row>
    <row r="186">
      <c r="A186" s="1">
        <f>ROW()-2</f>
        <v/>
      </c>
      <c r="B186" s="37" t="inlineStr">
        <is>
          <t>SK3276</t>
        </is>
      </c>
      <c r="C186" s="98" t="inlineStr">
        <is>
          <t>KARTHICK A</t>
        </is>
      </c>
      <c r="D186" s="23" t="inlineStr">
        <is>
          <t>PRODUCTION</t>
        </is>
      </c>
      <c r="E186" s="32" t="inlineStr">
        <is>
          <t>MIXING</t>
        </is>
      </c>
      <c r="F186" s="33" t="n">
        <v>44473</v>
      </c>
      <c r="G186" s="30">
        <f>NOW()-F186</f>
        <v/>
      </c>
      <c r="H186" s="144" t="inlineStr">
        <is>
          <t>O</t>
        </is>
      </c>
      <c r="I186" s="144" t="n"/>
      <c r="J186" s="144" t="n"/>
      <c r="K186" s="144" t="n"/>
      <c r="L186" s="144" t="n"/>
      <c r="M186" s="144" t="n"/>
      <c r="N186" s="144" t="n"/>
      <c r="O186" s="104">
        <f>SUM(J186:N186)</f>
        <v/>
      </c>
      <c r="P186" s="12">
        <f>O186/IF(H186="L",20,IF(H186="U",30,IF(H186="O",40,IF(H186="I",20,""))))</f>
        <v/>
      </c>
      <c r="Q186" s="145">
        <f>IF(AND(H186="L", P186&gt;=50%), "Pass",
IF(AND(H186="U", P186&gt;=60%), "Pass",
IF(AND(H186="O", P186&gt;=75%), "Pass", "Fail")))</f>
        <v/>
      </c>
      <c r="R186" s="146" t="n"/>
      <c r="S186" s="146" t="n"/>
      <c r="T186" s="146" t="n"/>
      <c r="U186" s="104">
        <f>SUM(S186:T186)</f>
        <v/>
      </c>
      <c r="V186" s="12">
        <f>U186/IF(H186="L",35,IF(H186="U",35,IF(H186="O",35,IF(H186="I",35,""))))</f>
        <v/>
      </c>
      <c r="W186" s="145">
        <f>IF(AND(H186="L", V186&gt;=50%), "Pass",
IF(AND(H186="U", V186&gt;=60%), "Pass",
IF(AND(H186="O", V186&gt;=75%), "Pass", "Fail")))</f>
        <v/>
      </c>
      <c r="X186" s="145">
        <f>IF(AND(Q186="Pass", W186="Pass"), "Pass", "Fail")</f>
        <v/>
      </c>
      <c r="Y186" s="15">
        <f>IF($X186="Pass",$H186,
IF(H186="L","I",
IF(H186="U","L",
IF(H186="O","U",
"I"))))</f>
        <v/>
      </c>
      <c r="AA186">
        <f>VLOOKUP($B186,[1]Sheet1!$B:$B,1,0)</f>
        <v/>
      </c>
      <c r="AB186">
        <f>VLOOKUP($B186,'[3]Left Employee Report'!$D:$D,1,0)</f>
        <v/>
      </c>
    </row>
    <row r="187">
      <c r="A187" s="1">
        <f>ROW()-2</f>
        <v/>
      </c>
      <c r="B187" s="28" t="n">
        <v>900541</v>
      </c>
      <c r="C187" s="23" t="inlineStr">
        <is>
          <t>GANESAN M</t>
        </is>
      </c>
      <c r="D187" s="23" t="inlineStr">
        <is>
          <t>PRODUCTION</t>
        </is>
      </c>
      <c r="E187" s="24" t="inlineStr">
        <is>
          <t>EXTRUDER</t>
        </is>
      </c>
      <c r="F187" s="29" t="n">
        <v>41365</v>
      </c>
      <c r="G187" s="30">
        <f>NOW()-F187</f>
        <v/>
      </c>
      <c r="H187" s="144" t="inlineStr">
        <is>
          <t>O</t>
        </is>
      </c>
      <c r="I187" s="144" t="inlineStr">
        <is>
          <t>O</t>
        </is>
      </c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</row>
    <row r="188">
      <c r="A188" s="1">
        <f>ROW()-2</f>
        <v/>
      </c>
      <c r="B188" s="37" t="n">
        <v>905537</v>
      </c>
      <c r="C188" s="98" t="inlineStr">
        <is>
          <t>G BALASUBRAMANIAN</t>
        </is>
      </c>
      <c r="D188" s="23" t="inlineStr">
        <is>
          <t>PRODUCTION</t>
        </is>
      </c>
      <c r="E188" s="32" t="inlineStr">
        <is>
          <t>EXTRUDER</t>
        </is>
      </c>
      <c r="F188" s="35" t="n">
        <v>41681</v>
      </c>
      <c r="G188" s="30">
        <f>NOW()-F188</f>
        <v/>
      </c>
      <c r="H188" s="144" t="inlineStr">
        <is>
          <t>O</t>
        </is>
      </c>
      <c r="I188" s="144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</row>
    <row r="189">
      <c r="A189" s="1">
        <f>ROW()-2</f>
        <v/>
      </c>
      <c r="B189" s="28" t="n">
        <v>900191</v>
      </c>
      <c r="C189" s="23" t="inlineStr">
        <is>
          <t>SIVARAMAKRISHNAN K</t>
        </is>
      </c>
      <c r="D189" s="23" t="inlineStr">
        <is>
          <t>PRODUCTION</t>
        </is>
      </c>
      <c r="E189" s="24" t="inlineStr">
        <is>
          <t>TYRE CURING</t>
        </is>
      </c>
      <c r="F189" s="29" t="n">
        <v>40634</v>
      </c>
      <c r="G189" s="30">
        <f>NOW()-F189</f>
        <v/>
      </c>
      <c r="H189" s="144" t="inlineStr">
        <is>
          <t>O</t>
        </is>
      </c>
      <c r="I189" s="144" t="inlineStr">
        <is>
          <t>O</t>
        </is>
      </c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</row>
    <row r="190">
      <c r="A190" s="1">
        <f>ROW()-2</f>
        <v/>
      </c>
      <c r="B190" s="28" t="n">
        <v>900534</v>
      </c>
      <c r="C190" s="23" t="inlineStr">
        <is>
          <t>SUBBIAH S</t>
        </is>
      </c>
      <c r="D190" s="23" t="inlineStr">
        <is>
          <t>PRODUCTION</t>
        </is>
      </c>
      <c r="E190" s="24" t="inlineStr">
        <is>
          <t>TYRE CURING</t>
        </is>
      </c>
      <c r="F190" s="29" t="n">
        <v>41365</v>
      </c>
      <c r="G190" s="30">
        <f>NOW()-F190</f>
        <v/>
      </c>
      <c r="H190" s="144" t="inlineStr">
        <is>
          <t>O</t>
        </is>
      </c>
      <c r="I190" s="144" t="inlineStr">
        <is>
          <t>U</t>
        </is>
      </c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</row>
    <row r="191">
      <c r="A191" s="1">
        <f>ROW()-2</f>
        <v/>
      </c>
      <c r="B191" s="37" t="inlineStr">
        <is>
          <t>MG1537</t>
        </is>
      </c>
      <c r="C191" s="98" t="inlineStr">
        <is>
          <t>E SURYA PRAKASH</t>
        </is>
      </c>
      <c r="D191" s="23" t="inlineStr">
        <is>
          <t>PRODUCTION</t>
        </is>
      </c>
      <c r="E191" s="32" t="inlineStr">
        <is>
          <t>LINER DRESSING</t>
        </is>
      </c>
      <c r="F191" s="33" t="n">
        <v>44954</v>
      </c>
      <c r="G191" s="30">
        <f>NOW()-F191</f>
        <v/>
      </c>
      <c r="H191" s="144" t="inlineStr">
        <is>
          <t>U</t>
        </is>
      </c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</row>
    <row r="192">
      <c r="A192" s="1">
        <f>ROW()-2</f>
        <v/>
      </c>
      <c r="B192" s="37" t="n">
        <v>900581</v>
      </c>
      <c r="C192" s="98" t="inlineStr">
        <is>
          <t xml:space="preserve">MOHAN H K </t>
        </is>
      </c>
      <c r="D192" s="28" t="inlineStr">
        <is>
          <t>PRODUCTION</t>
        </is>
      </c>
      <c r="E192" s="37" t="inlineStr">
        <is>
          <t>TYRE BUILDING-P3</t>
        </is>
      </c>
      <c r="F192" s="33" t="n">
        <v>41365</v>
      </c>
      <c r="G192" s="41">
        <f>NOW()-F192</f>
        <v/>
      </c>
      <c r="H192" s="43" t="inlineStr">
        <is>
          <t>O</t>
        </is>
      </c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</row>
    <row r="193">
      <c r="A193" s="1">
        <f>ROW()-2</f>
        <v/>
      </c>
      <c r="B193" s="37" t="n">
        <v>900802</v>
      </c>
      <c r="C193" s="98" t="inlineStr">
        <is>
          <t>CHANDAN CHOUDHARY</t>
        </is>
      </c>
      <c r="D193" s="28" t="inlineStr">
        <is>
          <t>PRODUCTION</t>
        </is>
      </c>
      <c r="E193" s="37" t="inlineStr">
        <is>
          <t>TYRE BUILDING-P3</t>
        </is>
      </c>
      <c r="F193" s="33" t="n">
        <v>40817</v>
      </c>
      <c r="G193" s="41">
        <f>NOW()-F193</f>
        <v/>
      </c>
      <c r="H193" s="43" t="inlineStr">
        <is>
          <t>O</t>
        </is>
      </c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</row>
    <row r="194">
      <c r="B194" s="28" t="n">
        <v>900463</v>
      </c>
      <c r="C194" s="23" t="inlineStr">
        <is>
          <t>ESAKKIMUTHU G</t>
        </is>
      </c>
      <c r="D194" s="28" t="inlineStr">
        <is>
          <t>PRODUCTION</t>
        </is>
      </c>
      <c r="E194" s="40" t="inlineStr">
        <is>
          <t>RADIAL MARANGONI</t>
        </is>
      </c>
      <c r="F194" s="29" t="n">
        <v>41000</v>
      </c>
      <c r="G194" s="41">
        <f>NOW()-F194</f>
        <v/>
      </c>
      <c r="H194" s="45" t="inlineStr">
        <is>
          <t>O</t>
        </is>
      </c>
    </row>
    <row r="195">
      <c r="B195" s="28" t="inlineStr">
        <is>
          <t>MG0366</t>
        </is>
      </c>
      <c r="C195" s="23" t="inlineStr">
        <is>
          <t>SETHU RAMALINGAM T</t>
        </is>
      </c>
      <c r="D195" s="28" t="inlineStr">
        <is>
          <t>PRODUCTION</t>
        </is>
      </c>
      <c r="E195" s="40" t="inlineStr">
        <is>
          <t>RADIAL MARANGONI</t>
        </is>
      </c>
      <c r="F195" s="29" t="n">
        <v>41563</v>
      </c>
      <c r="G195" s="41">
        <f>NOW()-F195</f>
        <v/>
      </c>
      <c r="H195" s="45" t="inlineStr">
        <is>
          <t>O</t>
        </is>
      </c>
      <c r="I195" s="104" t="inlineStr">
        <is>
          <t>U</t>
        </is>
      </c>
      <c r="J195" s="45" t="inlineStr">
        <is>
          <t>long ab</t>
        </is>
      </c>
    </row>
    <row r="196">
      <c r="B196" t="inlineStr">
        <is>
          <t>LN1151</t>
        </is>
      </c>
    </row>
    <row r="197">
      <c r="B197" t="inlineStr">
        <is>
          <t>SR0737</t>
        </is>
      </c>
      <c r="E197" s="26" t="inlineStr">
        <is>
          <t>KK0041</t>
        </is>
      </c>
    </row>
    <row r="198">
      <c r="B198" t="inlineStr">
        <is>
          <t>AK0640</t>
        </is>
      </c>
    </row>
    <row r="199" customFormat="1" s="85">
      <c r="A199" s="74">
        <f>ROW()-2</f>
        <v/>
      </c>
      <c r="B199" s="37" t="inlineStr">
        <is>
          <t>UDS1642</t>
        </is>
      </c>
      <c r="C199" s="98" t="inlineStr">
        <is>
          <t>KALI MUTHU RAJ B</t>
        </is>
      </c>
      <c r="D199" s="37" t="inlineStr">
        <is>
          <t>PRODUCTION</t>
        </is>
      </c>
      <c r="E199" s="98" t="inlineStr">
        <is>
          <t>TYRE BUILDING-P1</t>
        </is>
      </c>
      <c r="F199" s="99" t="n">
        <v>46069</v>
      </c>
      <c r="G199" s="41">
        <f>NOW()-F199</f>
        <v/>
      </c>
      <c r="H199" s="45" t="inlineStr">
        <is>
          <t>L</t>
        </is>
      </c>
      <c r="I199" s="45" t="inlineStr">
        <is>
          <t>I</t>
        </is>
      </c>
      <c r="J199" s="76" t="inlineStr">
        <is>
          <t>LEFT</t>
        </is>
      </c>
      <c r="K199" s="45" t="n"/>
      <c r="L199" s="45" t="n"/>
      <c r="M199" s="45" t="n"/>
      <c r="N199" s="45" t="n"/>
      <c r="O199" s="45">
        <f>SUM(J199:N199)</f>
        <v/>
      </c>
      <c r="P199" s="75">
        <f>O199/IF(H199="L",20,IF(H199="U",30,IF(H199="O",40,IF(H199="I",20,""))))</f>
        <v/>
      </c>
      <c r="Q199" s="76">
        <f>IF(AND(H199="L", P199&gt;=50%), "Pass",
 IF(AND(H199="U", P199&gt;=60%), "Pass",
 IF(AND(H199="O", P199&gt;=75%), "Pass", "Fail")))</f>
        <v/>
      </c>
      <c r="R199" s="45" t="n"/>
      <c r="S199" s="45" t="n"/>
      <c r="T199" s="45" t="n"/>
      <c r="U199" s="45">
        <f>SUM(S199:T199)</f>
        <v/>
      </c>
      <c r="V199" s="75">
        <f>U199/IF(H199="L",35,IF(H199="U",35,IF(H199="O",35,IF(H199="I",35,""))))</f>
        <v/>
      </c>
      <c r="W199" s="76">
        <f>IF(AND(H199="L", V199&gt;=50%), "Pass",
 IF(AND(H199="U", V199&gt;=60%), "Pass",
 IF(AND(H199="O", V199&gt;=75%), "Pass", "Fail")))</f>
        <v/>
      </c>
      <c r="X199" s="76">
        <f>IF(AND(Q199="Pass", W199="Pass"), "Pass", "Fail")</f>
        <v/>
      </c>
      <c r="Y199" s="77">
        <f>IF($X199="Pass",$H199,
IF(H199="L","I",
IF(H199="U","L",
IF(H199="O","U",
"I"))))</f>
        <v/>
      </c>
    </row>
    <row r="200" customFormat="1" s="85">
      <c r="A200" s="74">
        <f>ROW()-2</f>
        <v/>
      </c>
      <c r="B200" s="28" t="inlineStr">
        <is>
          <t>KK1156</t>
        </is>
      </c>
      <c r="C200" s="23" t="inlineStr">
        <is>
          <t>MUPPIDATHI</t>
        </is>
      </c>
      <c r="D200" s="28" t="inlineStr">
        <is>
          <t>PRODUCTION</t>
        </is>
      </c>
      <c r="E200" s="84" t="inlineStr">
        <is>
          <t>TYRE BUILDING-P1</t>
        </is>
      </c>
      <c r="F200" s="29" t="n">
        <v>44065</v>
      </c>
      <c r="G200" s="41">
        <f>NOW()-F200</f>
        <v/>
      </c>
      <c r="H200" s="45" t="inlineStr">
        <is>
          <t>O</t>
        </is>
      </c>
      <c r="I200" s="45" t="inlineStr">
        <is>
          <t>U</t>
        </is>
      </c>
      <c r="J200" s="76" t="inlineStr">
        <is>
          <t>LEFT</t>
        </is>
      </c>
      <c r="K200" s="45" t="n"/>
      <c r="L200" s="45" t="n"/>
      <c r="M200" s="45" t="n"/>
      <c r="N200" s="45" t="n"/>
      <c r="O200" s="45">
        <f>SUM(J200:N200)</f>
        <v/>
      </c>
      <c r="P200" s="75">
        <f>O200/IF(H200="L",20,IF(H200="U",30,IF(H200="O",40,IF(H200="I",20,""))))</f>
        <v/>
      </c>
      <c r="Q200" s="76">
        <f>IF(AND(H200="L", P200&gt;=50%), "Pass",
IF(AND(H200="U", P200&gt;=60%), "Pass",
IF(AND(H200="O", P200&gt;=75%), "Pass", "Fail")))</f>
        <v/>
      </c>
      <c r="R200" s="45" t="n"/>
      <c r="S200" s="45" t="n"/>
      <c r="T200" s="45" t="n"/>
      <c r="U200" s="45">
        <f>SUM(S200:T200)</f>
        <v/>
      </c>
      <c r="V200" s="75">
        <f>U200/IF(H200="L",35,IF(H200="U",35,IF(H200="O",35,IF(H200="I",35,""))))</f>
        <v/>
      </c>
      <c r="W200" s="76">
        <f>IF(AND(H200="L", V200&gt;=50%), "Pass",
IF(AND(H200="U", V200&gt;=60%), "Pass",
IF(AND(H200="O", V200&gt;=75%), "Pass", "Fail")))</f>
        <v/>
      </c>
      <c r="X200" s="76">
        <f>IF(AND(Q200="Pass", W200="Pass"), "Pass", "Fail")</f>
        <v/>
      </c>
      <c r="Y200" s="77">
        <f>IF($X200="Pass",$H200,
IF(H200="L","I",
IF(H200="U","L",
IF(H200="O","U",
"I"))))</f>
        <v/>
      </c>
    </row>
    <row r="201">
      <c r="A201" s="74">
        <f>ROW()-2</f>
        <v/>
      </c>
      <c r="B201" s="28" t="n">
        <v>900335</v>
      </c>
      <c r="C201" s="23" t="inlineStr">
        <is>
          <t>SIVA S</t>
        </is>
      </c>
      <c r="D201" s="28" t="inlineStr">
        <is>
          <t>PRODUCTION</t>
        </is>
      </c>
      <c r="E201" s="40" t="inlineStr">
        <is>
          <t>EXTRUDER</t>
        </is>
      </c>
      <c r="F201" s="29" t="n">
        <v>41000</v>
      </c>
      <c r="G201" s="41">
        <f>NOW()-F201</f>
        <v/>
      </c>
      <c r="H201" s="45" t="inlineStr">
        <is>
          <t>O</t>
        </is>
      </c>
      <c r="I201" s="45" t="inlineStr">
        <is>
          <t>U</t>
        </is>
      </c>
      <c r="J201" s="46" t="inlineStr">
        <is>
          <t>long ab</t>
        </is>
      </c>
      <c r="K201" s="45" t="n"/>
      <c r="L201" s="45" t="n"/>
      <c r="M201" s="45" t="n"/>
      <c r="N201" s="45" t="n"/>
      <c r="O201" s="45">
        <f>SUM(J201:N201)</f>
        <v/>
      </c>
      <c r="P201" s="75">
        <f>O201/IF(H201="L",20,IF(H201="U",30,IF(H201="O",40,IF(H201="I",20,""))))</f>
        <v/>
      </c>
      <c r="Q201" s="76">
        <f>IF(AND(H201="L", P201&gt;=50%), "Pass",
IF(AND(H201="U", P201&gt;=60%), "Pass",
IF(AND(H201="O", P201&gt;=75%), "Pass", "Fail")))</f>
        <v/>
      </c>
      <c r="R201" s="45" t="n"/>
      <c r="S201" s="46" t="inlineStr">
        <is>
          <t>long ab</t>
        </is>
      </c>
      <c r="T201" s="104" t="n"/>
      <c r="U201" s="104">
        <f>SUM(S201:T201)</f>
        <v/>
      </c>
      <c r="V201" s="12">
        <f>U201/IF(H201="L",35,IF(H201="U",35,IF(H201="O",35,IF(H201="I",35,""))))</f>
        <v/>
      </c>
      <c r="W201" s="132">
        <f>IF(AND(H201="L", V201&gt;=50%), "Pass",
IF(AND(H201="U", V201&gt;=60%), "Pass",
IF(AND(H201="O", V201&gt;=75%), "Pass", "Fail")))</f>
        <v/>
      </c>
      <c r="X201" s="132">
        <f>IF(AND(Q201="Pass", W201="Pass"), "Pass", "Fail")</f>
        <v/>
      </c>
      <c r="Y201" s="15">
        <f>IF($X201="Pass",$H201,
IF(H201="L","I",
IF(H201="U","L",
IF(H201="O","U",
"I"))))</f>
        <v/>
      </c>
    </row>
    <row r="202">
      <c r="A202" s="38">
        <f>ROW()-2</f>
        <v/>
      </c>
      <c r="B202" s="28" t="inlineStr">
        <is>
          <t>SR1404</t>
        </is>
      </c>
      <c r="C202" s="23" t="inlineStr">
        <is>
          <t>JEEVA KOMBURAJU NAIDU</t>
        </is>
      </c>
      <c r="D202" s="28" t="inlineStr">
        <is>
          <t>PRODUCTION</t>
        </is>
      </c>
      <c r="E202" s="40" t="inlineStr">
        <is>
          <t>TYRE BUILDING-P2</t>
        </is>
      </c>
      <c r="F202" s="29" t="n">
        <v>45442</v>
      </c>
      <c r="G202" s="41">
        <f>NOW()-F202</f>
        <v/>
      </c>
      <c r="H202" s="45" t="inlineStr">
        <is>
          <t>L</t>
        </is>
      </c>
      <c r="I202" s="45" t="inlineStr">
        <is>
          <t>I</t>
        </is>
      </c>
      <c r="J202" s="46" t="inlineStr">
        <is>
          <t>long ab</t>
        </is>
      </c>
      <c r="K202" s="104" t="n"/>
      <c r="L202" s="104" t="n"/>
      <c r="M202" s="104" t="n"/>
      <c r="N202" s="104" t="n"/>
      <c r="O202" s="45">
        <f>SUM(J202:N202)</f>
        <v/>
      </c>
      <c r="P202" s="75">
        <f>O202/IF(H202="L",20,IF(H202="U",30,IF(H202="O",40,IF(H202="I",20,""))))</f>
        <v/>
      </c>
      <c r="Q202" s="132">
        <f>IF(AND(H202="L", P202&gt;=50%), "Pass",
IF(AND(H202="U", P202&gt;=60%), "Pass",
IF(AND(H202="O", P202&gt;=75%), "Pass", "Fail")))</f>
        <v/>
      </c>
      <c r="R202" s="104" t="n"/>
      <c r="S202" s="46" t="inlineStr">
        <is>
          <t>long ab</t>
        </is>
      </c>
      <c r="T202" s="104" t="n"/>
      <c r="U202" s="104">
        <f>SUM(S202:T202)</f>
        <v/>
      </c>
      <c r="V202" s="12">
        <f>U202/IF(H202="L",35,IF(H202="U",35,IF(H202="O",35,IF(H202="I",35,""))))</f>
        <v/>
      </c>
      <c r="W202" s="132">
        <f>IF(AND(H202="L", V202&gt;=50%), "Pass",
IF(AND(H202="U", V202&gt;=60%), "Pass",
IF(AND(H202="O", V202&gt;=75%), "Pass", "Fail")))</f>
        <v/>
      </c>
      <c r="X202" s="132">
        <f>IF(AND(Q202="Pass", W202="Pass"), "Pass", "Fail")</f>
        <v/>
      </c>
      <c r="Y202" s="15">
        <f>IF($X202="Pass",$H202,
IF(H202="L","I",
IF(H202="U","L",
IF(H202="O","U",
"I"))))</f>
        <v/>
      </c>
    </row>
    <row r="203">
      <c r="A203" s="74">
        <f>ROW()-2</f>
        <v/>
      </c>
      <c r="B203" s="28" t="n">
        <v>900603</v>
      </c>
      <c r="C203" s="23" t="inlineStr">
        <is>
          <t>THANGA PANDI S</t>
        </is>
      </c>
      <c r="D203" s="28" t="inlineStr">
        <is>
          <t>PRODUCTION</t>
        </is>
      </c>
      <c r="E203" s="40" t="inlineStr">
        <is>
          <t>TYRE CURING</t>
        </is>
      </c>
      <c r="F203" s="29" t="n">
        <v>41365</v>
      </c>
      <c r="G203" s="41">
        <f>NOW()-F203</f>
        <v/>
      </c>
      <c r="H203" s="45" t="inlineStr">
        <is>
          <t>O</t>
        </is>
      </c>
      <c r="I203" s="45" t="inlineStr">
        <is>
          <t>O</t>
        </is>
      </c>
      <c r="J203" s="46" t="inlineStr">
        <is>
          <t>long ab</t>
        </is>
      </c>
      <c r="K203" s="45" t="n"/>
      <c r="L203" s="45" t="n"/>
      <c r="M203" s="45" t="n"/>
      <c r="N203" s="45" t="n"/>
      <c r="O203" s="45">
        <f>SUM(J203:N203)</f>
        <v/>
      </c>
      <c r="P203" s="75">
        <f>O203/IF(H203="L",20,IF(H203="U",30,IF(H203="O",40,IF(H203="I",20,""))))</f>
        <v/>
      </c>
      <c r="Q203" s="76">
        <f>IF(AND(H203="L", P203&gt;=50%), "Pass",
IF(AND(H203="U", P203&gt;=60%), "Pass",
IF(AND(H203="O", P203&gt;=75%), "Pass", "Fail")))</f>
        <v/>
      </c>
      <c r="R203" s="45" t="n"/>
      <c r="S203" s="45" t="n"/>
      <c r="T203" s="45" t="n"/>
      <c r="U203" s="45">
        <f>SUM(S203:T203)</f>
        <v/>
      </c>
      <c r="V203" s="75">
        <f>U203/IF(H203="L",35,IF(H203="U",35,IF(H203="O",35,IF(H203="I",35,""))))</f>
        <v/>
      </c>
      <c r="W203" s="76">
        <f>IF(AND(H203="L", V203&gt;=50%), "Pass",
IF(AND(H203="U", V203&gt;=60%), "Pass",
IF(AND(H203="O", V203&gt;=75%), "Pass", "Fail")))</f>
        <v/>
      </c>
      <c r="X203" s="76">
        <f>IF(AND(Q203="Pass", W203="Pass"), "Pass", "Fail")</f>
        <v/>
      </c>
      <c r="Y203" s="77">
        <f>IF($X203="Pass",$H203,
IF(H203="L","I",
IF(H203="U","L",
IF(H203="O","U",
"I"))))</f>
        <v/>
      </c>
    </row>
    <row r="204" customFormat="1" s="85">
      <c r="A204" s="74">
        <f>ROW()-2</f>
        <v/>
      </c>
      <c r="B204" s="28" t="n">
        <v>900557</v>
      </c>
      <c r="C204" s="23" t="inlineStr">
        <is>
          <t>ARUMUGAM M</t>
        </is>
      </c>
      <c r="D204" s="28" t="inlineStr">
        <is>
          <t>PRODUCTION</t>
        </is>
      </c>
      <c r="E204" s="84" t="inlineStr">
        <is>
          <t>BIAS MARANGONI&amp;BESTRY</t>
        </is>
      </c>
      <c r="F204" s="29" t="n">
        <v>41365</v>
      </c>
      <c r="G204" s="41">
        <f>NOW()-F204</f>
        <v/>
      </c>
      <c r="H204" s="45" t="inlineStr">
        <is>
          <t>O</t>
        </is>
      </c>
      <c r="I204" s="45" t="inlineStr">
        <is>
          <t>O</t>
        </is>
      </c>
      <c r="J204" s="46" t="inlineStr">
        <is>
          <t>long ab</t>
        </is>
      </c>
      <c r="K204" s="45" t="n"/>
      <c r="L204" s="45" t="n"/>
      <c r="M204" s="45" t="n"/>
      <c r="N204" s="45" t="n"/>
      <c r="O204" s="45">
        <f>SUM(J204:N204)</f>
        <v/>
      </c>
      <c r="P204" s="75">
        <f>O204/IF(H204="L",20,IF(H204="U",30,IF(H204="O",40,IF(H204="I",20,""))))</f>
        <v/>
      </c>
      <c r="Q204" s="76">
        <f>IF(AND(H204="L", P204&gt;=50%), "Pass",
IF(AND(H204="U", P204&gt;=60%), "Pass",
IF(AND(H204="O", P204&gt;=75%), "Pass", "Fail")))</f>
        <v/>
      </c>
      <c r="R204" s="45" t="n"/>
      <c r="S204" s="45" t="n"/>
      <c r="T204" s="45" t="n"/>
      <c r="U204" s="45">
        <f>SUM(S204:T204)</f>
        <v/>
      </c>
      <c r="V204" s="75">
        <f>U204/IF(H204="L",35,IF(H204="U",35,IF(H204="O",35,IF(H204="I",35,""))))</f>
        <v/>
      </c>
      <c r="W204" s="76">
        <f>IF(AND(H204="L", V204&gt;=50%), "Pass",
IF(AND(H204="U", V204&gt;=60%), "Pass",
IF(AND(H204="O", V204&gt;=75%), "Pass", "Fail")))</f>
        <v/>
      </c>
      <c r="X204" s="76">
        <f>IF(AND(Q204="Pass", W204="Pass"), "Pass", "Fail")</f>
        <v/>
      </c>
      <c r="Y204" s="77">
        <f>IF($X204="Pass",$H204,
IF(H204="L","I",
IF(H204="U","L",
IF(H204="O","U",
"I"))))</f>
        <v/>
      </c>
    </row>
    <row r="205" customFormat="1" s="85">
      <c r="A205" s="74">
        <f>ROW()-2</f>
        <v/>
      </c>
      <c r="B205" s="28" t="n">
        <v>900382</v>
      </c>
      <c r="C205" s="23" t="inlineStr">
        <is>
          <t>MUTHU KUMAR G</t>
        </is>
      </c>
      <c r="D205" s="28" t="inlineStr">
        <is>
          <t>PRODUCTION</t>
        </is>
      </c>
      <c r="E205" s="84" t="inlineStr">
        <is>
          <t>TYRE BUILDING-P1</t>
        </is>
      </c>
      <c r="F205" s="29" t="n">
        <v>41000</v>
      </c>
      <c r="G205" s="41">
        <f>NOW()-F205</f>
        <v/>
      </c>
      <c r="H205" s="45" t="inlineStr">
        <is>
          <t>O</t>
        </is>
      </c>
      <c r="I205" s="45" t="inlineStr">
        <is>
          <t>U</t>
        </is>
      </c>
      <c r="J205" s="46" t="inlineStr">
        <is>
          <t>long ab</t>
        </is>
      </c>
      <c r="K205" s="45" t="n"/>
      <c r="L205" s="45" t="n"/>
      <c r="M205" s="45" t="n"/>
      <c r="N205" s="45" t="n"/>
      <c r="O205" s="45">
        <f>SUM(J205:N205)</f>
        <v/>
      </c>
      <c r="P205" s="75">
        <f>O205/IF(H205="L",20,IF(H205="U",30,IF(H205="O",40,IF(H205="I",20,""))))</f>
        <v/>
      </c>
      <c r="Q205" s="76">
        <f>IF(AND(H205="L", P205&gt;=50%), "Pass",
IF(AND(H205="U", P205&gt;=60%), "Pass",
IF(AND(H205="O", P205&gt;=75%), "Pass", "Fail")))</f>
        <v/>
      </c>
      <c r="R205" s="45" t="n"/>
      <c r="S205" s="45" t="n"/>
      <c r="T205" s="45" t="n"/>
      <c r="U205" s="45">
        <f>SUM(S205:T205)</f>
        <v/>
      </c>
      <c r="V205" s="75">
        <f>U205/IF(H205="L",35,IF(H205="U",35,IF(H205="O",35,IF(H205="I",35,""))))</f>
        <v/>
      </c>
      <c r="W205" s="76">
        <f>IF(AND(H205="L", V205&gt;=50%), "Pass",
 IF(AND(H205="U", V205&gt;=60%), "Pass",
 IF(AND(H205="O", V205&gt;=75%), "Pass", "Fail")))</f>
        <v/>
      </c>
      <c r="X205" s="76">
        <f>IF(AND(Q205="Pass", W205="Pass"), "Pass", "Fail")</f>
        <v/>
      </c>
      <c r="Y205" s="77">
        <f>IF($X205="Pass",$H205,
IF(H205="L","I",
IF(H205="U","L",
IF(H205="O","U",
"I"))))</f>
        <v/>
      </c>
    </row>
    <row r="207">
      <c r="B207" s="28" t="inlineStr">
        <is>
          <t>KK1369</t>
        </is>
      </c>
      <c r="C207" s="23" t="inlineStr">
        <is>
          <t>MARISELVAM M</t>
        </is>
      </c>
      <c r="D207" s="101" t="n"/>
      <c r="E207" s="40" t="inlineStr">
        <is>
          <t>TYRE BUILDING-P2</t>
        </is>
      </c>
      <c r="F207" s="29" t="n">
        <v>44644</v>
      </c>
      <c r="H207" s="102" t="inlineStr">
        <is>
          <t>U</t>
        </is>
      </c>
    </row>
    <row r="208">
      <c r="B208" s="28" t="inlineStr">
        <is>
          <t>SK3616</t>
        </is>
      </c>
      <c r="C208" s="23" t="inlineStr">
        <is>
          <t>SUKHDEV ORAON</t>
        </is>
      </c>
      <c r="D208" s="101" t="n"/>
      <c r="E208" s="40" t="inlineStr">
        <is>
          <t>TYRE BUILDING-P2</t>
        </is>
      </c>
      <c r="F208" s="29" t="n">
        <v>45692</v>
      </c>
      <c r="H208" s="102" t="inlineStr">
        <is>
          <t>L</t>
        </is>
      </c>
    </row>
    <row r="209">
      <c r="B209" s="28" t="inlineStr">
        <is>
          <t>SR1467</t>
        </is>
      </c>
      <c r="C209" s="23" t="inlineStr">
        <is>
          <t>SURESHKUMAR</t>
        </is>
      </c>
      <c r="D209" s="101" t="n"/>
      <c r="E209" s="40" t="inlineStr">
        <is>
          <t>TYRE BUILDING-P2</t>
        </is>
      </c>
      <c r="F209" s="29" t="n">
        <v>45789</v>
      </c>
      <c r="H209" s="102" t="inlineStr">
        <is>
          <t>L</t>
        </is>
      </c>
    </row>
    <row r="210">
      <c r="B210" s="28" t="inlineStr">
        <is>
          <t>KK1178</t>
        </is>
      </c>
      <c r="C210" s="23" t="inlineStr">
        <is>
          <t>SURESH</t>
        </is>
      </c>
      <c r="D210" s="28" t="inlineStr">
        <is>
          <t>PRODUCTION</t>
        </is>
      </c>
      <c r="E210" s="84" t="inlineStr">
        <is>
          <t>SOLID TYRE</t>
        </is>
      </c>
      <c r="F210" s="29" t="n">
        <v>44156</v>
      </c>
      <c r="G210" s="41">
        <f>NOW()-F210</f>
        <v/>
      </c>
      <c r="H210" s="45" t="inlineStr">
        <is>
          <t>O</t>
        </is>
      </c>
    </row>
    <row r="211">
      <c r="B211" s="28" t="inlineStr">
        <is>
          <t>PK1623</t>
        </is>
      </c>
      <c r="C211" s="23" t="inlineStr">
        <is>
          <t>KARTHICK E</t>
        </is>
      </c>
      <c r="D211" s="28" t="inlineStr">
        <is>
          <t>PRODUCTION</t>
        </is>
      </c>
      <c r="E211" s="84" t="inlineStr">
        <is>
          <t>SOLID TYRE</t>
        </is>
      </c>
      <c r="F211" s="29" t="n">
        <v>45824</v>
      </c>
      <c r="G211" s="41">
        <f>NOW()-F211</f>
        <v/>
      </c>
      <c r="H211" s="45" t="inlineStr">
        <is>
          <t>L</t>
        </is>
      </c>
    </row>
    <row r="212">
      <c r="B212" s="28" t="inlineStr">
        <is>
          <t>SK3675</t>
        </is>
      </c>
      <c r="C212" s="23" t="inlineStr">
        <is>
          <t>KALIPANDI</t>
        </is>
      </c>
      <c r="D212" s="28" t="inlineStr">
        <is>
          <t>PRODUCTION</t>
        </is>
      </c>
      <c r="E212" s="84" t="inlineStr">
        <is>
          <t>SOLID TYRE</t>
        </is>
      </c>
      <c r="F212" s="29" t="n">
        <v>45810</v>
      </c>
      <c r="G212" s="41">
        <f>NOW()-F212</f>
        <v/>
      </c>
      <c r="H212" s="45" t="inlineStr">
        <is>
          <t>L</t>
        </is>
      </c>
    </row>
    <row r="215">
      <c r="B215" s="85" t="inlineStr">
        <is>
          <t>SR0806</t>
        </is>
      </c>
      <c r="C215" s="111" t="inlineStr">
        <is>
          <t>NAMBI</t>
        </is>
      </c>
      <c r="D215" s="85" t="n"/>
      <c r="E215" s="85" t="inlineStr">
        <is>
          <t>TYRE BUILDING-P1</t>
        </is>
      </c>
      <c r="F215" s="112" t="n">
        <v>43074</v>
      </c>
      <c r="H215" s="113" t="inlineStr">
        <is>
          <t>O</t>
        </is>
      </c>
    </row>
    <row r="216">
      <c r="A216" t="n">
        <v>1180</v>
      </c>
      <c r="B216" s="85" t="inlineStr">
        <is>
          <t>UDS1618</t>
        </is>
      </c>
      <c r="C216" s="111" t="inlineStr">
        <is>
          <t>KAMESHWARAN A</t>
        </is>
      </c>
      <c r="E216" s="85" t="inlineStr">
        <is>
          <t>TYRE BUILDING-P3</t>
        </is>
      </c>
      <c r="F216" s="112" t="n">
        <v>46059</v>
      </c>
      <c r="H216" s="113" t="inlineStr">
        <is>
          <t>L</t>
        </is>
      </c>
      <c r="I216" s="85" t="inlineStr">
        <is>
          <t>long ab</t>
        </is>
      </c>
    </row>
    <row r="217" customFormat="1" s="85">
      <c r="B217" s="85" t="inlineStr">
        <is>
          <t>LN1073</t>
        </is>
      </c>
      <c r="C217" s="111" t="inlineStr">
        <is>
          <t>VELMURUGAN</t>
        </is>
      </c>
      <c r="E217" s="85" t="inlineStr">
        <is>
          <t>TYRE BUILDING-P3</t>
        </is>
      </c>
      <c r="F217" s="112" t="n">
        <v>45985</v>
      </c>
      <c r="H217" s="113" t="inlineStr">
        <is>
          <t>L</t>
        </is>
      </c>
      <c r="K217" s="85" t="n">
        <v>4</v>
      </c>
      <c r="L217" s="85" t="n">
        <v>4</v>
      </c>
      <c r="M217" s="85" t="n">
        <v>4</v>
      </c>
      <c r="N217" s="85" t="n">
        <v>5</v>
      </c>
    </row>
    <row r="218" customFormat="1" s="85">
      <c r="B218" s="85" t="inlineStr">
        <is>
          <t>LN1183</t>
        </is>
      </c>
      <c r="C218" s="111" t="inlineStr">
        <is>
          <t>BALAKRISHNAN M</t>
        </is>
      </c>
      <c r="E218" s="85" t="inlineStr">
        <is>
          <t>TYRE BUILDING-P3</t>
        </is>
      </c>
      <c r="F218" s="112" t="n">
        <v>46055</v>
      </c>
      <c r="H218" s="113" t="inlineStr">
        <is>
          <t>L</t>
        </is>
      </c>
      <c r="K218" s="85" t="n">
        <v>5</v>
      </c>
      <c r="L218" s="85" t="n">
        <v>5</v>
      </c>
      <c r="M218" s="85" t="n">
        <v>4</v>
      </c>
      <c r="N218" s="85" t="n">
        <v>3</v>
      </c>
    </row>
    <row r="219" customFormat="1" s="85">
      <c r="A219" s="152">
        <f>ROW()-2</f>
        <v/>
      </c>
      <c r="B219" s="152" t="inlineStr">
        <is>
          <t>SK3718</t>
        </is>
      </c>
      <c r="C219" s="153" t="inlineStr">
        <is>
          <t>SOMA ORAON</t>
        </is>
      </c>
      <c r="D219" s="152" t="inlineStr">
        <is>
          <t>PRODUCTION</t>
        </is>
      </c>
      <c r="E219" s="153" t="inlineStr">
        <is>
          <t>TYRE BUILDING-P3</t>
        </is>
      </c>
      <c r="F219" s="154" t="n">
        <v>46034</v>
      </c>
      <c r="G219" s="155">
        <f>NOW()-F219</f>
        <v/>
      </c>
      <c r="H219" s="45" t="inlineStr">
        <is>
          <t>L</t>
        </is>
      </c>
      <c r="I219" s="45" t="inlineStr">
        <is>
          <t>I</t>
        </is>
      </c>
      <c r="J219" s="45" t="n">
        <v>1</v>
      </c>
      <c r="K219" s="45" t="n">
        <v>5</v>
      </c>
      <c r="L219" s="45" t="n">
        <v>4</v>
      </c>
      <c r="M219" s="45" t="n">
        <v>1</v>
      </c>
      <c r="N219" s="45" t="n"/>
      <c r="O219" s="45">
        <f>SUM(J219:N219)</f>
        <v/>
      </c>
      <c r="P219" s="75">
        <f>O219/IF(H219="L",20,IF(H219="U",30,IF(H219="O",40,IF(H219="I",20,""))))</f>
        <v/>
      </c>
      <c r="Q219" s="76">
        <f>IF(AND(H219="L", P219&gt;=50%), "Pass",
 IF(AND(H219="U", P219&gt;=60%), "Pass",
 IF(AND(H219="O", P219&gt;=75%), "Pass", "Fail")))</f>
        <v/>
      </c>
      <c r="R219" s="45" t="n"/>
      <c r="S219" s="45" t="inlineStr">
        <is>
          <t>left</t>
        </is>
      </c>
      <c r="T219" s="45" t="n"/>
      <c r="U219" s="45">
        <f>SUM(S219:T219)</f>
        <v/>
      </c>
      <c r="V219" s="75">
        <f>U219/IF(H219="L",35,IF(H219="U",35,IF(H219="O",35,IF(H219="I",35,""))))</f>
        <v/>
      </c>
      <c r="W219" s="76">
        <f>IF(AND(H219="L", V219&gt;=50%), "Pass",
 IF(AND(H219="U", V219&gt;=60%), "Pass",
 IF(AND(H219="O", V219&gt;=75%), "Pass", "Fail")))</f>
        <v/>
      </c>
      <c r="X219" s="76">
        <f>IF(AND(Q219="Pass", W219="Pass"), "Pass", "Fail")</f>
        <v/>
      </c>
      <c r="Y219" s="77">
        <f>IF($X219="Pass",$H219,
IF(H219="L","I",
IF(H219="U","L",
IF(H219="O","U",
"I"))))</f>
        <v/>
      </c>
    </row>
  </sheetData>
  <autoFilter ref="A2:Q205"/>
  <mergeCells count="2">
    <mergeCell ref="S1:W1"/>
    <mergeCell ref="J1:Q1"/>
  </mergeCells>
  <conditionalFormatting sqref="Q3 W3:X3">
    <cfRule type="cellIs" priority="63" operator="greaterThan" dxfId="1">
      <formula>1.01</formula>
    </cfRule>
    <cfRule type="containsText" priority="61" operator="containsText" dxfId="1" text="Fail">
      <formula>NOT(ISERROR(SEARCH("Fail",Q3)))</formula>
    </cfRule>
    <cfRule type="containsText" priority="62" operator="containsText" dxfId="0" text="Pass">
      <formula>NOT(ISERROR(SEARCH("Pass",Q3)))</formula>
    </cfRule>
  </conditionalFormatting>
  <conditionalFormatting sqref="B3">
    <cfRule type="duplicateValues" priority="60" dxfId="1"/>
  </conditionalFormatting>
  <conditionalFormatting sqref="B1:B2">
    <cfRule type="duplicateValues" priority="59" dxfId="1"/>
  </conditionalFormatting>
  <conditionalFormatting sqref="Q4:Q186 W4:X186">
    <cfRule type="cellIs" priority="58" operator="greaterThan" dxfId="1">
      <formula>1.01</formula>
    </cfRule>
    <cfRule type="containsText" priority="56" operator="containsText" dxfId="1" text="Fail">
      <formula>NOT(ISERROR(SEARCH("Fail",Q4)))</formula>
    </cfRule>
    <cfRule type="containsText" priority="57" operator="containsText" dxfId="0" text="Pass">
      <formula>NOT(ISERROR(SEARCH("Pass",Q4)))</formula>
    </cfRule>
  </conditionalFormatting>
  <conditionalFormatting sqref="B4:B186">
    <cfRule type="duplicateValues" priority="55" dxfId="1"/>
  </conditionalFormatting>
  <conditionalFormatting sqref="B187">
    <cfRule type="duplicateValues" priority="54" dxfId="1"/>
  </conditionalFormatting>
  <conditionalFormatting sqref="B188">
    <cfRule type="duplicateValues" priority="53" dxfId="1"/>
  </conditionalFormatting>
  <conditionalFormatting sqref="B189:B190">
    <cfRule type="duplicateValues" priority="52" dxfId="1"/>
  </conditionalFormatting>
  <conditionalFormatting sqref="B191">
    <cfRule type="duplicateValues" priority="51" dxfId="1"/>
  </conditionalFormatting>
  <conditionalFormatting sqref="B192">
    <cfRule type="duplicateValues" priority="49" dxfId="1"/>
  </conditionalFormatting>
  <conditionalFormatting sqref="B193">
    <cfRule type="duplicateValues" priority="48" dxfId="1"/>
  </conditionalFormatting>
  <conditionalFormatting sqref="B194">
    <cfRule type="duplicateValues" priority="47" dxfId="1"/>
  </conditionalFormatting>
  <conditionalFormatting sqref="B195">
    <cfRule type="duplicateValues" priority="46" dxfId="1"/>
  </conditionalFormatting>
  <conditionalFormatting sqref="Q201 W201:X201">
    <cfRule type="cellIs" priority="45" operator="greaterThan" dxfId="1">
      <formula>1.01</formula>
    </cfRule>
    <cfRule type="containsText" priority="43" operator="containsText" dxfId="1" text="Fail">
      <formula>NOT(ISERROR(SEARCH("Fail",Q201)))</formula>
    </cfRule>
    <cfRule type="containsText" priority="44" operator="containsText" dxfId="0" text="Pass">
      <formula>NOT(ISERROR(SEARCH("Pass",Q201)))</formula>
    </cfRule>
  </conditionalFormatting>
  <conditionalFormatting sqref="B201">
    <cfRule type="duplicateValues" priority="42" dxfId="1"/>
  </conditionalFormatting>
  <conditionalFormatting sqref="Q202 W202:X202">
    <cfRule type="cellIs" priority="41" operator="greaterThan" dxfId="1">
      <formula>1.01</formula>
    </cfRule>
    <cfRule type="containsText" priority="39" operator="containsText" dxfId="1" text="Fail">
      <formula>NOT(ISERROR(SEARCH("Fail",Q202)))</formula>
    </cfRule>
    <cfRule type="containsText" priority="40" operator="containsText" dxfId="0" text="Pass">
      <formula>NOT(ISERROR(SEARCH("Pass",Q202)))</formula>
    </cfRule>
  </conditionalFormatting>
  <conditionalFormatting sqref="B202">
    <cfRule type="duplicateValues" priority="38" dxfId="1"/>
  </conditionalFormatting>
  <conditionalFormatting sqref="Q203 W203:X203">
    <cfRule type="cellIs" priority="37" operator="greaterThan" dxfId="1">
      <formula>1.01</formula>
    </cfRule>
    <cfRule type="containsText" priority="35" operator="containsText" dxfId="1" text="Fail">
      <formula>NOT(ISERROR(SEARCH("Fail",Q203)))</formula>
    </cfRule>
    <cfRule type="containsText" priority="36" operator="containsText" dxfId="0" text="Pass">
      <formula>NOT(ISERROR(SEARCH("Pass",Q203)))</formula>
    </cfRule>
  </conditionalFormatting>
  <conditionalFormatting sqref="B203">
    <cfRule type="duplicateValues" priority="34" dxfId="1"/>
  </conditionalFormatting>
  <conditionalFormatting sqref="Q204:Q205 W204:X204">
    <cfRule type="cellIs" priority="33" operator="greaterThan" dxfId="1">
      <formula>1.01</formula>
    </cfRule>
    <cfRule type="containsText" priority="31" operator="containsText" dxfId="1" text="Fail">
      <formula>NOT(ISERROR(SEARCH("Fail",Q204)))</formula>
    </cfRule>
    <cfRule type="containsText" priority="32" operator="containsText" dxfId="0" text="Pass">
      <formula>NOT(ISERROR(SEARCH("Pass",Q204)))</formula>
    </cfRule>
  </conditionalFormatting>
  <conditionalFormatting sqref="B204">
    <cfRule type="duplicateValues" priority="30" dxfId="1"/>
  </conditionalFormatting>
  <conditionalFormatting sqref="Q200 W200:X200">
    <cfRule type="cellIs" priority="29" operator="greaterThan" dxfId="1">
      <formula>1.01</formula>
    </cfRule>
    <cfRule type="containsText" priority="27" operator="containsText" dxfId="1" text="Fail">
      <formula>NOT(ISERROR(SEARCH("Fail",Q200)))</formula>
    </cfRule>
    <cfRule type="containsText" priority="28" operator="containsText" dxfId="0" text="Pass">
      <formula>NOT(ISERROR(SEARCH("Pass",Q200)))</formula>
    </cfRule>
  </conditionalFormatting>
  <conditionalFormatting sqref="B200">
    <cfRule type="duplicateValues" priority="26" dxfId="1"/>
  </conditionalFormatting>
  <conditionalFormatting sqref="J200">
    <cfRule type="cellIs" priority="25" operator="greaterThan" dxfId="1">
      <formula>1.01</formula>
    </cfRule>
    <cfRule type="containsText" priority="23" operator="containsText" dxfId="1" text="Fail">
      <formula>NOT(ISERROR(SEARCH("Fail",J200)))</formula>
    </cfRule>
    <cfRule type="containsText" priority="24" operator="containsText" dxfId="0" text="Pass">
      <formula>NOT(ISERROR(SEARCH("Pass",J200)))</formula>
    </cfRule>
  </conditionalFormatting>
  <conditionalFormatting sqref="W199:X199">
    <cfRule type="cellIs" priority="22" operator="greaterThan" dxfId="1">
      <formula>1.01</formula>
    </cfRule>
  </conditionalFormatting>
  <conditionalFormatting sqref="B199">
    <cfRule type="duplicateValues" priority="19" dxfId="1"/>
  </conditionalFormatting>
  <conditionalFormatting sqref="J199">
    <cfRule type="cellIs" priority="18" operator="greaterThan" dxfId="1">
      <formula>1.01</formula>
    </cfRule>
  </conditionalFormatting>
  <conditionalFormatting sqref="Q199">
    <cfRule type="cellIs" priority="15" operator="greaterThan" dxfId="1">
      <formula>1.01</formula>
    </cfRule>
    <cfRule type="containsText" priority="13" operator="containsText" dxfId="1" text="Fail">
      <formula>NOT(ISERROR(SEARCH("Fail",Q199)))</formula>
    </cfRule>
    <cfRule type="containsText" priority="14" operator="containsText" dxfId="0" text="Pass">
      <formula>NOT(ISERROR(SEARCH("Pass",Q199)))</formula>
    </cfRule>
  </conditionalFormatting>
  <conditionalFormatting sqref="B207:B209">
    <cfRule type="duplicateValues" priority="12" dxfId="1"/>
  </conditionalFormatting>
  <conditionalFormatting sqref="B210">
    <cfRule type="duplicateValues" priority="11" dxfId="1"/>
  </conditionalFormatting>
  <conditionalFormatting sqref="B211">
    <cfRule type="duplicateValues" priority="10" dxfId="1"/>
  </conditionalFormatting>
  <conditionalFormatting sqref="B212">
    <cfRule type="duplicateValues" priority="9" dxfId="1"/>
  </conditionalFormatting>
  <conditionalFormatting sqref="W205:X205">
    <cfRule type="cellIs" priority="8" operator="greaterThan" dxfId="1">
      <formula>1.01</formula>
    </cfRule>
  </conditionalFormatting>
  <conditionalFormatting sqref="B205">
    <cfRule type="duplicateValues" priority="5" dxfId="1"/>
  </conditionalFormatting>
  <conditionalFormatting sqref="Q219 W219:X219">
    <cfRule type="cellIs" priority="4" operator="greaterThan" dxfId="1">
      <formula>1.01</formula>
    </cfRule>
    <cfRule type="containsText" priority="2" operator="containsText" dxfId="1" text="Fail">
      <formula>NOT(ISERROR(SEARCH("Fail",Q219)))</formula>
    </cfRule>
    <cfRule type="containsText" priority="3" operator="containsText" dxfId="0" text="Pass">
      <formula>NOT(ISERROR(SEARCH("Pass",Q219)))</formula>
    </cfRule>
  </conditionalFormatting>
  <conditionalFormatting sqref="B219">
    <cfRule type="duplicateValues" priority="1" dxfId="1"/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1"/>
  <sheetViews>
    <sheetView zoomScaleNormal="100" workbookViewId="0">
      <selection activeCell="T5" sqref="T5"/>
    </sheetView>
  </sheetViews>
  <sheetFormatPr baseColWidth="8" defaultRowHeight="15"/>
  <cols>
    <col width="4.5703125" bestFit="1" customWidth="1" style="91" min="1" max="1"/>
    <col width="17" customWidth="1" style="118" min="2" max="2"/>
    <col width="31" customWidth="1" style="118" min="3" max="3"/>
    <col width="15.42578125" customWidth="1" style="118" min="4" max="4"/>
    <col width="7.5703125" customWidth="1" style="118" min="5" max="5"/>
    <col width="8.28515625" customWidth="1" style="118" min="6" max="12"/>
  </cols>
  <sheetData>
    <row r="1">
      <c r="A1" s="174" t="n"/>
      <c r="B1" s="175" t="n"/>
      <c r="C1" s="175" t="n"/>
      <c r="D1" s="175" t="n"/>
      <c r="E1" s="176" t="n"/>
      <c r="F1" s="173" t="inlineStr">
        <is>
          <t>QUESTIONAAIRES</t>
        </is>
      </c>
      <c r="G1" s="175" t="n"/>
      <c r="H1" s="175" t="n"/>
      <c r="I1" s="175" t="n"/>
      <c r="J1" s="176" t="n"/>
      <c r="K1" s="173" t="inlineStr">
        <is>
          <t>GEMBA</t>
        </is>
      </c>
      <c r="L1" s="176" t="n"/>
    </row>
    <row r="2" ht="29.25" customFormat="1" customHeight="1" s="114">
      <c r="A2" s="20" t="inlineStr">
        <is>
          <t>S.No</t>
        </is>
      </c>
      <c r="B2" s="20" t="inlineStr">
        <is>
          <t>EMP NO</t>
        </is>
      </c>
      <c r="C2" s="20" t="inlineStr">
        <is>
          <t>NAME</t>
        </is>
      </c>
      <c r="D2" s="20" t="inlineStr">
        <is>
          <t>SECTION</t>
        </is>
      </c>
      <c r="E2" s="20" t="inlineStr">
        <is>
          <t>Skill test</t>
        </is>
      </c>
      <c r="F2" s="162" t="inlineStr">
        <is>
          <t>Safety</t>
        </is>
      </c>
      <c r="G2" s="162" t="inlineStr">
        <is>
          <t xml:space="preserve">Process </t>
        </is>
      </c>
      <c r="H2" s="162" t="inlineStr">
        <is>
          <t>Quality</t>
        </is>
      </c>
      <c r="I2" s="162" t="inlineStr">
        <is>
          <t>CI &amp; TPM</t>
        </is>
      </c>
      <c r="J2" s="162" t="inlineStr">
        <is>
          <t>System</t>
        </is>
      </c>
      <c r="K2" s="162" t="inlineStr">
        <is>
          <t>Safety/ 5S</t>
        </is>
      </c>
      <c r="L2" s="36" t="inlineStr">
        <is>
          <t>SOP's/ WI CHECK</t>
        </is>
      </c>
    </row>
    <row r="3" ht="30.75" customHeight="1" s="118">
      <c r="A3" s="147" t="n">
        <v>1</v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</row>
    <row r="4" ht="30.75" customHeight="1" s="118">
      <c r="A4" s="147">
        <f>A3+1</f>
        <v/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</row>
    <row r="5" ht="30.75" customHeight="1" s="118">
      <c r="A5" s="147">
        <f>A4+1</f>
        <v/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</row>
    <row r="6" ht="30.75" customHeight="1" s="118">
      <c r="A6" s="147">
        <f>A5+1</f>
        <v/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</row>
    <row r="7" ht="30.75" customHeight="1" s="118">
      <c r="A7" s="147">
        <f>A6+1</f>
        <v/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 ht="30.75" customHeight="1" s="118">
      <c r="A8" s="147">
        <f>A7+1</f>
        <v/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</row>
    <row r="9" ht="30.75" customHeight="1" s="118">
      <c r="A9" s="147">
        <f>A8+1</f>
        <v/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</row>
    <row r="10" ht="30.75" customHeight="1" s="118">
      <c r="A10" s="147">
        <f>A9+1</f>
        <v/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 ht="30.75" customHeight="1" s="118">
      <c r="A11" s="147">
        <f>A10+1</f>
        <v/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</row>
    <row r="12" ht="30.75" customHeight="1" s="118">
      <c r="A12" s="147">
        <f>A11+1</f>
        <v/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2" t="n"/>
      <c r="L12" s="21" t="n"/>
    </row>
    <row r="13" ht="30.75" customHeight="1" s="118">
      <c r="A13" s="147">
        <f>A12+1</f>
        <v/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 ht="30.75" customHeight="1" s="118">
      <c r="A14" s="147">
        <f>A13+1</f>
        <v/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</row>
    <row r="15" ht="30.75" customHeight="1" s="118">
      <c r="A15" s="147">
        <f>A14+1</f>
        <v/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</row>
    <row r="16" ht="30.75" customHeight="1" s="118">
      <c r="A16" s="147">
        <f>A15+1</f>
        <v/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30.75" customHeight="1" s="118">
      <c r="A17" s="147">
        <f>A16+1</f>
        <v/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30.75" customHeight="1" s="118">
      <c r="A18" s="147">
        <f>A17+1</f>
        <v/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 ht="30.75" customHeight="1" s="118">
      <c r="A19" s="147">
        <f>A18+1</f>
        <v/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 ht="30.75" customHeight="1" s="118">
      <c r="A20" s="147">
        <f>A19+1</f>
        <v/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 ht="30.75" customHeight="1" s="118">
      <c r="A21" s="147">
        <f>A20+1</f>
        <v/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30.75" customHeight="1" s="118">
      <c r="A22" s="147">
        <f>A21+1</f>
        <v/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30.75" customHeight="1" s="118">
      <c r="A23" s="147">
        <f>A22+1</f>
        <v/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30.75" customHeight="1" s="118">
      <c r="A24" s="147">
        <f>A23+1</f>
        <v/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30.75" customHeight="1" s="118">
      <c r="A25" s="147">
        <f>A24+1</f>
        <v/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30.75" customHeight="1" s="118">
      <c r="A26" s="147">
        <f>A25+1</f>
        <v/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 ht="30.75" customHeight="1" s="118">
      <c r="A27" s="147">
        <f>A26+1</f>
        <v/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</row>
    <row r="28" ht="30.75" customHeight="1" s="118">
      <c r="A28" s="147">
        <f>A27+1</f>
        <v/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</row>
    <row r="29" ht="30.75" customHeight="1" s="118">
      <c r="A29" s="147">
        <f>A28+1</f>
        <v/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</row>
    <row r="30" ht="30.75" customHeight="1" s="118">
      <c r="A30" s="147">
        <f>A29+1</f>
        <v/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</row>
    <row r="31" ht="30.75" customHeight="1" s="118">
      <c r="A31" s="147">
        <f>A30+1</f>
        <v/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</row>
    <row r="32" ht="30.75" customHeight="1" s="118">
      <c r="A32" s="147">
        <f>A31+1</f>
        <v/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</row>
    <row r="33" ht="30.75" customHeight="1" s="118">
      <c r="A33" s="147">
        <f>A32+1</f>
        <v/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</row>
    <row r="34" ht="30.75" customHeight="1" s="118">
      <c r="A34" s="147">
        <f>A33+1</f>
        <v/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</row>
    <row r="35" ht="24.75" customHeight="1" s="118">
      <c r="A35" s="147">
        <f>A34+1</f>
        <v/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</row>
    <row r="37">
      <c r="A37" s="174" t="n"/>
      <c r="B37" s="175" t="n"/>
      <c r="C37" s="175" t="n"/>
      <c r="D37" s="175" t="n"/>
      <c r="E37" s="176" t="n"/>
      <c r="F37" s="173" t="inlineStr">
        <is>
          <t>QUESTIONAAIRES</t>
        </is>
      </c>
      <c r="G37" s="175" t="n"/>
      <c r="H37" s="175" t="n"/>
      <c r="I37" s="175" t="n"/>
      <c r="J37" s="176" t="n"/>
      <c r="K37" s="173" t="inlineStr">
        <is>
          <t>GEMBA</t>
        </is>
      </c>
      <c r="L37" s="176" t="n"/>
    </row>
    <row r="38" ht="33.75" customFormat="1" customHeight="1" s="114">
      <c r="A38" s="20" t="inlineStr">
        <is>
          <t>S.No</t>
        </is>
      </c>
      <c r="B38" s="20" t="inlineStr">
        <is>
          <t>EMP NO</t>
        </is>
      </c>
      <c r="C38" s="20" t="inlineStr">
        <is>
          <t>NAME</t>
        </is>
      </c>
      <c r="D38" s="20" t="inlineStr">
        <is>
          <t>SECTION</t>
        </is>
      </c>
      <c r="E38" s="20" t="inlineStr">
        <is>
          <t>Skill test</t>
        </is>
      </c>
      <c r="F38" s="162" t="inlineStr">
        <is>
          <t>Safety</t>
        </is>
      </c>
      <c r="G38" s="162" t="inlineStr">
        <is>
          <t xml:space="preserve">Process </t>
        </is>
      </c>
      <c r="H38" s="162" t="inlineStr">
        <is>
          <t>Quality</t>
        </is>
      </c>
      <c r="I38" s="162" t="inlineStr">
        <is>
          <t>CI &amp; TPM</t>
        </is>
      </c>
      <c r="J38" s="162" t="inlineStr">
        <is>
          <t>System</t>
        </is>
      </c>
      <c r="K38" s="162" t="inlineStr">
        <is>
          <t>Safety/ 5S</t>
        </is>
      </c>
      <c r="L38" s="36" t="inlineStr">
        <is>
          <t>SOP's/ WI CHECK</t>
        </is>
      </c>
    </row>
    <row r="39" ht="30.75" customHeight="1" s="118">
      <c r="A39" s="147" t="n">
        <v>1</v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</row>
    <row r="40" ht="30.75" customHeight="1" s="118">
      <c r="A40" s="147">
        <f>A39+1</f>
        <v/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</row>
    <row r="41" ht="30.75" customHeight="1" s="118">
      <c r="A41" s="147">
        <f>A40+1</f>
        <v/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</row>
    <row r="42" ht="30.75" customHeight="1" s="118">
      <c r="A42" s="147">
        <f>A41+1</f>
        <v/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</row>
    <row r="43" ht="30.75" customHeight="1" s="118">
      <c r="A43" s="147">
        <f>A42+1</f>
        <v/>
      </c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</row>
    <row r="44" ht="30.75" customHeight="1" s="118">
      <c r="A44" s="147">
        <f>A43+1</f>
        <v/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</row>
    <row r="45" ht="30.75" customHeight="1" s="118">
      <c r="A45" s="147">
        <f>A44+1</f>
        <v/>
      </c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</row>
    <row r="46" ht="30.75" customHeight="1" s="118">
      <c r="A46" s="147">
        <f>A45+1</f>
        <v/>
      </c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</row>
    <row r="47" ht="30.75" customHeight="1" s="118">
      <c r="A47" s="147">
        <f>A46+1</f>
        <v/>
      </c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</row>
    <row r="48" ht="30.75" customHeight="1" s="118">
      <c r="A48" s="147">
        <f>A47+1</f>
        <v/>
      </c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2" t="n"/>
      <c r="L48" s="21" t="n"/>
    </row>
    <row r="49" ht="30.75" customHeight="1" s="118">
      <c r="A49" s="147">
        <f>A48+1</f>
        <v/>
      </c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</row>
    <row r="50" ht="30.75" customHeight="1" s="118">
      <c r="A50" s="147">
        <f>A49+1</f>
        <v/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</row>
    <row r="51" ht="30.75" customHeight="1" s="118">
      <c r="A51" s="147">
        <f>A50+1</f>
        <v/>
      </c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</row>
    <row r="52" ht="30.75" customHeight="1" s="118">
      <c r="A52" s="147">
        <f>A51+1</f>
        <v/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</row>
    <row r="53" ht="30.75" customHeight="1" s="118">
      <c r="A53" s="147">
        <f>A52+1</f>
        <v/>
      </c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</row>
    <row r="54" ht="30.75" customHeight="1" s="118">
      <c r="A54" s="147">
        <f>A53+1</f>
        <v/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</row>
    <row r="55" ht="30.75" customHeight="1" s="118">
      <c r="A55" s="147">
        <f>A54+1</f>
        <v/>
      </c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</row>
    <row r="56" ht="30.75" customHeight="1" s="118">
      <c r="A56" s="147">
        <f>A55+1</f>
        <v/>
      </c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</row>
    <row r="57" ht="30.75" customHeight="1" s="118">
      <c r="A57" s="147">
        <f>A56+1</f>
        <v/>
      </c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</row>
    <row r="58" ht="30.75" customHeight="1" s="118">
      <c r="A58" s="147">
        <f>A57+1</f>
        <v/>
      </c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</row>
    <row r="59" ht="30.75" customHeight="1" s="118">
      <c r="A59" s="147">
        <f>A58+1</f>
        <v/>
      </c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</row>
    <row r="60" ht="30.75" customHeight="1" s="118">
      <c r="A60" s="147">
        <f>A59+1</f>
        <v/>
      </c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</row>
    <row r="61" ht="30.75" customHeight="1" s="118">
      <c r="A61" s="147">
        <f>A60+1</f>
        <v/>
      </c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</row>
    <row r="62" ht="30.75" customHeight="1" s="118">
      <c r="A62" s="147">
        <f>A61+1</f>
        <v/>
      </c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</row>
    <row r="63" ht="30.75" customHeight="1" s="118">
      <c r="A63" s="147">
        <f>A62+1</f>
        <v/>
      </c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</row>
    <row r="64" ht="30.75" customHeight="1" s="118">
      <c r="A64" s="147">
        <f>A63+1</f>
        <v/>
      </c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</row>
    <row r="65" ht="30.75" customHeight="1" s="118">
      <c r="A65" s="147">
        <f>A64+1</f>
        <v/>
      </c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</row>
    <row r="66" ht="30.75" customHeight="1" s="118">
      <c r="A66" s="147">
        <f>A65+1</f>
        <v/>
      </c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</row>
    <row r="67" ht="30.75" customHeight="1" s="118">
      <c r="A67" s="147">
        <f>A66+1</f>
        <v/>
      </c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</row>
    <row r="68" ht="30.75" customHeight="1" s="118">
      <c r="A68" s="147">
        <f>A67+1</f>
        <v/>
      </c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</row>
    <row r="69" ht="30.75" customHeight="1" s="118">
      <c r="A69" s="147">
        <f>A68+1</f>
        <v/>
      </c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</row>
    <row r="70" ht="30.75" customHeight="1" s="118">
      <c r="A70" s="147">
        <f>A69+1</f>
        <v/>
      </c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</row>
    <row r="71" ht="30.75" customHeight="1" s="118">
      <c r="A71" s="147">
        <f>A70+1</f>
        <v/>
      </c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</row>
  </sheetData>
  <mergeCells count="6">
    <mergeCell ref="F37:J37"/>
    <mergeCell ref="K1:L1"/>
    <mergeCell ref="A1:E1"/>
    <mergeCell ref="A37:E37"/>
    <mergeCell ref="K37:L37"/>
    <mergeCell ref="F1:J1"/>
  </mergeCells>
  <pageMargins left="0.23" right="0.21" top="0.55" bottom="0.75" header="0.3" footer="0.3"/>
  <pageSetup orientation="portrait" paperSize="9" scale="72"/>
  <rowBreaks count="1" manualBreakCount="1">
    <brk id="3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2026-10-07T04:31:42Z</dcterms:modified>
</cp:coreProperties>
</file>